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https://d.docs.live.net/dbc1d404d722d11b/Hooded_Plover_data/R/hooded_plover_demography/data/"/>
    </mc:Choice>
  </mc:AlternateContent>
  <xr:revisionPtr revIDLastSave="170" documentId="114_{6370AA21-4C23-49E2-8030-27083BF7942B}" xr6:coauthVersionLast="47" xr6:coauthVersionMax="47" xr10:uidLastSave="{86FB035F-828A-4826-9EDD-B2C9C5DF9A68}"/>
  <bookViews>
    <workbookView xWindow="-120" yWindow="-120" windowWidth="20730" windowHeight="11040" tabRatio="857" activeTab="7" xr2:uid="{810D1E77-0E0A-4F4D-A0F0-D84ADCEEBA1A}"/>
  </bookViews>
  <sheets>
    <sheet name="BC 2024_25" sheetId="13" r:id="rId1"/>
    <sheet name="BC 2023_24" sheetId="11" r:id="rId2"/>
    <sheet name="BC 2022_23" sheetId="10" r:id="rId3"/>
    <sheet name="BC 2021_22" sheetId="9" r:id="rId4"/>
    <sheet name="BC 2020_21" sheetId="8" r:id="rId5"/>
    <sheet name="BC 2019_20" sheetId="7" r:id="rId6"/>
    <sheet name="BC 2018_19" sheetId="6" r:id="rId7"/>
    <sheet name="BC 2017_18" sheetId="5" r:id="rId8"/>
    <sheet name="BC 2016_17" sheetId="4" r:id="rId9"/>
    <sheet name="BC 2015_16" sheetId="2" r:id="rId10"/>
    <sheet name="BC 2014_15" sheetId="1" r:id="rId11"/>
    <sheet name="BC 2013_14" sheetId="14" r:id="rId12"/>
    <sheet name="BC 2012_13" sheetId="15" r:id="rId13"/>
    <sheet name="BC 2011_12" sheetId="16" r:id="rId14"/>
    <sheet name="BC 2010_11" sheetId="17" r:id="rId15"/>
    <sheet name="BC 2009_10" sheetId="18" r:id="rId16"/>
    <sheet name="BC 2008_09" sheetId="19" r:id="rId17"/>
    <sheet name="BC 2007_08" sheetId="20" r:id="rId18"/>
    <sheet name="BC 2006_07" sheetId="21" r:id="rId19"/>
  </sheets>
  <definedNames>
    <definedName name="_xlnm._FilterDatabase" localSheetId="13" hidden="1">'BC 2011_12'!$A$1:$BX$38</definedName>
    <definedName name="_xlnm._FilterDatabase" localSheetId="12" hidden="1">'BC 2012_13'!$A$1:$BX$28</definedName>
    <definedName name="_xlnm._FilterDatabase" localSheetId="10" hidden="1">'BC 2014_15'!$A$1:$BZ$46</definedName>
    <definedName name="_xlnm._FilterDatabase" localSheetId="9" hidden="1">'BC 2015_16'!$A$1:$BZ$66</definedName>
    <definedName name="_xlnm._FilterDatabase" localSheetId="8" hidden="1">'BC 2016_17'!$A$1:$BZ$102</definedName>
    <definedName name="_xlnm._FilterDatabase" localSheetId="7" hidden="1">'BC 2017_18'!$A$1:$BZ$79</definedName>
    <definedName name="_xlnm._FilterDatabase" localSheetId="6" hidden="1">'BC 2018_19'!$A$1:$BZ$62</definedName>
    <definedName name="_xlnm._FilterDatabase" localSheetId="5" hidden="1">'BC 2019_20'!$A$1:$BZ$54</definedName>
    <definedName name="_xlnm._FilterDatabase" localSheetId="4" hidden="1">'BC 2020_21'!$A$1:$BZ$71</definedName>
    <definedName name="_xlnm._FilterDatabase" localSheetId="3" hidden="1">'BC 2021_22'!$A$1:$BX$57</definedName>
    <definedName name="_xlnm._FilterDatabase" localSheetId="2" hidden="1">'BC 2022_23'!$A$1:$CA$67</definedName>
    <definedName name="_xlnm._FilterDatabase" localSheetId="1" hidden="1">'BC 2023_24'!$A$1:$BZ$71</definedName>
    <definedName name="_xlnm._FilterDatabase" localSheetId="0" hidden="1">'BC 2024_25'!$A$1:$CB$68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 i="20" l="1"/>
  <c r="AG3" i="20"/>
  <c r="AH3" i="20"/>
  <c r="AF5" i="20"/>
  <c r="AI5" i="20" s="1"/>
  <c r="AG5" i="20"/>
  <c r="AH5" i="20"/>
  <c r="AF6" i="20"/>
  <c r="AG6" i="20"/>
  <c r="AH6" i="20"/>
  <c r="AF7" i="20"/>
  <c r="AG7" i="20"/>
  <c r="AH7" i="20"/>
  <c r="AF8" i="20"/>
  <c r="AG8" i="20"/>
  <c r="AH8" i="20"/>
  <c r="AF9" i="20"/>
  <c r="AI9" i="20" s="1"/>
  <c r="AG9" i="20"/>
  <c r="AH9" i="20"/>
  <c r="AF10" i="20"/>
  <c r="AG10" i="20"/>
  <c r="AH10" i="20"/>
  <c r="AF11" i="20"/>
  <c r="AG11" i="20"/>
  <c r="AH11" i="20"/>
  <c r="AF12" i="20"/>
  <c r="AG12" i="20"/>
  <c r="AH12" i="20"/>
  <c r="AF13" i="20"/>
  <c r="AI13" i="20" s="1"/>
  <c r="AG13" i="20"/>
  <c r="AH13" i="20"/>
  <c r="AF14" i="20"/>
  <c r="AG14" i="20"/>
  <c r="AH14" i="20"/>
  <c r="J14" i="20"/>
  <c r="I14" i="20"/>
  <c r="H14" i="20"/>
  <c r="J13" i="20"/>
  <c r="I13" i="20"/>
  <c r="H13" i="20"/>
  <c r="J12" i="20"/>
  <c r="I12" i="20"/>
  <c r="H12" i="20"/>
  <c r="J11" i="20"/>
  <c r="I11" i="20"/>
  <c r="H11" i="20"/>
  <c r="J10" i="20"/>
  <c r="I10" i="20"/>
  <c r="H10" i="20"/>
  <c r="J9" i="20"/>
  <c r="I9" i="20"/>
  <c r="H9" i="20"/>
  <c r="J8" i="20"/>
  <c r="I8" i="20"/>
  <c r="H8" i="20"/>
  <c r="J7" i="20"/>
  <c r="I7" i="20"/>
  <c r="H7" i="20"/>
  <c r="J6" i="20"/>
  <c r="I6" i="20"/>
  <c r="H6" i="20"/>
  <c r="J5" i="20"/>
  <c r="I5" i="20"/>
  <c r="H5" i="20"/>
  <c r="J4" i="20"/>
  <c r="I4" i="20"/>
  <c r="H4" i="20"/>
  <c r="J3" i="20"/>
  <c r="I3" i="20"/>
  <c r="H3" i="20"/>
  <c r="J2" i="20"/>
  <c r="I2" i="20"/>
  <c r="H2" i="20"/>
  <c r="Z2" i="20"/>
  <c r="AA2" i="20"/>
  <c r="AB2" i="20"/>
  <c r="Z3" i="20"/>
  <c r="AA3" i="20"/>
  <c r="AB3" i="20"/>
  <c r="Z4" i="20"/>
  <c r="AA4" i="20"/>
  <c r="AB4" i="20"/>
  <c r="Z5" i="20"/>
  <c r="AA5" i="20"/>
  <c r="AB5" i="20"/>
  <c r="Z6" i="20"/>
  <c r="AA6" i="20"/>
  <c r="AB6" i="20"/>
  <c r="Z7" i="20"/>
  <c r="AA7" i="20"/>
  <c r="AB7" i="20"/>
  <c r="Z8" i="20"/>
  <c r="AA8" i="20"/>
  <c r="AB8" i="20"/>
  <c r="Z9" i="20"/>
  <c r="AA9" i="20"/>
  <c r="AB9" i="20"/>
  <c r="Z10" i="20"/>
  <c r="AA10" i="20"/>
  <c r="AB10" i="20"/>
  <c r="Z11" i="20"/>
  <c r="AA11" i="20"/>
  <c r="AB11" i="20"/>
  <c r="Z12" i="20"/>
  <c r="AA12" i="20"/>
  <c r="AB12" i="20"/>
  <c r="Z13" i="20"/>
  <c r="AA13" i="20"/>
  <c r="AB13" i="20"/>
  <c r="Z14" i="20"/>
  <c r="AA14" i="20"/>
  <c r="AB14" i="20"/>
  <c r="AG4" i="19"/>
  <c r="AH4" i="19"/>
  <c r="AI4" i="19"/>
  <c r="AJ4" i="19" s="1"/>
  <c r="AG6" i="19"/>
  <c r="AH6" i="19"/>
  <c r="AI6" i="19"/>
  <c r="AG8" i="19"/>
  <c r="AH8" i="19"/>
  <c r="AI8" i="19"/>
  <c r="AG12" i="19"/>
  <c r="AH12" i="19"/>
  <c r="AI12" i="19"/>
  <c r="AG13" i="19"/>
  <c r="AH13" i="19"/>
  <c r="AI13" i="19"/>
  <c r="AJ13" i="19" s="1"/>
  <c r="AI2" i="19"/>
  <c r="AH2" i="19"/>
  <c r="AG2" i="19"/>
  <c r="AA3" i="19"/>
  <c r="AD3" i="19" s="1"/>
  <c r="AB3" i="19"/>
  <c r="AC3" i="19"/>
  <c r="AA4" i="19"/>
  <c r="AB4" i="19"/>
  <c r="AC4" i="19"/>
  <c r="AA5" i="19"/>
  <c r="AB5" i="19"/>
  <c r="AC5" i="19"/>
  <c r="AA6" i="19"/>
  <c r="AB6" i="19"/>
  <c r="AC6" i="19"/>
  <c r="AA7" i="19"/>
  <c r="AD7" i="19" s="1"/>
  <c r="AB7" i="19"/>
  <c r="AC7" i="19"/>
  <c r="AA8" i="19"/>
  <c r="AB8" i="19"/>
  <c r="AC8" i="19"/>
  <c r="AA10" i="19"/>
  <c r="AB10" i="19"/>
  <c r="AC10" i="19"/>
  <c r="AA11" i="19"/>
  <c r="AB11" i="19"/>
  <c r="AC11" i="19"/>
  <c r="AA12" i="19"/>
  <c r="AD12" i="19" s="1"/>
  <c r="AB12" i="19"/>
  <c r="AC12" i="19"/>
  <c r="AA13" i="19"/>
  <c r="AB13" i="19"/>
  <c r="AC13" i="19"/>
  <c r="AA14" i="19"/>
  <c r="AB14" i="19"/>
  <c r="AC14" i="19"/>
  <c r="AC2" i="19"/>
  <c r="AB2" i="19"/>
  <c r="AA2" i="19"/>
  <c r="I3" i="19"/>
  <c r="J3" i="19"/>
  <c r="K3" i="19"/>
  <c r="I4" i="19"/>
  <c r="J4" i="19"/>
  <c r="K4" i="19"/>
  <c r="I5" i="19"/>
  <c r="J5" i="19"/>
  <c r="K5" i="19"/>
  <c r="I6" i="19"/>
  <c r="J6" i="19"/>
  <c r="K6" i="19"/>
  <c r="I7" i="19"/>
  <c r="J7" i="19"/>
  <c r="K7" i="19"/>
  <c r="I8" i="19"/>
  <c r="J8" i="19"/>
  <c r="K8" i="19"/>
  <c r="I10" i="19"/>
  <c r="J10" i="19"/>
  <c r="K10" i="19"/>
  <c r="I11" i="19"/>
  <c r="J11" i="19"/>
  <c r="K11" i="19"/>
  <c r="I12" i="19"/>
  <c r="J12" i="19"/>
  <c r="K12" i="19"/>
  <c r="I13" i="19"/>
  <c r="J13" i="19"/>
  <c r="K13" i="19"/>
  <c r="I14" i="19"/>
  <c r="J14" i="19"/>
  <c r="K14" i="19"/>
  <c r="K2" i="19"/>
  <c r="J2" i="19"/>
  <c r="I2" i="19"/>
  <c r="AI14" i="20" l="1"/>
  <c r="AC13" i="20"/>
  <c r="AC9" i="20"/>
  <c r="AC5" i="20"/>
  <c r="AI11" i="20"/>
  <c r="AI7" i="20"/>
  <c r="AI10" i="20"/>
  <c r="AI6" i="20"/>
  <c r="AI12" i="20"/>
  <c r="AI8" i="20"/>
  <c r="AI3" i="20"/>
  <c r="AD8" i="19"/>
  <c r="AD14" i="19"/>
  <c r="AD5" i="19"/>
  <c r="AD11" i="19"/>
  <c r="AD6" i="19"/>
  <c r="AC12" i="20"/>
  <c r="AC8" i="20"/>
  <c r="AC4" i="20"/>
  <c r="AD13" i="19"/>
  <c r="AD4" i="19"/>
  <c r="AD10" i="19"/>
  <c r="AJ12" i="19"/>
  <c r="AJ2" i="19"/>
  <c r="L7" i="19"/>
  <c r="L3" i="19"/>
  <c r="AJ6" i="19"/>
  <c r="AJ8" i="19"/>
  <c r="AC6" i="20"/>
  <c r="AC2" i="20"/>
  <c r="K7" i="20"/>
  <c r="AD2" i="19"/>
  <c r="AC14" i="20"/>
  <c r="AC10" i="20"/>
  <c r="K3" i="20"/>
  <c r="K11" i="20"/>
  <c r="AC11" i="20"/>
  <c r="AC7" i="20"/>
  <c r="AC3" i="20"/>
  <c r="K2" i="20"/>
  <c r="K6" i="20"/>
  <c r="K10" i="20"/>
  <c r="K14" i="20"/>
  <c r="K5" i="20"/>
  <c r="K9" i="20"/>
  <c r="K13" i="20"/>
  <c r="K4" i="20"/>
  <c r="K8" i="20"/>
  <c r="K12" i="20"/>
  <c r="L10" i="19"/>
  <c r="L5" i="19"/>
  <c r="L8" i="19"/>
  <c r="L4" i="19"/>
  <c r="L6" i="19"/>
  <c r="L2" i="19"/>
  <c r="L11" i="19"/>
  <c r="L12" i="19"/>
  <c r="L13" i="19"/>
  <c r="L14" i="19"/>
  <c r="AD66" i="2"/>
  <c r="AC66" i="2"/>
  <c r="AB66" i="2"/>
  <c r="AD65" i="2"/>
  <c r="AC65" i="2"/>
  <c r="AB65" i="2"/>
  <c r="AD64" i="2"/>
  <c r="AC64" i="2"/>
  <c r="AB64" i="2"/>
  <c r="AD63" i="2"/>
  <c r="AC63" i="2"/>
  <c r="AB63" i="2"/>
  <c r="AD62" i="2"/>
  <c r="AC62" i="2"/>
  <c r="AB62" i="2"/>
  <c r="AD61" i="2"/>
  <c r="AC61" i="2"/>
  <c r="AB61" i="2"/>
  <c r="AD60" i="2"/>
  <c r="AC60" i="2"/>
  <c r="AB60" i="2"/>
  <c r="AD59" i="2"/>
  <c r="AC59" i="2"/>
  <c r="AB59" i="2"/>
  <c r="AD58" i="2"/>
  <c r="AC58" i="2"/>
  <c r="AB58" i="2"/>
  <c r="AD57" i="2"/>
  <c r="AC57" i="2"/>
  <c r="AB57" i="2"/>
  <c r="AD56" i="2"/>
  <c r="AC56" i="2"/>
  <c r="AB56" i="2"/>
  <c r="AD55" i="2"/>
  <c r="AC55" i="2"/>
  <c r="AB55" i="2"/>
  <c r="AD54" i="2"/>
  <c r="AC54" i="2"/>
  <c r="AB54" i="2"/>
  <c r="AD53" i="2"/>
  <c r="AC53" i="2"/>
  <c r="AB53" i="2"/>
  <c r="AD52" i="2"/>
  <c r="AC52" i="2"/>
  <c r="AB52" i="2"/>
  <c r="AD51" i="2"/>
  <c r="AC51" i="2"/>
  <c r="AB51" i="2"/>
  <c r="AD50" i="2"/>
  <c r="AC50" i="2"/>
  <c r="AB50" i="2"/>
  <c r="AD49" i="2"/>
  <c r="AC49" i="2"/>
  <c r="AB49" i="2"/>
  <c r="AD48" i="2"/>
  <c r="AC48" i="2"/>
  <c r="AB48" i="2"/>
  <c r="AD47" i="2"/>
  <c r="AC47" i="2"/>
  <c r="AB47" i="2"/>
  <c r="AD46" i="2"/>
  <c r="AC46" i="2"/>
  <c r="AB46" i="2"/>
  <c r="AD45" i="2"/>
  <c r="AC45" i="2"/>
  <c r="AB45" i="2"/>
  <c r="AD44" i="2"/>
  <c r="AC44" i="2"/>
  <c r="AB44" i="2"/>
  <c r="AD23" i="2"/>
  <c r="AC23" i="2"/>
  <c r="AB23" i="2"/>
  <c r="AD22" i="2"/>
  <c r="AC22" i="2"/>
  <c r="AB22" i="2"/>
  <c r="AD21" i="2"/>
  <c r="AC21" i="2"/>
  <c r="AB21" i="2"/>
  <c r="AD20" i="2"/>
  <c r="AC20" i="2"/>
  <c r="AB20" i="2"/>
  <c r="AD43" i="2"/>
  <c r="AC43" i="2"/>
  <c r="AB43" i="2"/>
  <c r="AD42" i="2"/>
  <c r="AC42" i="2"/>
  <c r="AB42" i="2"/>
  <c r="AD41" i="2"/>
  <c r="AC41" i="2"/>
  <c r="AB41" i="2"/>
  <c r="AD19" i="2"/>
  <c r="AC19" i="2"/>
  <c r="AB19" i="2"/>
  <c r="AD39" i="2"/>
  <c r="AC39" i="2"/>
  <c r="AB39" i="2"/>
  <c r="AD37" i="2"/>
  <c r="AC37" i="2"/>
  <c r="AB37" i="2"/>
  <c r="AD36" i="2"/>
  <c r="AC36" i="2"/>
  <c r="AB36" i="2"/>
  <c r="AD34" i="2"/>
  <c r="AC34" i="2"/>
  <c r="AB34" i="2"/>
  <c r="AD33" i="2"/>
  <c r="AC33" i="2"/>
  <c r="AB33" i="2"/>
  <c r="AD32" i="2"/>
  <c r="AC32" i="2"/>
  <c r="AB32" i="2"/>
  <c r="AD31" i="2"/>
  <c r="AC31" i="2"/>
  <c r="AB31" i="2"/>
  <c r="AD30" i="2"/>
  <c r="AC30" i="2"/>
  <c r="AB30" i="2"/>
  <c r="AD29" i="2"/>
  <c r="AC29" i="2"/>
  <c r="AB29" i="2"/>
  <c r="AD28" i="2"/>
  <c r="AC28" i="2"/>
  <c r="AB28" i="2"/>
  <c r="AD27" i="2"/>
  <c r="AC27" i="2"/>
  <c r="AB27" i="2"/>
  <c r="AD26" i="2"/>
  <c r="AC26" i="2"/>
  <c r="AB26" i="2"/>
  <c r="AD25" i="2"/>
  <c r="AC25" i="2"/>
  <c r="AB25" i="2"/>
  <c r="AD24" i="2"/>
  <c r="AC24" i="2"/>
  <c r="AB24" i="2"/>
  <c r="AD18" i="2"/>
  <c r="AC18" i="2"/>
  <c r="AB18" i="2"/>
  <c r="AD17" i="2"/>
  <c r="AC17" i="2"/>
  <c r="AB17" i="2"/>
  <c r="AD16" i="2"/>
  <c r="AC16" i="2"/>
  <c r="AB16" i="2"/>
  <c r="AD15" i="2"/>
  <c r="AC15" i="2"/>
  <c r="AB15" i="2"/>
  <c r="AD14" i="2"/>
  <c r="AC14" i="2"/>
  <c r="AB14" i="2"/>
  <c r="AD12" i="2"/>
  <c r="AC12" i="2"/>
  <c r="AB12" i="2"/>
  <c r="AD11" i="2"/>
  <c r="AC11" i="2"/>
  <c r="AB11" i="2"/>
  <c r="AD10" i="2"/>
  <c r="AC10" i="2"/>
  <c r="AB10" i="2"/>
  <c r="AD9" i="2"/>
  <c r="AC9" i="2"/>
  <c r="AB9" i="2"/>
  <c r="AD8" i="2"/>
  <c r="AC8" i="2"/>
  <c r="AB8" i="2"/>
  <c r="AD35" i="2"/>
  <c r="AC35" i="2"/>
  <c r="AB35" i="2"/>
  <c r="AD7" i="2"/>
  <c r="AC7" i="2"/>
  <c r="AB7" i="2"/>
  <c r="AD6" i="2"/>
  <c r="AC6" i="2"/>
  <c r="AB6" i="2"/>
  <c r="AD5" i="2"/>
  <c r="AC5" i="2"/>
  <c r="AB5" i="2"/>
  <c r="AD4" i="2"/>
  <c r="AC4" i="2"/>
  <c r="AB4" i="2"/>
  <c r="AD3" i="2"/>
  <c r="AC3" i="2"/>
  <c r="AB3" i="2"/>
  <c r="AD2" i="2"/>
  <c r="AC2" i="2"/>
  <c r="AB2" i="2"/>
  <c r="AD13" i="2"/>
  <c r="AC13" i="2"/>
  <c r="AB13" i="2"/>
  <c r="L66" i="2"/>
  <c r="K66" i="2"/>
  <c r="J66" i="2"/>
  <c r="L65" i="2"/>
  <c r="K65" i="2"/>
  <c r="J65" i="2"/>
  <c r="L64" i="2"/>
  <c r="K64" i="2"/>
  <c r="J64" i="2"/>
  <c r="L63" i="2"/>
  <c r="K63" i="2"/>
  <c r="J63" i="2"/>
  <c r="L62" i="2"/>
  <c r="K62" i="2"/>
  <c r="J62" i="2"/>
  <c r="L61" i="2"/>
  <c r="K61" i="2"/>
  <c r="J61" i="2"/>
  <c r="L60" i="2"/>
  <c r="K60" i="2"/>
  <c r="J60" i="2"/>
  <c r="L59" i="2"/>
  <c r="K59" i="2"/>
  <c r="J59" i="2"/>
  <c r="L58" i="2"/>
  <c r="K58" i="2"/>
  <c r="J58" i="2"/>
  <c r="L57" i="2"/>
  <c r="K57" i="2"/>
  <c r="J57" i="2"/>
  <c r="L56" i="2"/>
  <c r="K56" i="2"/>
  <c r="J56" i="2"/>
  <c r="L55" i="2"/>
  <c r="K55" i="2"/>
  <c r="J55" i="2"/>
  <c r="L54" i="2"/>
  <c r="K54" i="2"/>
  <c r="J54" i="2"/>
  <c r="L53" i="2"/>
  <c r="K53" i="2"/>
  <c r="J53" i="2"/>
  <c r="L52" i="2"/>
  <c r="K52" i="2"/>
  <c r="J52" i="2"/>
  <c r="L51" i="2"/>
  <c r="K51" i="2"/>
  <c r="J51" i="2"/>
  <c r="L50" i="2"/>
  <c r="K50" i="2"/>
  <c r="J50" i="2"/>
  <c r="L49" i="2"/>
  <c r="K49" i="2"/>
  <c r="J49" i="2"/>
  <c r="L48" i="2"/>
  <c r="K48" i="2"/>
  <c r="J48" i="2"/>
  <c r="L47" i="2"/>
  <c r="K47" i="2"/>
  <c r="J47" i="2"/>
  <c r="L46" i="2"/>
  <c r="K46" i="2"/>
  <c r="J46" i="2"/>
  <c r="L45" i="2"/>
  <c r="K45" i="2"/>
  <c r="J45" i="2"/>
  <c r="L44" i="2"/>
  <c r="K44" i="2"/>
  <c r="J44" i="2"/>
  <c r="L23" i="2"/>
  <c r="K23" i="2"/>
  <c r="J23" i="2"/>
  <c r="L22" i="2"/>
  <c r="K22" i="2"/>
  <c r="J22" i="2"/>
  <c r="L21" i="2"/>
  <c r="K21" i="2"/>
  <c r="J21" i="2"/>
  <c r="L20" i="2"/>
  <c r="K20" i="2"/>
  <c r="J20" i="2"/>
  <c r="L43" i="2"/>
  <c r="K43" i="2"/>
  <c r="J43" i="2"/>
  <c r="L42" i="2"/>
  <c r="K42" i="2"/>
  <c r="J42" i="2"/>
  <c r="L41" i="2"/>
  <c r="K41" i="2"/>
  <c r="J41" i="2"/>
  <c r="L19" i="2"/>
  <c r="K19" i="2"/>
  <c r="J19" i="2"/>
  <c r="L39" i="2"/>
  <c r="K39" i="2"/>
  <c r="J39" i="2"/>
  <c r="L37" i="2"/>
  <c r="K37" i="2"/>
  <c r="J37" i="2"/>
  <c r="L36" i="2"/>
  <c r="K36" i="2"/>
  <c r="J36" i="2"/>
  <c r="L34" i="2"/>
  <c r="K34" i="2"/>
  <c r="J34" i="2"/>
  <c r="L33" i="2"/>
  <c r="K33" i="2"/>
  <c r="J33" i="2"/>
  <c r="L32" i="2"/>
  <c r="K32" i="2"/>
  <c r="J32" i="2"/>
  <c r="L31" i="2"/>
  <c r="K31" i="2"/>
  <c r="J31" i="2"/>
  <c r="L30" i="2"/>
  <c r="K30" i="2"/>
  <c r="J30" i="2"/>
  <c r="L29" i="2"/>
  <c r="K29" i="2"/>
  <c r="J29" i="2"/>
  <c r="L28" i="2"/>
  <c r="K28" i="2"/>
  <c r="J28" i="2"/>
  <c r="L27" i="2"/>
  <c r="K27" i="2"/>
  <c r="J27" i="2"/>
  <c r="L26" i="2"/>
  <c r="K26" i="2"/>
  <c r="J26" i="2"/>
  <c r="L25" i="2"/>
  <c r="K25" i="2"/>
  <c r="J25" i="2"/>
  <c r="L24" i="2"/>
  <c r="K24" i="2"/>
  <c r="J24" i="2"/>
  <c r="L18" i="2"/>
  <c r="K18" i="2"/>
  <c r="J18" i="2"/>
  <c r="L17" i="2"/>
  <c r="K17" i="2"/>
  <c r="J17" i="2"/>
  <c r="L16" i="2"/>
  <c r="K16" i="2"/>
  <c r="J16" i="2"/>
  <c r="L15" i="2"/>
  <c r="K15" i="2"/>
  <c r="J15" i="2"/>
  <c r="L14" i="2"/>
  <c r="K14" i="2"/>
  <c r="J14" i="2"/>
  <c r="L12" i="2"/>
  <c r="K12" i="2"/>
  <c r="J12" i="2"/>
  <c r="L11" i="2"/>
  <c r="K11" i="2"/>
  <c r="J11" i="2"/>
  <c r="L10" i="2"/>
  <c r="K10" i="2"/>
  <c r="J10" i="2"/>
  <c r="L9" i="2"/>
  <c r="K9" i="2"/>
  <c r="J9" i="2"/>
  <c r="L8" i="2"/>
  <c r="K8" i="2"/>
  <c r="J8" i="2"/>
  <c r="L35" i="2"/>
  <c r="K35" i="2"/>
  <c r="J35" i="2"/>
  <c r="L7" i="2"/>
  <c r="K7" i="2"/>
  <c r="J7" i="2"/>
  <c r="L6" i="2"/>
  <c r="K6" i="2"/>
  <c r="J6" i="2"/>
  <c r="L5" i="2"/>
  <c r="K5" i="2"/>
  <c r="J5" i="2"/>
  <c r="L4" i="2"/>
  <c r="K4" i="2"/>
  <c r="J4" i="2"/>
  <c r="L3" i="2"/>
  <c r="K3" i="2"/>
  <c r="J3" i="2"/>
  <c r="L2" i="2"/>
  <c r="K2" i="2"/>
  <c r="J2" i="2"/>
  <c r="L13" i="2"/>
  <c r="K13" i="2"/>
  <c r="J13" i="2"/>
  <c r="AE4" i="2" l="1"/>
  <c r="AE35" i="2"/>
  <c r="AE11" i="2"/>
  <c r="AE16" i="2"/>
  <c r="AE25" i="2"/>
  <c r="AE29" i="2"/>
  <c r="AE33" i="2"/>
  <c r="AE39" i="2"/>
  <c r="AE43" i="2"/>
  <c r="AE23" i="2"/>
  <c r="AE47" i="2"/>
  <c r="AE51" i="2"/>
  <c r="AE55" i="2"/>
  <c r="AE59" i="2"/>
  <c r="AE63" i="2"/>
  <c r="AE24" i="2"/>
  <c r="AE28" i="2"/>
  <c r="AE32" i="2"/>
  <c r="AE37" i="2"/>
  <c r="AE42" i="2"/>
  <c r="AE22" i="2"/>
  <c r="AE46" i="2"/>
  <c r="AE50" i="2"/>
  <c r="AE54" i="2"/>
  <c r="AE58" i="2"/>
  <c r="AE62" i="2"/>
  <c r="AE3" i="2"/>
  <c r="AE7" i="2"/>
  <c r="AE10" i="2"/>
  <c r="AE15" i="2"/>
  <c r="AE66" i="2"/>
  <c r="AE2" i="2"/>
  <c r="AE6" i="2"/>
  <c r="AE9" i="2"/>
  <c r="AE14" i="2"/>
  <c r="AE18" i="2"/>
  <c r="AE27" i="2"/>
  <c r="AE31" i="2"/>
  <c r="AE36" i="2"/>
  <c r="AE41" i="2"/>
  <c r="AE21" i="2"/>
  <c r="AE45" i="2"/>
  <c r="AE49" i="2"/>
  <c r="AE53" i="2"/>
  <c r="AE57" i="2"/>
  <c r="AE61" i="2"/>
  <c r="AE65" i="2"/>
  <c r="AE13" i="2"/>
  <c r="AE5" i="2"/>
  <c r="AE8" i="2"/>
  <c r="AE12" i="2"/>
  <c r="AE17" i="2"/>
  <c r="AE26" i="2"/>
  <c r="AE30" i="2"/>
  <c r="AE34" i="2"/>
  <c r="AE19" i="2"/>
  <c r="AE20" i="2"/>
  <c r="AE44" i="2"/>
  <c r="AE48" i="2"/>
  <c r="AE52" i="2"/>
  <c r="AE56" i="2"/>
  <c r="AE60" i="2"/>
  <c r="AE64" i="2"/>
  <c r="M39" i="2"/>
  <c r="M43" i="2"/>
  <c r="M23" i="2"/>
  <c r="M47" i="2"/>
  <c r="M51" i="2"/>
  <c r="M55" i="2"/>
  <c r="M59" i="2"/>
  <c r="M42" i="2"/>
  <c r="M22" i="2"/>
  <c r="M46" i="2"/>
  <c r="M50" i="2"/>
  <c r="M54" i="2"/>
  <c r="M58" i="2"/>
  <c r="M62" i="2"/>
  <c r="M66" i="2"/>
  <c r="M63" i="2"/>
  <c r="M2" i="2"/>
  <c r="M6" i="2"/>
  <c r="M9" i="2"/>
  <c r="M14" i="2"/>
  <c r="M18" i="2"/>
  <c r="M27" i="2"/>
  <c r="M31" i="2"/>
  <c r="M36" i="2"/>
  <c r="M13" i="2"/>
  <c r="M5" i="2"/>
  <c r="M8" i="2"/>
  <c r="M12" i="2"/>
  <c r="M17" i="2"/>
  <c r="M26" i="2"/>
  <c r="M30" i="2"/>
  <c r="M34" i="2"/>
  <c r="M4" i="2"/>
  <c r="M35" i="2"/>
  <c r="M11" i="2"/>
  <c r="M16" i="2"/>
  <c r="M25" i="2"/>
  <c r="M29" i="2"/>
  <c r="M33" i="2"/>
  <c r="M41" i="2"/>
  <c r="M21" i="2"/>
  <c r="M45" i="2"/>
  <c r="M49" i="2"/>
  <c r="M53" i="2"/>
  <c r="M57" i="2"/>
  <c r="M61" i="2"/>
  <c r="M65" i="2"/>
  <c r="M3" i="2"/>
  <c r="M7" i="2"/>
  <c r="M10" i="2"/>
  <c r="M15" i="2"/>
  <c r="M24" i="2"/>
  <c r="M28" i="2"/>
  <c r="M32" i="2"/>
  <c r="M37" i="2"/>
  <c r="M19" i="2"/>
  <c r="M20" i="2"/>
  <c r="M44" i="2"/>
  <c r="M48" i="2"/>
  <c r="M52" i="2"/>
  <c r="M56" i="2"/>
  <c r="M60" i="2"/>
  <c r="M64" i="2"/>
  <c r="G66" i="2"/>
  <c r="G65" i="2"/>
  <c r="G64" i="2"/>
  <c r="G63" i="2"/>
  <c r="G62" i="2"/>
  <c r="G61" i="2"/>
  <c r="G60" i="2"/>
  <c r="G59" i="2"/>
  <c r="G58" i="2"/>
  <c r="G57" i="2"/>
  <c r="G56" i="2"/>
  <c r="G55" i="2"/>
  <c r="G54" i="2"/>
  <c r="G53" i="2"/>
  <c r="G52" i="2"/>
  <c r="G51" i="2"/>
  <c r="G50" i="2"/>
  <c r="G49" i="2"/>
  <c r="G48" i="2"/>
  <c r="G47" i="2"/>
  <c r="G46" i="2"/>
  <c r="G45" i="2"/>
  <c r="G44" i="2"/>
  <c r="G23" i="2"/>
  <c r="G22" i="2"/>
  <c r="G21" i="2"/>
  <c r="G20" i="2"/>
  <c r="G43" i="2"/>
  <c r="G42" i="2"/>
  <c r="G41" i="2"/>
  <c r="G19" i="2"/>
  <c r="G40" i="2"/>
  <c r="G39" i="2"/>
  <c r="G38" i="2"/>
  <c r="G37" i="2"/>
  <c r="G36" i="2"/>
  <c r="W34" i="2"/>
  <c r="G34" i="2"/>
  <c r="G33" i="2"/>
  <c r="G32" i="2"/>
  <c r="G31" i="2"/>
  <c r="G30" i="2"/>
  <c r="G29" i="2"/>
  <c r="G28" i="2"/>
  <c r="G27" i="2"/>
  <c r="G26" i="2"/>
  <c r="G25" i="2"/>
  <c r="G24" i="2"/>
  <c r="G18" i="2"/>
  <c r="G17" i="2"/>
  <c r="G16" i="2"/>
  <c r="G15" i="2"/>
  <c r="G14" i="2"/>
  <c r="G12" i="2"/>
  <c r="G11" i="2"/>
  <c r="G10" i="2"/>
  <c r="G9" i="2"/>
  <c r="G8" i="2"/>
  <c r="G35" i="2"/>
  <c r="G7" i="2"/>
  <c r="G6" i="2"/>
  <c r="G5" i="2"/>
  <c r="G4" i="2"/>
  <c r="G3" i="2"/>
  <c r="G2" i="2"/>
  <c r="G13" i="2"/>
  <c r="AD57" i="9" l="1"/>
  <c r="AC57" i="9"/>
  <c r="AB57" i="9"/>
  <c r="AD56" i="9"/>
  <c r="AC56" i="9"/>
  <c r="AB56" i="9"/>
  <c r="AD55" i="9"/>
  <c r="AC55" i="9"/>
  <c r="AB55" i="9"/>
  <c r="AD54" i="9"/>
  <c r="AC54" i="9"/>
  <c r="AB54" i="9"/>
  <c r="AD53" i="9"/>
  <c r="AC53" i="9"/>
  <c r="AB53" i="9"/>
  <c r="AD52" i="9"/>
  <c r="AC52" i="9"/>
  <c r="AB52" i="9"/>
  <c r="AD51" i="9"/>
  <c r="AC51" i="9"/>
  <c r="AB51" i="9"/>
  <c r="AD50" i="9"/>
  <c r="AC50" i="9"/>
  <c r="AB50" i="9"/>
  <c r="AD49" i="9"/>
  <c r="AC49" i="9"/>
  <c r="AB49" i="9"/>
  <c r="AD48" i="9"/>
  <c r="AC48" i="9"/>
  <c r="AB48" i="9"/>
  <c r="AD47" i="9"/>
  <c r="AC47" i="9"/>
  <c r="AB47" i="9"/>
  <c r="AD46" i="9"/>
  <c r="AC46" i="9"/>
  <c r="AB46" i="9"/>
  <c r="AD45" i="9"/>
  <c r="AC45" i="9"/>
  <c r="AB45" i="9"/>
  <c r="AD44" i="9"/>
  <c r="AC44" i="9"/>
  <c r="AB44" i="9"/>
  <c r="AD42" i="9"/>
  <c r="AC42" i="9"/>
  <c r="AB42" i="9"/>
  <c r="AD41" i="9"/>
  <c r="AC41" i="9"/>
  <c r="AB41" i="9"/>
  <c r="AD40" i="9"/>
  <c r="AC40" i="9"/>
  <c r="AB40" i="9"/>
  <c r="AD39" i="9"/>
  <c r="AC39" i="9"/>
  <c r="AB39" i="9"/>
  <c r="AD38" i="9"/>
  <c r="AC38" i="9"/>
  <c r="AB38" i="9"/>
  <c r="AD37" i="9"/>
  <c r="AC37" i="9"/>
  <c r="AB37" i="9"/>
  <c r="AD36" i="9"/>
  <c r="AC36" i="9"/>
  <c r="AB36" i="9"/>
  <c r="AD35" i="9"/>
  <c r="AC35" i="9"/>
  <c r="AB35" i="9"/>
  <c r="AD34" i="9"/>
  <c r="AC34" i="9"/>
  <c r="AB34" i="9"/>
  <c r="AD33" i="9"/>
  <c r="AC33" i="9"/>
  <c r="AB33" i="9"/>
  <c r="AD32" i="9"/>
  <c r="AC32" i="9"/>
  <c r="AB32" i="9"/>
  <c r="AD31" i="9"/>
  <c r="AC31" i="9"/>
  <c r="AB31" i="9"/>
  <c r="AD30" i="9"/>
  <c r="AC30" i="9"/>
  <c r="AB30" i="9"/>
  <c r="AD29" i="9"/>
  <c r="AC29" i="9"/>
  <c r="AB29" i="9"/>
  <c r="AD28" i="9"/>
  <c r="AC28" i="9"/>
  <c r="AB28" i="9"/>
  <c r="AD27" i="9"/>
  <c r="AC27" i="9"/>
  <c r="AB27" i="9"/>
  <c r="AD26" i="9"/>
  <c r="AC26" i="9"/>
  <c r="AB26" i="9"/>
  <c r="AD25" i="9"/>
  <c r="AC25" i="9"/>
  <c r="AB25" i="9"/>
  <c r="AD24" i="9"/>
  <c r="AC24" i="9"/>
  <c r="AB24" i="9"/>
  <c r="AD23" i="9"/>
  <c r="AC23" i="9"/>
  <c r="AB23" i="9"/>
  <c r="AD22" i="9"/>
  <c r="AC22" i="9"/>
  <c r="AB22" i="9"/>
  <c r="AD21" i="9"/>
  <c r="AC21" i="9"/>
  <c r="AB21" i="9"/>
  <c r="AD20" i="9"/>
  <c r="AC20" i="9"/>
  <c r="AB20" i="9"/>
  <c r="AD19" i="9"/>
  <c r="AC19" i="9"/>
  <c r="AB19" i="9"/>
  <c r="AD18" i="9"/>
  <c r="AC18" i="9"/>
  <c r="AB18" i="9"/>
  <c r="AD17" i="9"/>
  <c r="AC17" i="9"/>
  <c r="AB17" i="9"/>
  <c r="AD16" i="9"/>
  <c r="AC16" i="9"/>
  <c r="AB16" i="9"/>
  <c r="AD15" i="9"/>
  <c r="AC15" i="9"/>
  <c r="AB15" i="9"/>
  <c r="AD14" i="9"/>
  <c r="AC14" i="9"/>
  <c r="AB14" i="9"/>
  <c r="AD13" i="9"/>
  <c r="AC13" i="9"/>
  <c r="AB13" i="9"/>
  <c r="AD12" i="9"/>
  <c r="AC12" i="9"/>
  <c r="AB12" i="9"/>
  <c r="AD11" i="9"/>
  <c r="AC11" i="9"/>
  <c r="AB11" i="9"/>
  <c r="AD10" i="9"/>
  <c r="AC10" i="9"/>
  <c r="AB10" i="9"/>
  <c r="AD9" i="9"/>
  <c r="AC9" i="9"/>
  <c r="AB9" i="9"/>
  <c r="AD8" i="9"/>
  <c r="AC8" i="9"/>
  <c r="AB8" i="9"/>
  <c r="AD7" i="9"/>
  <c r="AC7" i="9"/>
  <c r="AB7" i="9"/>
  <c r="AD6" i="9"/>
  <c r="AC6" i="9"/>
  <c r="AB6" i="9"/>
  <c r="AD5" i="9"/>
  <c r="AC5" i="9"/>
  <c r="AB5" i="9"/>
  <c r="AD4" i="9"/>
  <c r="AC4" i="9"/>
  <c r="AB4" i="9"/>
  <c r="AD3" i="9"/>
  <c r="AC3" i="9"/>
  <c r="AB3" i="9"/>
  <c r="AD2" i="9"/>
  <c r="AC2" i="9"/>
  <c r="AB2" i="9"/>
  <c r="L57" i="9"/>
  <c r="K57" i="9"/>
  <c r="J57" i="9"/>
  <c r="L56" i="9"/>
  <c r="K56" i="9"/>
  <c r="J56" i="9"/>
  <c r="L55" i="9"/>
  <c r="K55" i="9"/>
  <c r="J55" i="9"/>
  <c r="L54" i="9"/>
  <c r="K54" i="9"/>
  <c r="J54" i="9"/>
  <c r="L53" i="9"/>
  <c r="K53" i="9"/>
  <c r="J53" i="9"/>
  <c r="L52" i="9"/>
  <c r="K52" i="9"/>
  <c r="J52" i="9"/>
  <c r="L51" i="9"/>
  <c r="K51" i="9"/>
  <c r="J51" i="9"/>
  <c r="L50" i="9"/>
  <c r="K50" i="9"/>
  <c r="J50" i="9"/>
  <c r="L49" i="9"/>
  <c r="K49" i="9"/>
  <c r="J49" i="9"/>
  <c r="L48" i="9"/>
  <c r="K48" i="9"/>
  <c r="J48" i="9"/>
  <c r="L47" i="9"/>
  <c r="K47" i="9"/>
  <c r="J47" i="9"/>
  <c r="L46" i="9"/>
  <c r="K46" i="9"/>
  <c r="J46" i="9"/>
  <c r="L45" i="9"/>
  <c r="K45" i="9"/>
  <c r="J45" i="9"/>
  <c r="L44" i="9"/>
  <c r="K44" i="9"/>
  <c r="J44" i="9"/>
  <c r="L42" i="9"/>
  <c r="K42" i="9"/>
  <c r="J42" i="9"/>
  <c r="L41" i="9"/>
  <c r="K41" i="9"/>
  <c r="J41" i="9"/>
  <c r="L40" i="9"/>
  <c r="K40" i="9"/>
  <c r="J40" i="9"/>
  <c r="L39" i="9"/>
  <c r="K39" i="9"/>
  <c r="J39" i="9"/>
  <c r="L38" i="9"/>
  <c r="K38" i="9"/>
  <c r="J38" i="9"/>
  <c r="L37" i="9"/>
  <c r="K37" i="9"/>
  <c r="J37" i="9"/>
  <c r="L36" i="9"/>
  <c r="K36" i="9"/>
  <c r="J36" i="9"/>
  <c r="L35" i="9"/>
  <c r="K35" i="9"/>
  <c r="J35" i="9"/>
  <c r="L34" i="9"/>
  <c r="K34" i="9"/>
  <c r="J34" i="9"/>
  <c r="L33" i="9"/>
  <c r="K33" i="9"/>
  <c r="J33" i="9"/>
  <c r="L32" i="9"/>
  <c r="K32" i="9"/>
  <c r="J32" i="9"/>
  <c r="L31" i="9"/>
  <c r="K31" i="9"/>
  <c r="J31" i="9"/>
  <c r="L30" i="9"/>
  <c r="K30" i="9"/>
  <c r="J30" i="9"/>
  <c r="L29" i="9"/>
  <c r="K29" i="9"/>
  <c r="J29" i="9"/>
  <c r="L28" i="9"/>
  <c r="K28" i="9"/>
  <c r="J28" i="9"/>
  <c r="L27" i="9"/>
  <c r="K27" i="9"/>
  <c r="J27" i="9"/>
  <c r="L26" i="9"/>
  <c r="K26" i="9"/>
  <c r="J26" i="9"/>
  <c r="L25" i="9"/>
  <c r="K25" i="9"/>
  <c r="J25" i="9"/>
  <c r="L24" i="9"/>
  <c r="K24" i="9"/>
  <c r="J24" i="9"/>
  <c r="L23" i="9"/>
  <c r="K23" i="9"/>
  <c r="J23" i="9"/>
  <c r="L22" i="9"/>
  <c r="K22" i="9"/>
  <c r="J22" i="9"/>
  <c r="L21" i="9"/>
  <c r="K21" i="9"/>
  <c r="J21" i="9"/>
  <c r="L20" i="9"/>
  <c r="K20" i="9"/>
  <c r="J20" i="9"/>
  <c r="L19" i="9"/>
  <c r="K19" i="9"/>
  <c r="J19" i="9"/>
  <c r="L18" i="9"/>
  <c r="K18" i="9"/>
  <c r="J18" i="9"/>
  <c r="L17" i="9"/>
  <c r="K17" i="9"/>
  <c r="J17" i="9"/>
  <c r="L16" i="9"/>
  <c r="K16" i="9"/>
  <c r="J16" i="9"/>
  <c r="L15" i="9"/>
  <c r="K15" i="9"/>
  <c r="J15" i="9"/>
  <c r="L14" i="9"/>
  <c r="K14" i="9"/>
  <c r="J14" i="9"/>
  <c r="L13" i="9"/>
  <c r="K13" i="9"/>
  <c r="J13" i="9"/>
  <c r="L12" i="9"/>
  <c r="K12" i="9"/>
  <c r="J12" i="9"/>
  <c r="L11" i="9"/>
  <c r="K11" i="9"/>
  <c r="J11" i="9"/>
  <c r="L10" i="9"/>
  <c r="K10" i="9"/>
  <c r="J10" i="9"/>
  <c r="L9" i="9"/>
  <c r="K9" i="9"/>
  <c r="J9" i="9"/>
  <c r="L8" i="9"/>
  <c r="K8" i="9"/>
  <c r="J8" i="9"/>
  <c r="L7" i="9"/>
  <c r="K7" i="9"/>
  <c r="J7" i="9"/>
  <c r="L6" i="9"/>
  <c r="K6" i="9"/>
  <c r="J6" i="9"/>
  <c r="L5" i="9"/>
  <c r="K5" i="9"/>
  <c r="J5" i="9"/>
  <c r="L4" i="9"/>
  <c r="K4" i="9"/>
  <c r="J4" i="9"/>
  <c r="L3" i="9"/>
  <c r="K3" i="9"/>
  <c r="J3" i="9"/>
  <c r="L2" i="9"/>
  <c r="K2" i="9"/>
  <c r="J2" i="9"/>
  <c r="AE4" i="9" l="1"/>
  <c r="AE8" i="9"/>
  <c r="AE12" i="9"/>
  <c r="AE16" i="9"/>
  <c r="AE20" i="9"/>
  <c r="AE24" i="9"/>
  <c r="AE28" i="9"/>
  <c r="AE32" i="9"/>
  <c r="AE36" i="9"/>
  <c r="AE40" i="9"/>
  <c r="AE45" i="9"/>
  <c r="AE49" i="9"/>
  <c r="AE53" i="9"/>
  <c r="AE57" i="9"/>
  <c r="AE3" i="9"/>
  <c r="AE7" i="9"/>
  <c r="AE11" i="9"/>
  <c r="AE15" i="9"/>
  <c r="AE19" i="9"/>
  <c r="AE23" i="9"/>
  <c r="AE27" i="9"/>
  <c r="M5" i="9"/>
  <c r="M9" i="9"/>
  <c r="M13" i="9"/>
  <c r="M17" i="9"/>
  <c r="M21" i="9"/>
  <c r="M25" i="9"/>
  <c r="M29" i="9"/>
  <c r="M33" i="9"/>
  <c r="M37" i="9"/>
  <c r="M4" i="9"/>
  <c r="M8" i="9"/>
  <c r="M12" i="9"/>
  <c r="M16" i="9"/>
  <c r="M20" i="9"/>
  <c r="M24" i="9"/>
  <c r="M28" i="9"/>
  <c r="M32" i="9"/>
  <c r="M36" i="9"/>
  <c r="M40" i="9"/>
  <c r="M45" i="9"/>
  <c r="M49" i="9"/>
  <c r="M53" i="9"/>
  <c r="M57" i="9"/>
  <c r="AE5" i="9"/>
  <c r="AE9" i="9"/>
  <c r="AE13" i="9"/>
  <c r="AE17" i="9"/>
  <c r="AE21" i="9"/>
  <c r="AE25" i="9"/>
  <c r="AE29" i="9"/>
  <c r="AE33" i="9"/>
  <c r="AE37" i="9"/>
  <c r="AE41" i="9"/>
  <c r="AE46" i="9"/>
  <c r="AE50" i="9"/>
  <c r="AE54" i="9"/>
  <c r="AE31" i="9"/>
  <c r="AE35" i="9"/>
  <c r="AE39" i="9"/>
  <c r="AE44" i="9"/>
  <c r="AE48" i="9"/>
  <c r="AE52" i="9"/>
  <c r="AE56" i="9"/>
  <c r="M41" i="9"/>
  <c r="M46" i="9"/>
  <c r="M50" i="9"/>
  <c r="M54" i="9"/>
  <c r="AE2" i="9"/>
  <c r="AE6" i="9"/>
  <c r="AE10" i="9"/>
  <c r="AE14" i="9"/>
  <c r="AE18" i="9"/>
  <c r="AE22" i="9"/>
  <c r="AE26" i="9"/>
  <c r="AE30" i="9"/>
  <c r="AE34" i="9"/>
  <c r="AE38" i="9"/>
  <c r="AE42" i="9"/>
  <c r="AE47" i="9"/>
  <c r="AE51" i="9"/>
  <c r="AE55" i="9"/>
  <c r="M7" i="9"/>
  <c r="M11" i="9"/>
  <c r="M15" i="9"/>
  <c r="M19" i="9"/>
  <c r="M23" i="9"/>
  <c r="M27" i="9"/>
  <c r="M31" i="9"/>
  <c r="M35" i="9"/>
  <c r="M39" i="9"/>
  <c r="M44" i="9"/>
  <c r="M48" i="9"/>
  <c r="M52" i="9"/>
  <c r="M56" i="9"/>
  <c r="M3" i="9"/>
  <c r="M2" i="9"/>
  <c r="M6" i="9"/>
  <c r="M10" i="9"/>
  <c r="M14" i="9"/>
  <c r="M18" i="9"/>
  <c r="M22" i="9"/>
  <c r="M26" i="9"/>
  <c r="M30" i="9"/>
  <c r="M34" i="9"/>
  <c r="M38" i="9"/>
  <c r="M42" i="9"/>
  <c r="M47" i="9"/>
  <c r="M51" i="9"/>
  <c r="M55" i="9"/>
  <c r="G57" i="9" l="1"/>
  <c r="G56" i="9"/>
  <c r="G55" i="9"/>
  <c r="G54" i="9"/>
  <c r="G53" i="9"/>
  <c r="G46" i="9"/>
  <c r="G45" i="9"/>
  <c r="G44" i="9"/>
  <c r="G29" i="9"/>
  <c r="G28" i="9"/>
  <c r="G27" i="9"/>
  <c r="G26" i="9"/>
  <c r="G14" i="9"/>
  <c r="G13" i="9"/>
  <c r="G12" i="9"/>
  <c r="G11" i="9"/>
  <c r="G10" i="9"/>
  <c r="G9" i="9"/>
  <c r="G8" i="9"/>
  <c r="G7" i="9"/>
  <c r="G6" i="9"/>
  <c r="G5" i="9"/>
  <c r="G4" i="9"/>
</calcChain>
</file>

<file path=xl/sharedStrings.xml><?xml version="1.0" encoding="utf-8"?>
<sst xmlns="http://schemas.openxmlformats.org/spreadsheetml/2006/main" count="53047" uniqueCount="2931">
  <si>
    <t>Season</t>
  </si>
  <si>
    <t>Pair ID (Bird 1)</t>
  </si>
  <si>
    <t>Pair ID (Bird 2)</t>
  </si>
  <si>
    <t>Nest habitat</t>
  </si>
  <si>
    <t># fledged</t>
  </si>
  <si>
    <t>EA Left (Orange)</t>
  </si>
  <si>
    <t>Orange/metal; Orange</t>
  </si>
  <si>
    <t>December</t>
  </si>
  <si>
    <t>Y</t>
  </si>
  <si>
    <t>Sign Access Temporary, Sign Nest, Rope fence</t>
  </si>
  <si>
    <t>Beach</t>
  </si>
  <si>
    <t>Tide</t>
  </si>
  <si>
    <t>January</t>
  </si>
  <si>
    <t>Sign Nest, Rope fence</t>
  </si>
  <si>
    <t>Coal Creek Estuary Mouth - Harmers Haven</t>
  </si>
  <si>
    <t>HP Right (Orange)</t>
  </si>
  <si>
    <t>Unbanded</t>
  </si>
  <si>
    <t>November</t>
  </si>
  <si>
    <t>Sign Access Temporary</t>
  </si>
  <si>
    <t>Estuary/spit</t>
  </si>
  <si>
    <t>Unknown</t>
  </si>
  <si>
    <t>February</t>
  </si>
  <si>
    <t>March</t>
  </si>
  <si>
    <t>Cape Paterson - Pea Creek Estuary &amp; Undertow Bay</t>
  </si>
  <si>
    <t>KY Left (Orange)</t>
  </si>
  <si>
    <t>Abandoned</t>
  </si>
  <si>
    <t>Inverloch - Point Norman East</t>
  </si>
  <si>
    <t>UZ Right (Orange)</t>
  </si>
  <si>
    <t>September</t>
  </si>
  <si>
    <t>October</t>
  </si>
  <si>
    <t>VT Left (Orange)</t>
  </si>
  <si>
    <t>04 Right (Yellow)</t>
  </si>
  <si>
    <t>Fox</t>
  </si>
  <si>
    <t>Inverloch - Screw Creek West</t>
  </si>
  <si>
    <t>TK Left (Orange)</t>
  </si>
  <si>
    <t>The Oaks Bay - Cape Paterson</t>
  </si>
  <si>
    <t>Dune</t>
  </si>
  <si>
    <t>Waterfall Creek - Harmers Haven</t>
  </si>
  <si>
    <t>JS Right (Orange)</t>
  </si>
  <si>
    <t>Wilsons Rd 1st &amp; 2nd Bays West</t>
  </si>
  <si>
    <t>Orange metal; Blue</t>
  </si>
  <si>
    <t>N</t>
  </si>
  <si>
    <t>None</t>
  </si>
  <si>
    <t>Wilsons Rd 2nd Bay West End</t>
  </si>
  <si>
    <t>Metal left only</t>
  </si>
  <si>
    <t>Wilsons Rd 3rd Bay West</t>
  </si>
  <si>
    <t>Coal Creek Estuary - 2nd Bay East</t>
  </si>
  <si>
    <t>Rope fence</t>
  </si>
  <si>
    <t>Raven</t>
  </si>
  <si>
    <t>YV Right (Orange)</t>
  </si>
  <si>
    <t>Orange/metal; Red/yellow</t>
  </si>
  <si>
    <t>Foredune/face</t>
  </si>
  <si>
    <t>Sign Access Temporary, Rope fence</t>
  </si>
  <si>
    <t>KK Left (Orange)</t>
  </si>
  <si>
    <t>Wilsons Rd Eastward 3rd drain</t>
  </si>
  <si>
    <t>13 Left (Yellow)</t>
  </si>
  <si>
    <t>Wreck Beach - Harmers Haven</t>
  </si>
  <si>
    <t>Cape Paterson - 2nd Surf Beach</t>
  </si>
  <si>
    <r>
      <rPr>
        <b/>
        <sz val="11"/>
        <color theme="1"/>
        <rFont val="Aptos Narrow"/>
        <family val="2"/>
        <scheme val="minor"/>
      </rPr>
      <t>Inverloch - Point Norman East</t>
    </r>
    <r>
      <rPr>
        <sz val="11"/>
        <color theme="1"/>
        <rFont val="Aptos Narrow"/>
        <family val="2"/>
        <scheme val="minor"/>
      </rPr>
      <t xml:space="preserve"> / Inverloch - Abbott St</t>
    </r>
  </si>
  <si>
    <r>
      <t xml:space="preserve">Inverloch - Point Norman East / </t>
    </r>
    <r>
      <rPr>
        <b/>
        <sz val="11"/>
        <color theme="1"/>
        <rFont val="Aptos Narrow"/>
        <family val="2"/>
        <scheme val="minor"/>
      </rPr>
      <t>Inverloch - Abbott St</t>
    </r>
  </si>
  <si>
    <t>Inverloch - Abbott St East</t>
  </si>
  <si>
    <t>YW Left (Orange)</t>
  </si>
  <si>
    <r>
      <rPr>
        <b/>
        <sz val="11"/>
        <color theme="1"/>
        <rFont val="Aptos Narrow"/>
        <family val="2"/>
        <scheme val="minor"/>
      </rPr>
      <t>The Oaks Bay - Cape Paterson</t>
    </r>
    <r>
      <rPr>
        <sz val="11"/>
        <color theme="1"/>
        <rFont val="Aptos Narrow"/>
        <family val="2"/>
        <scheme val="minor"/>
      </rPr>
      <t xml:space="preserve"> / Twin Reefs - Bunurong Coast Rd</t>
    </r>
  </si>
  <si>
    <t>Orange metal; Black/ Yellow</t>
  </si>
  <si>
    <t>August</t>
  </si>
  <si>
    <t>Sign Access Temporary, Sign Nest</t>
  </si>
  <si>
    <r>
      <t xml:space="preserve">The Oaks Bay - Cape Paterson / </t>
    </r>
    <r>
      <rPr>
        <b/>
        <sz val="11"/>
        <color theme="1"/>
        <rFont val="Aptos Narrow"/>
        <family val="2"/>
        <scheme val="minor"/>
      </rPr>
      <t>Twin Reefs - Bunurong Coast Rd</t>
    </r>
  </si>
  <si>
    <r>
      <rPr>
        <b/>
        <sz val="11"/>
        <color theme="1"/>
        <rFont val="Aptos Narrow"/>
        <family val="2"/>
        <scheme val="minor"/>
      </rPr>
      <t>Wilsons Rd 1st &amp; 2nd Bays West</t>
    </r>
    <r>
      <rPr>
        <sz val="11"/>
        <color theme="1"/>
        <rFont val="Aptos Narrow"/>
        <family val="2"/>
        <scheme val="minor"/>
      </rPr>
      <t xml:space="preserve"> / Wilsons Rd Eastward 2nd Drain / Wilsons Rd Eastward 3rd drain</t>
    </r>
  </si>
  <si>
    <r>
      <t xml:space="preserve">Wilsons Rd 1st &amp; 2nd Bays West / </t>
    </r>
    <r>
      <rPr>
        <b/>
        <sz val="11"/>
        <color theme="1"/>
        <rFont val="Aptos Narrow"/>
        <family val="2"/>
        <scheme val="minor"/>
      </rPr>
      <t>Wilsons Rd Eastward 2nd Drain</t>
    </r>
    <r>
      <rPr>
        <sz val="11"/>
        <color theme="1"/>
        <rFont val="Aptos Narrow"/>
        <family val="2"/>
        <scheme val="minor"/>
      </rPr>
      <t xml:space="preserve"> / Wilsons Rd Eastward 3rd drain</t>
    </r>
  </si>
  <si>
    <r>
      <rPr>
        <b/>
        <sz val="11"/>
        <color theme="1"/>
        <rFont val="Aptos Narrow"/>
        <family val="2"/>
        <scheme val="minor"/>
      </rPr>
      <t xml:space="preserve">Wilsons Rd 1st &amp; 2nd Bays West </t>
    </r>
    <r>
      <rPr>
        <sz val="11"/>
        <color theme="1"/>
        <rFont val="Aptos Narrow"/>
        <family val="2"/>
        <scheme val="minor"/>
      </rPr>
      <t>/ Wilsons Rd Eastward 2nd Drain / Wilsons Rd Eastward 3rd drain</t>
    </r>
  </si>
  <si>
    <r>
      <t>Wilsons Rd 1st &amp; 2nd Bays West</t>
    </r>
    <r>
      <rPr>
        <b/>
        <sz val="11"/>
        <color theme="1"/>
        <rFont val="Aptos Narrow"/>
        <family val="2"/>
        <scheme val="minor"/>
      </rPr>
      <t xml:space="preserve"> </t>
    </r>
    <r>
      <rPr>
        <sz val="11"/>
        <color theme="1"/>
        <rFont val="Aptos Narrow"/>
        <family val="2"/>
        <scheme val="minor"/>
      </rPr>
      <t xml:space="preserve">/ Wilsons Rd Eastward 2nd Drain / </t>
    </r>
    <r>
      <rPr>
        <b/>
        <sz val="11"/>
        <color theme="1"/>
        <rFont val="Aptos Narrow"/>
        <family val="2"/>
        <scheme val="minor"/>
      </rPr>
      <t>Wilsons Rd Eastward 3rd drain</t>
    </r>
  </si>
  <si>
    <t>Not found</t>
  </si>
  <si>
    <t>April</t>
  </si>
  <si>
    <t>Inverloch - Abbott St</t>
  </si>
  <si>
    <t>11 Left (Yellow)</t>
  </si>
  <si>
    <t>Coal Creek Estuary Mouth Pair2</t>
  </si>
  <si>
    <t>Twin Reefs -Bunurong Coast Rd</t>
  </si>
  <si>
    <r>
      <rPr>
        <b/>
        <sz val="11"/>
        <color theme="1"/>
        <rFont val="Aptos Narrow"/>
        <family val="2"/>
        <scheme val="minor"/>
      </rPr>
      <t>Waterfall Creek - Harmers Haven</t>
    </r>
    <r>
      <rPr>
        <sz val="11"/>
        <color theme="1"/>
        <rFont val="Aptos Narrow"/>
        <family val="2"/>
        <scheme val="minor"/>
      </rPr>
      <t xml:space="preserve"> / Harmers Haven - 1st Bay West of A21 Steps</t>
    </r>
  </si>
  <si>
    <r>
      <t xml:space="preserve">Waterfall Creek - Harmers Haven / </t>
    </r>
    <r>
      <rPr>
        <b/>
        <sz val="11"/>
        <color theme="1"/>
        <rFont val="Aptos Narrow"/>
        <family val="2"/>
        <scheme val="minor"/>
      </rPr>
      <t>Harmers Haven - 1st Bay West of A21 Steps</t>
    </r>
  </si>
  <si>
    <t>Wilsons Rd Eastward 2nd Drain</t>
  </si>
  <si>
    <t>Metal; Orange which later became Metal only</t>
  </si>
  <si>
    <t>Magpie</t>
  </si>
  <si>
    <t>WD Left (Orange)</t>
  </si>
  <si>
    <t>Cape Paterson - 2nd Surf Beach West</t>
  </si>
  <si>
    <t>RY Left (Orange)</t>
  </si>
  <si>
    <t>KY Right (Orange)</t>
  </si>
  <si>
    <t>Orange metal</t>
  </si>
  <si>
    <t>UH Left (Orange)</t>
  </si>
  <si>
    <t>Gull</t>
  </si>
  <si>
    <t>Unbanded - banded as AS Left (White) on 25/02/2020</t>
  </si>
  <si>
    <t>Sign Nest</t>
  </si>
  <si>
    <t>13  Left (Yellow)</t>
  </si>
  <si>
    <t>Unbanded - banded as LC Left (White) on 30/10/2019</t>
  </si>
  <si>
    <t>Other predator</t>
  </si>
  <si>
    <t>55 Left (Yellow)</t>
  </si>
  <si>
    <t>Orange/metal Left</t>
  </si>
  <si>
    <t>Sign Access Temporary, Sign Nest, Rope fence, Shelters</t>
  </si>
  <si>
    <t>Sign Access Temporary, Sign Nest, Banners, Rope fence, Shelters</t>
  </si>
  <si>
    <t>Sign Access Temporary, Sign Nest, Banners, Rope fence, Shelters, Wardens</t>
  </si>
  <si>
    <t>AS Left (White)</t>
  </si>
  <si>
    <t>Metal only Left</t>
  </si>
  <si>
    <t>Faded Left (Orange)</t>
  </si>
  <si>
    <t>TP Left (White)</t>
  </si>
  <si>
    <t>Coal Creek Estuary - 2nd Bay East_EA&amp;Mtl</t>
  </si>
  <si>
    <t>Coal Creek Estuary - 2nd Bay East_Mtl&amp;Unb</t>
  </si>
  <si>
    <t>Orange/metal; No bands</t>
  </si>
  <si>
    <t>Sign Access Temporary, Shelters</t>
  </si>
  <si>
    <t>Orange/metal Left; No bands</t>
  </si>
  <si>
    <t>AW Left (White)</t>
  </si>
  <si>
    <t>DZ Left (White)</t>
  </si>
  <si>
    <t>?? Right (Orange)</t>
  </si>
  <si>
    <r>
      <rPr>
        <b/>
        <sz val="11"/>
        <color theme="1"/>
        <rFont val="Aptos Narrow"/>
        <family val="2"/>
        <scheme val="minor"/>
      </rPr>
      <t>Wilsons Rd Eastward 3rd drain</t>
    </r>
    <r>
      <rPr>
        <sz val="11"/>
        <color theme="1"/>
        <rFont val="Aptos Narrow"/>
        <family val="2"/>
        <scheme val="minor"/>
      </rPr>
      <t xml:space="preserve"> / Wilsons Rd 1st &amp; 2nd Bays West</t>
    </r>
  </si>
  <si>
    <t>Sign Access Temporary, Sign Nest, Rope fence, Other</t>
  </si>
  <si>
    <t>Sign Access Temporary, Sign Nest, Banners, Rope fence, Other</t>
  </si>
  <si>
    <t>Coal Creek Estuary - 1st Point East</t>
  </si>
  <si>
    <t>YJ Left (Orange)</t>
  </si>
  <si>
    <t>Sign Access Temporary, Sign Nest, Rope fence, Shelters, Other</t>
  </si>
  <si>
    <t>Metal only left</t>
  </si>
  <si>
    <t>Attempt #</t>
  </si>
  <si>
    <r>
      <rPr>
        <b/>
        <sz val="11"/>
        <color theme="1"/>
        <rFont val="Aptos Narrow"/>
        <family val="2"/>
        <scheme val="minor"/>
      </rPr>
      <t>Wreck beach</t>
    </r>
    <r>
      <rPr>
        <sz val="11"/>
        <color theme="1"/>
        <rFont val="Aptos Narrow"/>
        <family val="2"/>
        <scheme val="minor"/>
      </rPr>
      <t>/Coal Creek Estuary 2nd Bay East</t>
    </r>
  </si>
  <si>
    <t>Sign Access, Sign Nest, Rope fence</t>
  </si>
  <si>
    <r>
      <t>Wreck beach/</t>
    </r>
    <r>
      <rPr>
        <b/>
        <sz val="11"/>
        <color theme="1"/>
        <rFont val="Aptos Narrow"/>
        <family val="2"/>
        <scheme val="minor"/>
      </rPr>
      <t>Coal Creek Estuary 2nd Bay East</t>
    </r>
  </si>
  <si>
    <t>Coal Creek Estuary Mouth</t>
  </si>
  <si>
    <t>Sign Access</t>
  </si>
  <si>
    <t>Pea Creek Estuary &amp; Undertow Bay</t>
  </si>
  <si>
    <t>Point Norman</t>
  </si>
  <si>
    <t>Sign Access, Rope fence, Shelters</t>
  </si>
  <si>
    <t>Point Norman Pair 2</t>
  </si>
  <si>
    <t>Screw Creek West</t>
  </si>
  <si>
    <t>The Oaks</t>
  </si>
  <si>
    <t>Undertow Bay East End.</t>
  </si>
  <si>
    <t>Waterfall Creek</t>
  </si>
  <si>
    <t>Wilsons Rd 2nd Bay West</t>
  </si>
  <si>
    <t>Coal Creek Estuary 2nd Bay East</t>
  </si>
  <si>
    <t>Point Norman East</t>
  </si>
  <si>
    <t>Point Norman West</t>
  </si>
  <si>
    <t>Sign Access, Sign Nest, Rope fence, Shelters</t>
  </si>
  <si>
    <t>Sign Access, Rope fence</t>
  </si>
  <si>
    <t>Wreck Beach</t>
  </si>
  <si>
    <t>Site</t>
  </si>
  <si>
    <t>Nesting attempt #</t>
  </si>
  <si>
    <t>Nest ID</t>
  </si>
  <si>
    <t>Date nest found</t>
  </si>
  <si>
    <t>Month nest found</t>
  </si>
  <si>
    <t>Assumed Nest Lat</t>
  </si>
  <si>
    <t>Assumed Nest Long</t>
  </si>
  <si>
    <t>Eggs observed</t>
  </si>
  <si>
    <t>Eggs assumed</t>
  </si>
  <si>
    <t>Known clutch complete date</t>
  </si>
  <si>
    <t>Reason known/estimated</t>
  </si>
  <si>
    <t>Visits during egg phase</t>
  </si>
  <si>
    <t>Visits/days during egg phase</t>
  </si>
  <si>
    <t>Hatch?</t>
  </si>
  <si>
    <t>Date last seen alive (NEST)</t>
  </si>
  <si>
    <t>Month last seen alive (NEST)</t>
  </si>
  <si>
    <t>Date last checked (failed)</t>
  </si>
  <si>
    <t>Fail month</t>
  </si>
  <si>
    <t>Known cause nest fail</t>
  </si>
  <si>
    <t>Evidence nest failure</t>
  </si>
  <si>
    <t>Suspect cause nest fail</t>
  </si>
  <si>
    <t>Chicks first obsv date</t>
  </si>
  <si>
    <t>Chicks first obsv month</t>
  </si>
  <si>
    <t>Age stage first observed</t>
  </si>
  <si>
    <t># Chicks observed</t>
  </si>
  <si>
    <t># chicks assumed</t>
  </si>
  <si>
    <t xml:space="preserve">Chick (1) last seen alive date </t>
  </si>
  <si>
    <t>Chick (1) fail date</t>
  </si>
  <si>
    <t>Chick (1) fail month</t>
  </si>
  <si>
    <t>Known chick (1) fail cause</t>
  </si>
  <si>
    <t>Evidence chick (1) fail</t>
  </si>
  <si>
    <t>Suspect chick (1) fail cause</t>
  </si>
  <si>
    <t xml:space="preserve">Chick (2) last seen alive date </t>
  </si>
  <si>
    <t>Chick (2) fail date</t>
  </si>
  <si>
    <t>Chick (2) fail month</t>
  </si>
  <si>
    <t>Known chick (2) fail cause</t>
  </si>
  <si>
    <t>Evidence chick (2) fail</t>
  </si>
  <si>
    <t>Suspect chick (2) fail cause</t>
  </si>
  <si>
    <t xml:space="preserve">Chick (3) last seen alive date </t>
  </si>
  <si>
    <t>Chick (3) fail date</t>
  </si>
  <si>
    <t>Chick (3) fail month</t>
  </si>
  <si>
    <t>Known chick (3) fail cause</t>
  </si>
  <si>
    <t>Evidence chick (3) fail</t>
  </si>
  <si>
    <t>Suspect chick (3) fail cause</t>
  </si>
  <si>
    <t>Chick visit number</t>
  </si>
  <si>
    <t>Chick visit days</t>
  </si>
  <si>
    <t>Fledged?</t>
  </si>
  <si>
    <t>Date fledged</t>
  </si>
  <si>
    <t>Fledged month</t>
  </si>
  <si>
    <t>Nest managed?</t>
  </si>
  <si>
    <t>Nest mngmt type</t>
  </si>
  <si>
    <t>Chick manged?</t>
  </si>
  <si>
    <t>Chick mngmt type</t>
  </si>
  <si>
    <t>Notes</t>
  </si>
  <si>
    <t>Camera</t>
  </si>
  <si>
    <t>1/2 adult size, fluffy</t>
  </si>
  <si>
    <t>1/3 adult size, fluffy</t>
  </si>
  <si>
    <t>All three chicks were caught and processed by Tom Schmidt for his Honours research. One chick was later caught and flagged PN Left (White).</t>
  </si>
  <si>
    <t>Fledgling was caught and flagged CU Right (White)</t>
  </si>
  <si>
    <t>Loss of one egg recorded on 14/02/2017.</t>
  </si>
  <si>
    <t>2/3 adult size, mottled grey</t>
  </si>
  <si>
    <t>May</t>
  </si>
  <si>
    <t>Chick caught and flagged as CT Left (White) on 19/04/2017.</t>
  </si>
  <si>
    <t>One egg abandoned in the nest, recorded on 24/02/2017. Fledgling was caught and flagged CP Left (White).</t>
  </si>
  <si>
    <t>One chick was found dead in the nest on 4/10/2017.</t>
  </si>
  <si>
    <t>This nest was visited twice on 18/11/2017.</t>
  </si>
  <si>
    <t>Loss of one egg recorded on 4/01/2018.</t>
  </si>
  <si>
    <t>Fledglings caught and flagged as HH Left (White) and HR Left (White) on 8/11/2017.</t>
  </si>
  <si>
    <t>Fledgling caught and flagged as SJ Left (White) on 7/02/2018.</t>
  </si>
  <si>
    <t>Fledgling caught and flagged as RL Left (White) on 7/02/2018.</t>
  </si>
  <si>
    <t>2017-18_Waterfall Creek - Harmers Haven_1</t>
  </si>
  <si>
    <t>2017-18_Harmers Haven - 1st Bay West of A21 Steps_2</t>
  </si>
  <si>
    <t>2017-18_Waterfall Creek - Harmers Haven_3</t>
  </si>
  <si>
    <t>Nest latitude</t>
  </si>
  <si>
    <t>Nest longitude</t>
  </si>
  <si>
    <t xml:space="preserve">This nest was recorded as intact in the morning of 11/12/2022 and failed in the afternoon on the same day. </t>
  </si>
  <si>
    <t>The third nesting attempt at this site belongs to a new pair which consists of one bird from the old pair.</t>
  </si>
  <si>
    <t>Y/Partial</t>
  </si>
  <si>
    <t>One egg did not hatch and was left unattended in the nest.</t>
  </si>
  <si>
    <t>This nesting attempt was at Point Smythe in the South Gippsland region, but we have decided to add it to the Bass Coast region as this pair had their first three attempts at Screw Creek West.</t>
  </si>
  <si>
    <t>Known hatching date</t>
  </si>
  <si>
    <t>The chick was sighted only on the day of hatching. All other observations were suspect chicks.</t>
  </si>
  <si>
    <t>Chick managed?</t>
  </si>
  <si>
    <t>Sign Access Temporary, Sign Nest, Rope fence, Banners, Shelters, Wardens</t>
  </si>
  <si>
    <t>Found during laying</t>
  </si>
  <si>
    <t>Loss of one egg recorded on 21/09/2022.</t>
  </si>
  <si>
    <t>Y (Foxwatch)</t>
  </si>
  <si>
    <t>2022-23_Wilsons Rd Eastward 3rd drain_1</t>
  </si>
  <si>
    <t>Sign Access Temporary, Sign Nest, Shelters</t>
  </si>
  <si>
    <t>This family of Hoodies used both sites, but they nested at the Eastward 3rd drain site.</t>
  </si>
  <si>
    <t>Sign Access Temporary, Sign Nest, Banners, Rope fence, Shelters, Other</t>
  </si>
  <si>
    <t>Loss of two eggs to tide recorded on 17/12/2023.</t>
  </si>
  <si>
    <t>Suggested update to site name</t>
  </si>
  <si>
    <t>Date mngmt installed</t>
  </si>
  <si>
    <r>
      <t xml:space="preserve">Baxters 1 Sth - Wonthaggi / </t>
    </r>
    <r>
      <rPr>
        <b/>
        <sz val="11"/>
        <color theme="1"/>
        <rFont val="Aptos Narrow"/>
        <family val="2"/>
        <scheme val="minor"/>
      </rPr>
      <t>Baxters 2 Sth</t>
    </r>
  </si>
  <si>
    <t>SS Left (White)</t>
  </si>
  <si>
    <t>3B Left (Yellow)</t>
  </si>
  <si>
    <t>2024-25_Baxters 2 Sth_1</t>
  </si>
  <si>
    <t>This pair of Hoodies used both sites for nesting where only a scrape (no eggs) was found at the Baxters 1 Sth - Wonthaggi site.</t>
  </si>
  <si>
    <t>2024-25_Baxters 2 Sth_2</t>
  </si>
  <si>
    <t>Baxters 4 Sth</t>
  </si>
  <si>
    <t>TY Left (Orange)</t>
  </si>
  <si>
    <t>2024-25_Baxters 4 Sth_1</t>
  </si>
  <si>
    <t>Baxters Beach A19 Wonthaggi Ocean Beach</t>
  </si>
  <si>
    <t>SJ Left (White)</t>
  </si>
  <si>
    <t>XD Right (Orange)</t>
  </si>
  <si>
    <t>2024-25_Baxters Beach A19 Wonthaggi Ocean Beach_1</t>
  </si>
  <si>
    <t>2024-25_Baxters Beach A19 Wonthaggi Ocean Beach_2</t>
  </si>
  <si>
    <t>Baxters North Wonthaggi</t>
  </si>
  <si>
    <t>XC Left (Orange)</t>
  </si>
  <si>
    <t>75 Left (Yellow)</t>
  </si>
  <si>
    <t>2024-25_Baxters North Wonthaggi_1</t>
  </si>
  <si>
    <t>2024-25_Baxters North Wonthaggi_2</t>
  </si>
  <si>
    <t>2024-25_Baxters North Wonthaggi_3</t>
  </si>
  <si>
    <t>2024-25_Cape Paterson - 2nd Surf Beach_1</t>
  </si>
  <si>
    <t>2024-25_Cape Paterson - 2nd Surf Beach_2</t>
  </si>
  <si>
    <t>Loss of one egg recorded on 05/02/2025.</t>
  </si>
  <si>
    <t>UV Right (White)</t>
  </si>
  <si>
    <t>2024-25_Cape Paterson - Pea Creek Estuary &amp; Undertow Bay_1</t>
  </si>
  <si>
    <t>2024-25_Cape Paterson - Pea Creek Estuary &amp; Undertow Bay_2</t>
  </si>
  <si>
    <t>Dog</t>
  </si>
  <si>
    <t>The body of the second chick was handed in by a member of the public. Believed to have died from a dog attack. Awaiting necropsy.</t>
  </si>
  <si>
    <t>YN Right (White)</t>
  </si>
  <si>
    <t>2024-25_Coal Creek Estuary Mouth - Harmers Haven_1</t>
  </si>
  <si>
    <t>2024-25_Coal Creek Estuary Mouth - Harmers Haven_2</t>
  </si>
  <si>
    <t>2024-25_Coal Creek Estuary Mouth - Harmers Haven_3</t>
  </si>
  <si>
    <t>Coal Point 2nd Bay N/W - Harmers Haven</t>
  </si>
  <si>
    <t>UT Right (White)</t>
  </si>
  <si>
    <t>35 Left (Yellow)</t>
  </si>
  <si>
    <t>2024-25_Coal Point 2nd Bay N/W - Harmers Haven_1</t>
  </si>
  <si>
    <t xml:space="preserve">Cutlers Beach A20 N/West </t>
  </si>
  <si>
    <t>YZ Left (Orange)</t>
  </si>
  <si>
    <t>2024-25_Cutlers Beach A20 N/West _1</t>
  </si>
  <si>
    <t>2024-25_Cutlers Beach A20 N/West _2</t>
  </si>
  <si>
    <t>Sign Access Temporary, Sign Nest, Shelters, Other</t>
  </si>
  <si>
    <t>Cutlers Beach A20 S/East</t>
  </si>
  <si>
    <t>EC Right (Orange)</t>
  </si>
  <si>
    <t>HR Left (White)</t>
  </si>
  <si>
    <t>2024-25_Cutlers Beach A20 S/East_1</t>
  </si>
  <si>
    <t>2024-25_Cutlers Beach A20 S/East_2</t>
  </si>
  <si>
    <t>Loss of one egg recorded on 20/02/2025.</t>
  </si>
  <si>
    <t>Cutlers Rocks Flock Site- Sth End</t>
  </si>
  <si>
    <t>HL Left (White)</t>
  </si>
  <si>
    <t>2024-25_Cutlers Rocks Flock Site- Sth End_1</t>
  </si>
  <si>
    <t>2024-25_Cutlers Rocks Flock Site- Sth End_2</t>
  </si>
  <si>
    <t>Desal Beach - Powlett River</t>
  </si>
  <si>
    <t>HM Right (White)</t>
  </si>
  <si>
    <t>UL Left (White)</t>
  </si>
  <si>
    <t>2024-25_Desal Beach - Powlett River_1</t>
  </si>
  <si>
    <t>2024-25_Desal Beach - Powlett River_2</t>
  </si>
  <si>
    <t>2024-25_Desal Beach - Powlett River_3</t>
  </si>
  <si>
    <t>2024-25_Desal Beach - Powlett River_4</t>
  </si>
  <si>
    <t>Loss of one egg recorded on 18/02/2025.</t>
  </si>
  <si>
    <t>Harmers Haven - 1st Bay West of A21 Steps_3A&amp;Unb</t>
  </si>
  <si>
    <t>3A Left (Yellow)</t>
  </si>
  <si>
    <t>2024-25_Harmers Haven - 1st Bay West of A21 Steps_3A&amp;Unb_1</t>
  </si>
  <si>
    <t>Two Hoodie pairs used this site for breeding.</t>
  </si>
  <si>
    <t>Harmers Haven - 1st Bay West of A21 Steps_JS&amp;Unb</t>
  </si>
  <si>
    <t>2024-25_Harmers Haven - 1st Bay West of A21 Steps_JS&amp;Unb_1</t>
  </si>
  <si>
    <t>2024-25_Harmers Haven - 1st Bay West of A21 Steps_JS&amp;Unb_2</t>
  </si>
  <si>
    <t>2024-25_Harmers Haven - 1st Bay West of A21 Steps_3A&amp;Unb_2</t>
  </si>
  <si>
    <t>2024-25_Inverloch - Abbott St_1</t>
  </si>
  <si>
    <t>Kilcunda Trestle Bridge Beach East</t>
  </si>
  <si>
    <t>27 Left (Yellow)</t>
  </si>
  <si>
    <t>71 Right (Yellow)</t>
  </si>
  <si>
    <t>2024-25_Kilcunda Trestle Bridge Beach East_1</t>
  </si>
  <si>
    <t>2024-25_Kilcunda Trestle Bridge Beach East_2</t>
  </si>
  <si>
    <t>2024-25_Kilcunda Trestle Bridge Beach East_3</t>
  </si>
  <si>
    <t>Sign Access Temporary, Shelters, Other</t>
  </si>
  <si>
    <t>Powlett River Mouth West Bank</t>
  </si>
  <si>
    <t>Unk.</t>
  </si>
  <si>
    <t>2024-25_Powlett River Mouth West Bank_1</t>
  </si>
  <si>
    <t>On each of the three visits to this nest, there was a flock of 5 adult Hoodies at the site. So, the observer could not determine the owners of the nest.</t>
  </si>
  <si>
    <r>
      <rPr>
        <b/>
        <sz val="11"/>
        <color theme="1"/>
        <rFont val="Aptos Narrow"/>
        <family val="2"/>
        <scheme val="minor"/>
      </rPr>
      <t>Powlett River West Bank Dune</t>
    </r>
    <r>
      <rPr>
        <sz val="11"/>
        <color theme="1"/>
        <rFont val="Aptos Narrow"/>
        <family val="2"/>
        <scheme val="minor"/>
      </rPr>
      <t xml:space="preserve"> / Powlett River West A16 Eastward</t>
    </r>
  </si>
  <si>
    <t>TM Right (White)</t>
  </si>
  <si>
    <t>2024-25_Powlett River West Bank Dune_1</t>
  </si>
  <si>
    <t>This pair of Hoodies used both sites for nesting.</t>
  </si>
  <si>
    <r>
      <t xml:space="preserve">Powlett River West Bank Dune / </t>
    </r>
    <r>
      <rPr>
        <b/>
        <sz val="11"/>
        <color theme="1"/>
        <rFont val="Aptos Narrow"/>
        <family val="2"/>
        <scheme val="minor"/>
      </rPr>
      <t>Powlett River West A16 Eastward</t>
    </r>
  </si>
  <si>
    <t>2024-25_Powlett River West A16 Eastward_2</t>
  </si>
  <si>
    <t>2024-25_Powlett River West A16 Eastward_3</t>
  </si>
  <si>
    <t>This pair of Hoodies used both sites for nesting. Loss of two eggs recorded on 31/12/2024.</t>
  </si>
  <si>
    <t>Powlett River West A16 Further West</t>
  </si>
  <si>
    <t>PY Left (Orange)</t>
  </si>
  <si>
    <t>2024-25_Powlett River West A16 Further West_1</t>
  </si>
  <si>
    <t>2024-25_Powlett River West A16 Further West_2</t>
  </si>
  <si>
    <t>Powlett River West A16- Paperbark trk - Kilcunda</t>
  </si>
  <si>
    <t>DN Left (White)</t>
  </si>
  <si>
    <t>NV Left (White)</t>
  </si>
  <si>
    <t>2024-25_Powlett River West A16- Paperbark trk - Kilcunda_1</t>
  </si>
  <si>
    <t>2024-25_The Oaks Bay - Cape Paterson_1</t>
  </si>
  <si>
    <t>This pair of Hoodies used both sites for nesting. Loss of one egg recorded on 21/11/2024.</t>
  </si>
  <si>
    <t>2024-25_The Oaks Bay - Cape Paterson_2</t>
  </si>
  <si>
    <t>2024-25_Twin Reefs - Bunurong Coast Rd_3</t>
  </si>
  <si>
    <r>
      <rPr>
        <b/>
        <sz val="11"/>
        <color theme="1"/>
        <rFont val="Aptos Narrow"/>
        <family val="2"/>
        <scheme val="minor"/>
      </rPr>
      <t>Wreck Beach - Harmers Haven</t>
    </r>
    <r>
      <rPr>
        <sz val="11"/>
        <color theme="1"/>
        <rFont val="Aptos Narrow"/>
        <family val="2"/>
        <scheme val="minor"/>
      </rPr>
      <t xml:space="preserve"> / Waterfall Creek - Harmers Haven</t>
    </r>
  </si>
  <si>
    <t>AP Right (White)</t>
  </si>
  <si>
    <t>2024-25_Wreck Beach - Harmers Haven_1</t>
  </si>
  <si>
    <r>
      <t xml:space="preserve">Wreck Beach - Harmers Haven / </t>
    </r>
    <r>
      <rPr>
        <b/>
        <sz val="11"/>
        <color theme="1"/>
        <rFont val="Aptos Narrow"/>
        <family val="2"/>
        <scheme val="minor"/>
      </rPr>
      <t>Waterfall Creek - Harmers Haven</t>
    </r>
  </si>
  <si>
    <t>2024-25_Waterfall Creek - Harmers Haven_2</t>
  </si>
  <si>
    <t>Sign Nest, Rope fence, Other</t>
  </si>
  <si>
    <t>2024-25_Waterfall Creek - Harmers Haven_3</t>
  </si>
  <si>
    <t>2024-25_Wreck Beach - Harmers Haven_4</t>
  </si>
  <si>
    <t>2024-25_Waterfall Creek - Harmers Haven_5</t>
  </si>
  <si>
    <t>This pair of Hoodies used both sites for nesting. One egg did not hatch.</t>
  </si>
  <si>
    <t>Williamsons Beach A18 East - Wonthaggi_5B&amp;Unb</t>
  </si>
  <si>
    <t>5B Left (Yellow)</t>
  </si>
  <si>
    <t>2024-25_Williamsons Beach A18 East - Wonthaggi_5B&amp;Unb_1</t>
  </si>
  <si>
    <t>Williamsons Beach A18 East - Wonthaggi_CX&amp;CP</t>
  </si>
  <si>
    <t>CX Left (White)</t>
  </si>
  <si>
    <t>CP Left (White)</t>
  </si>
  <si>
    <t>2024-25_Williamsons Beach A18 East - Wonthaggi_CX&amp;CP_1</t>
  </si>
  <si>
    <t>2024-25_Williamsons Beach A18 East - Wonthaggi_CX&amp;CP_2</t>
  </si>
  <si>
    <t>Two Hoodie pairs used this site for breeding. Loss of one egg recorded on 20/02/2025.</t>
  </si>
  <si>
    <t>Williamsons Beach Further East</t>
  </si>
  <si>
    <t>KL Left (White)</t>
  </si>
  <si>
    <t>07 Left (Yellow)</t>
  </si>
  <si>
    <t>2024-25_Williamsons Beach Further East_1</t>
  </si>
  <si>
    <t>2024-25_Williamsons Beach Further East_2</t>
  </si>
  <si>
    <t>2024-25_Williamsons Beach Further East_3</t>
  </si>
  <si>
    <t>2024-25_Williamsons Beach Further East_4</t>
  </si>
  <si>
    <t>Adult 07 Left (Yellow) was found dead on the beach on 13/03/2025.</t>
  </si>
  <si>
    <t>Williamsons Beach Further West</t>
  </si>
  <si>
    <t>NX Right (Orange)</t>
  </si>
  <si>
    <t>2024-25_Williamsons Beach Further West_1</t>
  </si>
  <si>
    <t>2024-25_Williamsons Beach Further West_2</t>
  </si>
  <si>
    <t>2024-25_Williamsons Beach Further West_3</t>
  </si>
  <si>
    <t>2024-25_Williamsons Beach Further West_4</t>
  </si>
  <si>
    <t>Williamsons Beach West</t>
  </si>
  <si>
    <t>RV Left (White)</t>
  </si>
  <si>
    <t>ZJ Right (White)</t>
  </si>
  <si>
    <t>2024-25_Williamsons Beach West_1</t>
  </si>
  <si>
    <t>2024-25_Williamsons Beach West_2</t>
  </si>
  <si>
    <t>2024-25_Williamsons Beach West_3</t>
  </si>
  <si>
    <t>2024-25_Williamsons Beach West_4</t>
  </si>
  <si>
    <t>XR Right (White)</t>
  </si>
  <si>
    <t>2024-25_Wilsons Rd 1st &amp; 2nd Bays West_1</t>
  </si>
  <si>
    <t>Loss of one egg recorded on 10/12/2024.</t>
  </si>
  <si>
    <t>2024-25_Wilsons Rd 2nd Bay West End_1</t>
  </si>
  <si>
    <t>2024-25_Wilsons Rd 2nd Bay West End_2</t>
  </si>
  <si>
    <t>LJ Left (Orange)</t>
  </si>
  <si>
    <t>2023-24_Baxters 2 Sth_1</t>
  </si>
  <si>
    <t>This family of Hoodies used both sites, but they nested at the 2 Sth site.</t>
  </si>
  <si>
    <t>Baxters 3 Sth</t>
  </si>
  <si>
    <t>MK Right (White)</t>
  </si>
  <si>
    <t>SB Left (White)</t>
  </si>
  <si>
    <t>2023-24_Baxters 3 Sth_1</t>
  </si>
  <si>
    <t>2023-24_Baxters Beach A19 Wonthaggi Ocean Beach_1</t>
  </si>
  <si>
    <t>2023-24_Baxters North Wonthaggi_1</t>
  </si>
  <si>
    <t>2023-24_Baxters North Wonthaggi_2</t>
  </si>
  <si>
    <t>2023-24_Baxters North Wonthaggi_3</t>
  </si>
  <si>
    <t>UT Left (Orange)</t>
  </si>
  <si>
    <t>2023-24_Coal Point 3rd Bay West 1st Pair_1</t>
  </si>
  <si>
    <r>
      <t xml:space="preserve">Coal Point 3rd Bay West 1st Pair / </t>
    </r>
    <r>
      <rPr>
        <b/>
        <sz val="11"/>
        <color theme="1"/>
        <rFont val="Aptos Narrow"/>
        <family val="2"/>
        <scheme val="minor"/>
      </rPr>
      <t>Coal Point 2nd Bay N/W - Harmers Haven</t>
    </r>
  </si>
  <si>
    <t>2023-24_Coal Point 2nd Bay N/W - Harmers Haven_2</t>
  </si>
  <si>
    <t>2023-24_Coal Point 2nd Bay N/W - Harmers Haven_3</t>
  </si>
  <si>
    <t>2023-24_Cutlers Beach A20 N/West _1</t>
  </si>
  <si>
    <t>2023-24_Cutlers Beach A20 N/West _2</t>
  </si>
  <si>
    <t>2023-24_Coal Point 3rd Bay West 2nd Pair_1</t>
  </si>
  <si>
    <t>This pair of Hoodies used both sites, but only nested at the 2nd Pair site.</t>
  </si>
  <si>
    <t>2023-24_Desal Beach - Powlett River_1</t>
  </si>
  <si>
    <t>2023-24_Desal Beach - Powlett River_2</t>
  </si>
  <si>
    <t>2023-24_Desal Beach - Powlett River_3</t>
  </si>
  <si>
    <t>Harmers Haven - 1st Bay West of A21 Steps</t>
  </si>
  <si>
    <t>2023-24_Harmers Haven - 1st Bay West of A21 Steps_1</t>
  </si>
  <si>
    <t>Kilcunda Trestle Bridge Beach A14</t>
  </si>
  <si>
    <t>2023-24_Kilcunda Trestle Bridge Beach A14_1</t>
  </si>
  <si>
    <t>LR Left (Orange)</t>
  </si>
  <si>
    <t>64 Left (Yellow)</t>
  </si>
  <si>
    <t>2023-24_Powlett River Mouth West Bank_1</t>
  </si>
  <si>
    <t>2023-24_Powlett River Mouth West Bank_2</t>
  </si>
  <si>
    <t>2023-24_Powlett River Mouth West Bank_3</t>
  </si>
  <si>
    <t>2023-24_Powlett River Mouth West Bank_4</t>
  </si>
  <si>
    <t>2023-24_Powlett River West Bank Dune_1</t>
  </si>
  <si>
    <t>2023-24_Powlett River West Bank Dune_2</t>
  </si>
  <si>
    <t>2023-24_Powlett River West A16 Eastward_3</t>
  </si>
  <si>
    <t>Loss of one egg recorded on 22/12/2023.</t>
  </si>
  <si>
    <t>2023-24_Powlett River West A16 Eastward_4</t>
  </si>
  <si>
    <t>2023-24_Powlett River West A16 Further West_1</t>
  </si>
  <si>
    <t>2023-24_Powlett River West A16 Further West_2</t>
  </si>
  <si>
    <t>2023-24_Powlett River West A16 Further West_3</t>
  </si>
  <si>
    <t>2023-24_Powlett River West A16 Further West_4</t>
  </si>
  <si>
    <t>2023-24_Powlett River West A16 Further West_5</t>
  </si>
  <si>
    <t>2023-24_Powlett River West A16 Further West_6</t>
  </si>
  <si>
    <t>2023-24_Powlett River West A16 Further West_7</t>
  </si>
  <si>
    <t>2023-24_Powlett River West A16- Paperbark trk - Kilcunda_1</t>
  </si>
  <si>
    <t>Loss of one egg recorded on 31/12/2023.</t>
  </si>
  <si>
    <t>2023-24_Powlett River West A16- Paperbark trk - Kilcunda_2</t>
  </si>
  <si>
    <t>San Remo - Town Back Beach</t>
  </si>
  <si>
    <t>66 Left (Yellow)</t>
  </si>
  <si>
    <t>WE Right (White)</t>
  </si>
  <si>
    <t>2023-24_San Remo - Town Back Beach_1</t>
  </si>
  <si>
    <t>Sign Access Temporary, Sign Nest, Banners, Rope fence, Wardens</t>
  </si>
  <si>
    <t>2023-24_San Remo - Town Back Beach_2</t>
  </si>
  <si>
    <t>Sign Access Temporary, Sign Nest, Banners, Rope fence</t>
  </si>
  <si>
    <t>Sandy Waterholes Estuary &amp; next Bay East - George Bass Coastal Walk</t>
  </si>
  <si>
    <t>KX Left (Orange)</t>
  </si>
  <si>
    <t>2023-24_Sandy Waterholes Estuary &amp; next Bay East - George Bass Coastal Walk_1</t>
  </si>
  <si>
    <t>2023-24_Sandy Waterholes Estuary &amp; next Bay East - George Bass Coastal Walk_2</t>
  </si>
  <si>
    <t>2023-24_Sandy Waterholes Estuary &amp; next Bay East - George Bass Coastal Walk_3</t>
  </si>
  <si>
    <t>2023-24_Williamsons Beach Further East_1</t>
  </si>
  <si>
    <t>2023-24_Williamsons Beach Further East_2</t>
  </si>
  <si>
    <t>2023-24_Williamsons Beach Further East_3</t>
  </si>
  <si>
    <t>Dark-Green metal; Dark-Green/ Red</t>
  </si>
  <si>
    <t>2023-24_Williamsons Beach Further West_1</t>
  </si>
  <si>
    <t>2023-24_Williamsons Beach Further West_2</t>
  </si>
  <si>
    <t>2023-24_Williamsons Beach West_1</t>
  </si>
  <si>
    <t>2023-24_Williamsons Beach West_2</t>
  </si>
  <si>
    <t>2023-24_Williamsons Beach West_3</t>
  </si>
  <si>
    <t>2023-24_Williamsons Beach West_4</t>
  </si>
  <si>
    <r>
      <rPr>
        <b/>
        <sz val="11"/>
        <color theme="1"/>
        <rFont val="Aptos Narrow"/>
        <family val="2"/>
        <scheme val="minor"/>
      </rPr>
      <t>Baxters 2 Sth</t>
    </r>
    <r>
      <rPr>
        <sz val="11"/>
        <color theme="1"/>
        <rFont val="Aptos Narrow"/>
        <family val="2"/>
        <scheme val="minor"/>
      </rPr>
      <t xml:space="preserve"> / Baxters 1 Sth - Wonthaggi</t>
    </r>
  </si>
  <si>
    <t>2022-23_Baxters 2 Sth_1</t>
  </si>
  <si>
    <r>
      <t xml:space="preserve">Baxters 2 Sth / </t>
    </r>
    <r>
      <rPr>
        <b/>
        <sz val="11"/>
        <color theme="1"/>
        <rFont val="Aptos Narrow"/>
        <family val="2"/>
        <scheme val="minor"/>
      </rPr>
      <t>Baxters 1 Sth - Wonthaggi</t>
    </r>
  </si>
  <si>
    <t>2022-23_Baxters 1 Sth - Wonthaggi_2</t>
  </si>
  <si>
    <t>2022-23_Baxters 3 Sth_1</t>
  </si>
  <si>
    <t>2022-23_Baxters 3 Sth_2</t>
  </si>
  <si>
    <t>Loss of two eggs recorded on 17/03/2023.</t>
  </si>
  <si>
    <t>2022-23_Baxters 4 Sth_1</t>
  </si>
  <si>
    <t>2022-23_Baxters 4 Sth_2</t>
  </si>
  <si>
    <t>2022-23_Baxters Beach A19 Wonthaggi Ocean Beach_1</t>
  </si>
  <si>
    <t>2022-23_Baxters Beach A19 Wonthaggi Ocean Beach_2</t>
  </si>
  <si>
    <t>Only one chick sighted on 27/02. Two chicks first sighted on 1/03/2023.</t>
  </si>
  <si>
    <t>2022-23_Baxters North Wonthaggi_1</t>
  </si>
  <si>
    <t>Coal Point 3rd Bay West 1st Pair</t>
  </si>
  <si>
    <t>2022-23_Coal Point 3rd Bay West 1st Pair_1</t>
  </si>
  <si>
    <t>Loss of two eggs recorded on 6/02/2023.</t>
  </si>
  <si>
    <t>2022-23_Cutlers Beach A20 N/West _1</t>
  </si>
  <si>
    <t>2022-23_Cutlers Beach A20 N/West _2</t>
  </si>
  <si>
    <t>2022-23_Cutlers Beach A20 S/East_1</t>
  </si>
  <si>
    <t>Loss of one egg recorded on 6/02/2023.</t>
  </si>
  <si>
    <t>2022-23_Cutlers Rocks Flock Site- Sth End_1</t>
  </si>
  <si>
    <t>Loss of two eggs recorded on 7/02/2023.</t>
  </si>
  <si>
    <t>2022-23_Desal Beach - Powlett River_1</t>
  </si>
  <si>
    <t>2022-23_Desal Beach - Powlett River_2</t>
  </si>
  <si>
    <t>2022-23_Desal Beach - Powlett River_3</t>
  </si>
  <si>
    <t>2022-23_Desal Beach - Powlett River_4</t>
  </si>
  <si>
    <t>Loss of one egg recorded on 13/01 and of another on 1/02/2023.</t>
  </si>
  <si>
    <t>2022-23_Harmers Haven - 1st Bay West of A21 Steps_1</t>
  </si>
  <si>
    <t>2022-23_Harmers Haven - 1st Bay West of A21 Steps_2</t>
  </si>
  <si>
    <t>2022-23_Kilcunda Trestle Bridge Beach East_1</t>
  </si>
  <si>
    <t>2022-23_Kilcunda Trestle Bridge Beach East_2</t>
  </si>
  <si>
    <t>2022-23_Kilcunda Trestle Bridge Beach East_3</t>
  </si>
  <si>
    <t>2022-23_Kilcunda Trestle Bridge Beach East_4</t>
  </si>
  <si>
    <t>2022-23_Powlett River Mouth West Bank_1</t>
  </si>
  <si>
    <t>2022-23_Powlett River Mouth West Bank_2</t>
  </si>
  <si>
    <t>VJ Left (Orange)</t>
  </si>
  <si>
    <t>2022-23_Powlett River West Bank Dune_1</t>
  </si>
  <si>
    <t>2022-23_Powlett River West Bank Dune_2</t>
  </si>
  <si>
    <t>Egg roll-out</t>
  </si>
  <si>
    <t>Loss of one egg recorded on 2/11/2022.</t>
  </si>
  <si>
    <t>2022-23_Powlett River West Bank Dune_3</t>
  </si>
  <si>
    <t>2022-23_Powlett River West A16 Eastward_4</t>
  </si>
  <si>
    <t>2022-23_Powlett River West A16 Further West_1</t>
  </si>
  <si>
    <t>2022-23_Powlett River West A16 Further West_2</t>
  </si>
  <si>
    <t>2022-23_Powlett River West A16 Further West_3</t>
  </si>
  <si>
    <t>2022-23_Powlett River West A16 Further West_4</t>
  </si>
  <si>
    <t>2022-23_Powlett River West A16- Paperbark trk - Kilcunda_1</t>
  </si>
  <si>
    <t>2022-23_Powlett River West A16- Paperbark trk - Kilcunda_2</t>
  </si>
  <si>
    <t>2022-23_Powlett River West A16- Paperbark trk - Kilcunda_3</t>
  </si>
  <si>
    <t>2022-23_San Remo - Town Back Beach_1</t>
  </si>
  <si>
    <r>
      <t xml:space="preserve">Sandy Waterhole Bay West end </t>
    </r>
    <r>
      <rPr>
        <sz val="11"/>
        <color theme="1"/>
        <rFont val="Aptos Narrow"/>
        <family val="2"/>
        <scheme val="minor"/>
      </rPr>
      <t>/ Sandy Waterholes Estuary &amp; next Bay East - George Bass Coastal Walk</t>
    </r>
  </si>
  <si>
    <t>2022-23_Sandy Waterhole Bay West end_1</t>
  </si>
  <si>
    <t>This family of Hoodies used both sites, but they nested at the West end site.</t>
  </si>
  <si>
    <t>2022-23_Williamsons Beach Further East_1</t>
  </si>
  <si>
    <t>2022-23_Williamsons Beach Further East_2</t>
  </si>
  <si>
    <t>Loss of one egg recorded on 10/03/2023.</t>
  </si>
  <si>
    <t>2022-23_Williamsons Beach Further West_1</t>
  </si>
  <si>
    <t>2022-23_Williamsons Beach Further West_2</t>
  </si>
  <si>
    <t>2022-23_Williamsons Beach West_1</t>
  </si>
  <si>
    <t>2022-23_Williamsons Beach West_2</t>
  </si>
  <si>
    <t>2022-23_Williamsons Beach West_3</t>
  </si>
  <si>
    <t>2022-23_Williamsons Beach West_4</t>
  </si>
  <si>
    <t>Baxters 1 Sth - Wonthaggi</t>
  </si>
  <si>
    <t>2021-22_Baxters 1 Sth - Wonthaggi_1</t>
  </si>
  <si>
    <t>2021-22_Baxters North Wonthaggi_1</t>
  </si>
  <si>
    <t>Loss of one egg recorded on 17/01/2022, the same day the nest was last seen intact.</t>
  </si>
  <si>
    <t>2021-22_Cutlers Beach A20 N/West _1</t>
  </si>
  <si>
    <t>2021-22_Cutlers Beach A20 N/West _2</t>
  </si>
  <si>
    <t>RC Right (Orange)</t>
  </si>
  <si>
    <t>2021-22_Cutlers Beach A20 S/East_1</t>
  </si>
  <si>
    <t>2021-22_Cutlers Beach A20 S/East_2</t>
  </si>
  <si>
    <t>2021-22_Desal Beach - Powlett River_1</t>
  </si>
  <si>
    <t>2021-22_Desal Beach - Powlett River_2</t>
  </si>
  <si>
    <t>2021-22_Desal Beach - Powlett River_3</t>
  </si>
  <si>
    <t>Harmers Haven - 1st Bay West of A21 Steps_35&amp;UT</t>
  </si>
  <si>
    <t>2021-22_Harmers Haven - 1st Bay West of A21 Steps_35&amp;UT_1</t>
  </si>
  <si>
    <t xml:space="preserve">Two pairs used this site for nesting. </t>
  </si>
  <si>
    <t>2021-22_Harmers Haven - 1st Bay West of A21 Steps_35&amp;UT_2</t>
  </si>
  <si>
    <t>Harmers Haven - 1st Bay West of A21 Steps_JS&amp;KK</t>
  </si>
  <si>
    <t>2021-22_Harmers Haven - 1st Bay West of A21 Steps_JS&amp;KK_1</t>
  </si>
  <si>
    <t>2021-22_Harmers Haven - 1st Bay West of A21 Steps_35&amp;UT_3</t>
  </si>
  <si>
    <t>2021-22_Kilcunda Trestle Bridge Beach East_1</t>
  </si>
  <si>
    <t>2021-22_Powlett River Mouth West Bank_1</t>
  </si>
  <si>
    <t>2021-22_Powlett River Mouth West Bank_2</t>
  </si>
  <si>
    <t>2021-22_Powlett River Mouth West Bank_3</t>
  </si>
  <si>
    <t>2021-22_Powlett River West Bank Dune_1</t>
  </si>
  <si>
    <t>2021-22_Powlett River West Bank Dune_2</t>
  </si>
  <si>
    <t>2021-22_Powlett River West Bank Dune_3</t>
  </si>
  <si>
    <t>2021-22_Powlett River West A16 Eastward_4</t>
  </si>
  <si>
    <t>2021-22_Powlett River West A16 Further West_1</t>
  </si>
  <si>
    <t>2021-22_Powlett River West A16 Further West_2</t>
  </si>
  <si>
    <t>2021-22_Powlett River West A16- Paperbark trk - Kilcunda_1</t>
  </si>
  <si>
    <t>Loss of one egg recorded on 13/12/2022. The other two eggs were assumed to have hatched.</t>
  </si>
  <si>
    <t>Metal only Right</t>
  </si>
  <si>
    <t>2021-22_San Remo - Town Back Beach_1</t>
  </si>
  <si>
    <t>2021-22_San Remo - Town Back Beach_2</t>
  </si>
  <si>
    <t>VV Left (Orange)</t>
  </si>
  <si>
    <t>2021-22_Sandy Waterhole Bay West end_1</t>
  </si>
  <si>
    <t>This family of Hoodies used both sites, but they were first sighted at the West end site.</t>
  </si>
  <si>
    <t>2021-22_Williamsons Beach Further East_1</t>
  </si>
  <si>
    <t>2021-22_Williamsons Beach Further East_2</t>
  </si>
  <si>
    <t>2021-22_Williamsons Beach Further West_1</t>
  </si>
  <si>
    <t>2021-22_Williamsons Beach West_1</t>
  </si>
  <si>
    <t>2021-22_Williamsons Beach West_2</t>
  </si>
  <si>
    <t>2021-22_Williamsons Beach West_3</t>
  </si>
  <si>
    <t>Powlett River West Bank Dune</t>
  </si>
  <si>
    <t>Powlett River West A16 Eastward</t>
  </si>
  <si>
    <t>HA Right (White)</t>
  </si>
  <si>
    <t>Kilcunda Beach A13</t>
  </si>
  <si>
    <t>Smalls Beach (McLellan Private Beach)</t>
  </si>
  <si>
    <t>KC Left (Orange)</t>
  </si>
  <si>
    <t>32 Left (Yellow)</t>
  </si>
  <si>
    <t>San Remo - Bore Beach</t>
  </si>
  <si>
    <t>PH Left (Orange)</t>
  </si>
  <si>
    <t>Powlett River Mouth East Bank</t>
  </si>
  <si>
    <t>Unbanded - banded as HM Right (White) on 16/03/2020</t>
  </si>
  <si>
    <t>Williamsons Beach A18 East - Wonthaggi</t>
  </si>
  <si>
    <t>MM Right (Orange)</t>
  </si>
  <si>
    <t>Bore Beach - San Remo</t>
  </si>
  <si>
    <t>Trestle Bridge Beach A14 - Kilcunda</t>
  </si>
  <si>
    <t>ZT Left (Orange)</t>
  </si>
  <si>
    <t>Orange metal; Yellow/ Orange</t>
  </si>
  <si>
    <t>BD Right (Orange)</t>
  </si>
  <si>
    <t>Orange metal; Dark-Green/ White</t>
  </si>
  <si>
    <t>KD Left (Orange)</t>
  </si>
  <si>
    <t>KN Right (Orange)</t>
  </si>
  <si>
    <t>HR Left (Orange)</t>
  </si>
  <si>
    <t>Coal Point 3rd Bay West 2nd Pair</t>
  </si>
  <si>
    <t>2nd Bay N/W of A21 Steps</t>
  </si>
  <si>
    <t>Baxters 1 Sth</t>
  </si>
  <si>
    <t>Baxters 2 Sth</t>
  </si>
  <si>
    <t>Baxters Beach A19</t>
  </si>
  <si>
    <t>Bore Beach</t>
  </si>
  <si>
    <t>Cutlers Beach A20 N/West</t>
  </si>
  <si>
    <t>Desal Beach</t>
  </si>
  <si>
    <t>Powlett River West A16- Paperbark trk.</t>
  </si>
  <si>
    <t>San Remo Back Beach</t>
  </si>
  <si>
    <t>Sandy Waterhole Bay West end</t>
  </si>
  <si>
    <t>Sandy Waterholes Estuary &amp; next Bay East</t>
  </si>
  <si>
    <t>Trestle Bridge Beach East</t>
  </si>
  <si>
    <t>Williamsons Beach A18 East</t>
  </si>
  <si>
    <t>n/a</t>
  </si>
  <si>
    <t>Day</t>
  </si>
  <si>
    <t>Month</t>
  </si>
  <si>
    <t>Year</t>
  </si>
  <si>
    <t>Date nest found_code</t>
  </si>
  <si>
    <t>Nest ID_2</t>
  </si>
  <si>
    <t>Nest last seen alive_code</t>
  </si>
  <si>
    <t>Date last checked_code</t>
  </si>
  <si>
    <t>Nest management type</t>
  </si>
  <si>
    <t>Chick management type</t>
  </si>
  <si>
    <t>01122023</t>
  </si>
  <si>
    <t>04012024</t>
  </si>
  <si>
    <t>01012024</t>
  </si>
  <si>
    <t>13012024</t>
  </si>
  <si>
    <t>05032024</t>
  </si>
  <si>
    <t>12122023</t>
  </si>
  <si>
    <t>28102023</t>
  </si>
  <si>
    <t>02112023</t>
  </si>
  <si>
    <t>13122023</t>
  </si>
  <si>
    <t>02012024</t>
  </si>
  <si>
    <t>15122023</t>
  </si>
  <si>
    <t>25112023</t>
  </si>
  <si>
    <t>14122023</t>
  </si>
  <si>
    <t>27012024</t>
  </si>
  <si>
    <t>10022024</t>
  </si>
  <si>
    <t>19112023</t>
  </si>
  <si>
    <t>04122023</t>
  </si>
  <si>
    <t>29122023</t>
  </si>
  <si>
    <t>14012024</t>
  </si>
  <si>
    <t>27112023</t>
  </si>
  <si>
    <t>12012024</t>
  </si>
  <si>
    <t>29082023</t>
  </si>
  <si>
    <t>24102023</t>
  </si>
  <si>
    <t>18112023</t>
  </si>
  <si>
    <t>19122023</t>
  </si>
  <si>
    <t>18092023</t>
  </si>
  <si>
    <t>06012024</t>
  </si>
  <si>
    <t>18022024</t>
  </si>
  <si>
    <t>13092023</t>
  </si>
  <si>
    <t>18102023</t>
  </si>
  <si>
    <t>20112023</t>
  </si>
  <si>
    <t>23122023</t>
  </si>
  <si>
    <t>03012024</t>
  </si>
  <si>
    <t>15012024</t>
  </si>
  <si>
    <t>30012024</t>
  </si>
  <si>
    <t>25022024</t>
  </si>
  <si>
    <t>22122023</t>
  </si>
  <si>
    <t>24092023</t>
  </si>
  <si>
    <t>07122023</t>
  </si>
  <si>
    <t>01032024</t>
  </si>
  <si>
    <t>28122023</t>
  </si>
  <si>
    <t>05122023</t>
  </si>
  <si>
    <t>14022024</t>
  </si>
  <si>
    <t>27102023</t>
  </si>
  <si>
    <t>07112023</t>
  </si>
  <si>
    <t>02022024</t>
  </si>
  <si>
    <t>07012024</t>
  </si>
  <si>
    <t>30112023</t>
  </si>
  <si>
    <t>09012024</t>
  </si>
  <si>
    <t>Unk</t>
  </si>
  <si>
    <t>202324_Baxters Beach A19 Wonthaggi Ocean Beach_1</t>
  </si>
  <si>
    <t>202324_Baxters North Wonthaggi_1</t>
  </si>
  <si>
    <t>202324_Baxters North Wonthaggi_2</t>
  </si>
  <si>
    <t>25012024</t>
  </si>
  <si>
    <t>202324_Baxters North Wonthaggi_3</t>
  </si>
  <si>
    <t>202324_Cape Paterson - 2nd Surf Beach_1</t>
  </si>
  <si>
    <t>202324_Cape Paterson - Pea Creek Estuary &amp; Undertow Bay_1</t>
  </si>
  <si>
    <t>30102023</t>
  </si>
  <si>
    <t>202324_Cape Paterson - Pea Creek Estuary &amp; Undertow Bay_2</t>
  </si>
  <si>
    <t>04112023</t>
  </si>
  <si>
    <t>05112023</t>
  </si>
  <si>
    <t>202324_Cape Paterson - Pea Creek Estuary &amp; Undertow Bay_3</t>
  </si>
  <si>
    <t>202324_Coal Creek Estuary - 1st Point East_1</t>
  </si>
  <si>
    <t>20012024</t>
  </si>
  <si>
    <t>202324_Coal Creek Estuary Mouth - Harmers Haven_1</t>
  </si>
  <si>
    <t>17122023</t>
  </si>
  <si>
    <t>202324_Coal Creek Estuary Mouth - Harmers Haven_2</t>
  </si>
  <si>
    <t>202324_Coal Point 3rd Bay West 1st Pair_1</t>
  </si>
  <si>
    <t>202324_Coal Point 2nd Bay N/W - Harmers Haven_2</t>
  </si>
  <si>
    <t>24122023</t>
  </si>
  <si>
    <t>202324_Coal Point 2nd Bay N/W - Harmers Haven_3</t>
  </si>
  <si>
    <t>23012024</t>
  </si>
  <si>
    <t>202324_Cutlers Beach A20 N/West _1</t>
  </si>
  <si>
    <t>202324_Cutlers Beach A20 N/West _2</t>
  </si>
  <si>
    <t>11022024</t>
  </si>
  <si>
    <t>202324_Coal Point 3rd Bay West 2nd Pair_1</t>
  </si>
  <si>
    <t>202324_Desal Beach - Powlett River_1</t>
  </si>
  <si>
    <t>22112023</t>
  </si>
  <si>
    <t>202324_Desal Beach - Powlett River_2</t>
  </si>
  <si>
    <t>202324_Desal Beach - Powlett River_3</t>
  </si>
  <si>
    <t>10012024</t>
  </si>
  <si>
    <t>202324_Harmers Haven - 1st Bay West of A21 Steps_1</t>
  </si>
  <si>
    <t>202324_Inverloch - Abbott St_1</t>
  </si>
  <si>
    <t>02122024</t>
  </si>
  <si>
    <t>04122024</t>
  </si>
  <si>
    <t>202324_Inverloch - Abbott St_2</t>
  </si>
  <si>
    <t>19012024</t>
  </si>
  <si>
    <t>21012024</t>
  </si>
  <si>
    <t>202324_Inverloch - Screw Creek West_1</t>
  </si>
  <si>
    <t>25092023</t>
  </si>
  <si>
    <t>202324_Inverloch - Screw Creek West_2</t>
  </si>
  <si>
    <t>31102023</t>
  </si>
  <si>
    <t>01112023</t>
  </si>
  <si>
    <t>202324_Inverloch - Screw Creek West_3</t>
  </si>
  <si>
    <t>06122023</t>
  </si>
  <si>
    <t>08122023</t>
  </si>
  <si>
    <t>202324_Inverloch - Screw Creek West_4</t>
  </si>
  <si>
    <t>30122023</t>
  </si>
  <si>
    <t>202324_Kilcunda Trestle Bridge Beach A14_1</t>
  </si>
  <si>
    <t>202324_Powlett River Mouth West Bank_1</t>
  </si>
  <si>
    <t>02102023</t>
  </si>
  <si>
    <t>08102023</t>
  </si>
  <si>
    <t>202324_Powlett River Mouth West Bank_2</t>
  </si>
  <si>
    <t>31122023</t>
  </si>
  <si>
    <t>202324_Powlett River Mouth West Bank_3</t>
  </si>
  <si>
    <t>202324_Powlett River Mouth West Bank_4</t>
  </si>
  <si>
    <t>22022024</t>
  </si>
  <si>
    <t>202324_Powlett River West Bank Dune_1</t>
  </si>
  <si>
    <t>15092023</t>
  </si>
  <si>
    <t>202324_Powlett River West Bank Dune_2</t>
  </si>
  <si>
    <t>202324_Powlett River West A16 Eastward_3</t>
  </si>
  <si>
    <t>202324_Powlett River West A16 Eastward_4</t>
  </si>
  <si>
    <t>03022024</t>
  </si>
  <si>
    <t>202324_Powlett River West A16 Further West_1</t>
  </si>
  <si>
    <t>24112023</t>
  </si>
  <si>
    <t>202324_Powlett River West A16 Further West_2</t>
  </si>
  <si>
    <t>202324_Powlett River West A16 Further West_3</t>
  </si>
  <si>
    <t>202324_Powlett River West A16 Further West_4</t>
  </si>
  <si>
    <t>202324_Powlett River West A16 Further West_5</t>
  </si>
  <si>
    <t>202324_Powlett River West A16 Further West_6</t>
  </si>
  <si>
    <t>12022024</t>
  </si>
  <si>
    <t>202324_Powlett River West A16 Further West_7</t>
  </si>
  <si>
    <t>04032024</t>
  </si>
  <si>
    <t>202324_Powlett River West A16- Paperbark trk - Kilcunda_1</t>
  </si>
  <si>
    <t>202324_Powlett River West A16- Paperbark trk - Kilcunda_2</t>
  </si>
  <si>
    <t>202324_San Remo - Town Back Beach_1</t>
  </si>
  <si>
    <t>25102023</t>
  </si>
  <si>
    <t>202324_San Remo - Town Back Beach_2</t>
  </si>
  <si>
    <t>11122023</t>
  </si>
  <si>
    <t>202324_Sandy Waterholes Estuary &amp; next Bay East - George Bass Coastal Walk_1</t>
  </si>
  <si>
    <t>202324_Sandy Waterholes Estuary &amp; next Bay East - George Bass Coastal Walk_2</t>
  </si>
  <si>
    <t>31012024</t>
  </si>
  <si>
    <t>26022024</t>
  </si>
  <si>
    <t>202324_Sandy Waterholes Estuary &amp; next Bay East - George Bass Coastal Walk_3</t>
  </si>
  <si>
    <t>09032024</t>
  </si>
  <si>
    <t>202324_The Oaks Bay - Cape Paterson_1</t>
  </si>
  <si>
    <t>202324_Twin Reefs -Bunurong Coast Rd_1</t>
  </si>
  <si>
    <t>202324_Waterfall Creek - Harmers Haven_1</t>
  </si>
  <si>
    <t>202324_Waterfall Creek - Harmers Haven_2</t>
  </si>
  <si>
    <t>20122023</t>
  </si>
  <si>
    <t>202324_Waterfall Creek - Harmers Haven_3</t>
  </si>
  <si>
    <t>202324_Waterfall Creek - Harmers Haven_4</t>
  </si>
  <si>
    <t>16022024</t>
  </si>
  <si>
    <t>202324_Williamsons Beach Further East_1</t>
  </si>
  <si>
    <t>202324_Williamsons Beach Further East_2</t>
  </si>
  <si>
    <t>202324_Williamsons Beach Further East_3</t>
  </si>
  <si>
    <t>15032024</t>
  </si>
  <si>
    <t>202324_Williamsons Beach Further West_1</t>
  </si>
  <si>
    <t>21122023</t>
  </si>
  <si>
    <t>202324_Williamsons Beach Further West_2</t>
  </si>
  <si>
    <t>07032024</t>
  </si>
  <si>
    <t>202324_Williamsons Beach West_1</t>
  </si>
  <si>
    <t>03112023</t>
  </si>
  <si>
    <t>202324_Williamsons Beach West_2</t>
  </si>
  <si>
    <t>10112023</t>
  </si>
  <si>
    <t>15112023</t>
  </si>
  <si>
    <t>202324_Williamsons Beach West_3</t>
  </si>
  <si>
    <t>22012024</t>
  </si>
  <si>
    <t>202324_Williamsons Beach West_4</t>
  </si>
  <si>
    <t>19022024</t>
  </si>
  <si>
    <t>17012024</t>
  </si>
  <si>
    <r>
      <rPr>
        <b/>
        <sz val="11"/>
        <color theme="1"/>
        <rFont val="Aptos Narrow"/>
        <family val="2"/>
        <scheme val="minor"/>
      </rPr>
      <t>Coal Point 3rd Bay West 1st Pair</t>
    </r>
    <r>
      <rPr>
        <sz val="11"/>
        <color theme="1"/>
        <rFont val="Aptos Narrow"/>
        <family val="2"/>
        <scheme val="minor"/>
      </rPr>
      <t xml:space="preserve"> / Coal Point 2nd Bay N/W - Harmers Haven</t>
    </r>
  </si>
  <si>
    <r>
      <rPr>
        <b/>
        <sz val="11"/>
        <color theme="1"/>
        <rFont val="Aptos Narrow"/>
        <family val="2"/>
        <scheme val="minor"/>
      </rPr>
      <t>Coal Point 3rd Bay West 2nd Pair</t>
    </r>
    <r>
      <rPr>
        <sz val="11"/>
        <color theme="1"/>
        <rFont val="Aptos Narrow"/>
        <family val="2"/>
        <scheme val="minor"/>
      </rPr>
      <t xml:space="preserve"> / Cutlers Beach A20 S/East</t>
    </r>
  </si>
  <si>
    <r>
      <rPr>
        <b/>
        <sz val="11"/>
        <color theme="1"/>
        <rFont val="Aptos Narrow"/>
        <family val="2"/>
        <scheme val="minor"/>
      </rPr>
      <t>Powlett River West Bank Dune</t>
    </r>
    <r>
      <rPr>
        <sz val="11"/>
        <color theme="1"/>
        <rFont val="Aptos Narrow"/>
        <family val="2"/>
        <scheme val="minor"/>
      </rPr>
      <t xml:space="preserve"> / Powlett River West A16 Eastward</t>
    </r>
  </si>
  <si>
    <t>202223_Baxters 2 Sth_1</t>
  </si>
  <si>
    <t>28012023</t>
  </si>
  <si>
    <t>16022023</t>
  </si>
  <si>
    <t>202223_Baxters 1 Sth - Wonthaggi_2</t>
  </si>
  <si>
    <t>27022023</t>
  </si>
  <si>
    <t>10032023</t>
  </si>
  <si>
    <t>202223_Baxters 3 Sth_1</t>
  </si>
  <si>
    <t>07022023</t>
  </si>
  <si>
    <t>202223_Baxters 3 Sth_2</t>
  </si>
  <si>
    <t>01032023</t>
  </si>
  <si>
    <t>17032023</t>
  </si>
  <si>
    <t>01042023</t>
  </si>
  <si>
    <t>202223_Baxters 4 Sth_1</t>
  </si>
  <si>
    <t>18112022</t>
  </si>
  <si>
    <t>03012023</t>
  </si>
  <si>
    <t>202223_Baxters 4 Sth_2</t>
  </si>
  <si>
    <t>10012023</t>
  </si>
  <si>
    <t>202223_Baxters Beach A19 Wonthaggi Ocean Beach_1</t>
  </si>
  <si>
    <t>06122022</t>
  </si>
  <si>
    <t>09122022</t>
  </si>
  <si>
    <t>23122022</t>
  </si>
  <si>
    <t>202223_Baxters Beach A19 Wonthaggi Ocean Beach_2</t>
  </si>
  <si>
    <t>202223_Baxters North Wonthaggi_1</t>
  </si>
  <si>
    <t>24012023</t>
  </si>
  <si>
    <t>202223_Cape Paterson - 2nd Surf Beach_1</t>
  </si>
  <si>
    <t>30122022</t>
  </si>
  <si>
    <t>15012023</t>
  </si>
  <si>
    <t>202223_Cape Paterson - Pea Creek Estuary &amp; Undertow Bay_1</t>
  </si>
  <si>
    <t>21092022</t>
  </si>
  <si>
    <t>27092022</t>
  </si>
  <si>
    <t>01102022</t>
  </si>
  <si>
    <t>202223_Cape Paterson - Pea Creek Estuary &amp; Undertow Bay_2</t>
  </si>
  <si>
    <t>13102022</t>
  </si>
  <si>
    <t>17102022</t>
  </si>
  <si>
    <t>19102022</t>
  </si>
  <si>
    <t>202223_Cape Paterson - Pea Creek Estuary &amp; Undertow Bay_3</t>
  </si>
  <si>
    <t>19112022</t>
  </si>
  <si>
    <t>23112022</t>
  </si>
  <si>
    <t>25112022</t>
  </si>
  <si>
    <t>202223_Cape Paterson - Pea Creek Estuary &amp; Undertow Bay_4</t>
  </si>
  <si>
    <t>19122022</t>
  </si>
  <si>
    <t>01012023</t>
  </si>
  <si>
    <t>202223_Cape Paterson - Pea Creek Estuary &amp; Undertow Bay_5</t>
  </si>
  <si>
    <t>02022023</t>
  </si>
  <si>
    <t>202223_Coal Creek Estuary - 2nd Bay East_1</t>
  </si>
  <si>
    <t>01122022</t>
  </si>
  <si>
    <t>10122022</t>
  </si>
  <si>
    <t>202223_Coal Creek Estuary Mouth - Harmers Haven_1</t>
  </si>
  <si>
    <t>26112022</t>
  </si>
  <si>
    <t>202223_Coal Creek Estuary Mouth - Harmers Haven_2</t>
  </si>
  <si>
    <t>30012023</t>
  </si>
  <si>
    <t>202223_Coal Point 3rd Bay West 1st Pair_1</t>
  </si>
  <si>
    <t>06022023</t>
  </si>
  <si>
    <t>202223_Cutlers Beach A20 N/West _1</t>
  </si>
  <si>
    <t>16012023</t>
  </si>
  <si>
    <t>202223_Cutlers Beach A20 N/West _2</t>
  </si>
  <si>
    <t>06032023</t>
  </si>
  <si>
    <t>16032023</t>
  </si>
  <si>
    <t>202223_Cutlers Beach A20 S/East_1</t>
  </si>
  <si>
    <t>13012023</t>
  </si>
  <si>
    <t>202223_Cutlers Rocks Flock Site- Sth End_1</t>
  </si>
  <si>
    <t>202223_Desal Beach - Powlett River_1</t>
  </si>
  <si>
    <t>202223_Desal Beach - Powlett River_2</t>
  </si>
  <si>
    <t>02122022</t>
  </si>
  <si>
    <t>202223_Desal Beach - Powlett River_3</t>
  </si>
  <si>
    <t>21122022</t>
  </si>
  <si>
    <t>202223_Desal Beach - Powlett River_4</t>
  </si>
  <si>
    <t>05012023</t>
  </si>
  <si>
    <t>01022023</t>
  </si>
  <si>
    <t>202223_Harmers Haven - 1st Bay West of A21 Steps_1</t>
  </si>
  <si>
    <t>202223_Harmers Haven - 1st Bay West of A21 Steps_2</t>
  </si>
  <si>
    <t>25012023</t>
  </si>
  <si>
    <t>19022023</t>
  </si>
  <si>
    <t>202223_Inverloch - Point Norman East_1</t>
  </si>
  <si>
    <t>12092022</t>
  </si>
  <si>
    <t>13092022</t>
  </si>
  <si>
    <t>14092022</t>
  </si>
  <si>
    <t>202223_Inverloch - Screw Creek West_1</t>
  </si>
  <si>
    <t>11102022</t>
  </si>
  <si>
    <t>202223_Inverloch - Screw Creek West_2</t>
  </si>
  <si>
    <t>24122022</t>
  </si>
  <si>
    <t>202223_Kilcunda Trestle Bridge Beach East_1</t>
  </si>
  <si>
    <t>05092022</t>
  </si>
  <si>
    <t>20092022</t>
  </si>
  <si>
    <t>26092022</t>
  </si>
  <si>
    <t>202223_Kilcunda Trestle Bridge Beach East_2</t>
  </si>
  <si>
    <t>10102022</t>
  </si>
  <si>
    <t>30102022</t>
  </si>
  <si>
    <t>202223_Kilcunda Trestle Bridge Beach East_3</t>
  </si>
  <si>
    <t>19012023</t>
  </si>
  <si>
    <t>202223_Kilcunda Trestle Bridge Beach East_4</t>
  </si>
  <si>
    <t>202223_Powlett River Mouth West Bank_1</t>
  </si>
  <si>
    <t>27102022</t>
  </si>
  <si>
    <t>04112022</t>
  </si>
  <si>
    <t>07112022</t>
  </si>
  <si>
    <t>202223_Powlett River Mouth West Bank_2</t>
  </si>
  <si>
    <t>17012023</t>
  </si>
  <si>
    <t>202223_Powlett River West Bank Dune_1</t>
  </si>
  <si>
    <t>09102022</t>
  </si>
  <si>
    <t>12102022</t>
  </si>
  <si>
    <t>202223_Powlett River West Bank Dune_2</t>
  </si>
  <si>
    <t>02112022</t>
  </si>
  <si>
    <t>03112022</t>
  </si>
  <si>
    <t>202223_Powlett River West Bank Dune_3</t>
  </si>
  <si>
    <t>202223_Powlett River West A16 Eastward_4</t>
  </si>
  <si>
    <t>09012023</t>
  </si>
  <si>
    <t>11012023</t>
  </si>
  <si>
    <t>202223_Powlett River West A16 Further West_1</t>
  </si>
  <si>
    <t>16112022</t>
  </si>
  <si>
    <t>202223_Powlett River West A16 Further West_2</t>
  </si>
  <si>
    <t>05122022</t>
  </si>
  <si>
    <t>202223_Powlett River West A16 Further West_3</t>
  </si>
  <si>
    <t>07122022</t>
  </si>
  <si>
    <t>14122022</t>
  </si>
  <si>
    <t>202223_Powlett River West A16 Further West_4</t>
  </si>
  <si>
    <t>23012023</t>
  </si>
  <si>
    <t>202223_Powlett River West A16- Paperbark trk - Kilcunda_1</t>
  </si>
  <si>
    <t>202223_Powlett River West A16- Paperbark trk - Kilcunda_2</t>
  </si>
  <si>
    <t>26122022</t>
  </si>
  <si>
    <t>02012023</t>
  </si>
  <si>
    <t>202223_Powlett River West A16- Paperbark trk - Kilcunda_3</t>
  </si>
  <si>
    <t>202223_San Remo - Town Back Beach_1</t>
  </si>
  <si>
    <t>24112022</t>
  </si>
  <si>
    <t>202223_Sandy Waterhole Bay West end_1</t>
  </si>
  <si>
    <t>202223_The Oaks Bay - Cape Paterson_1</t>
  </si>
  <si>
    <t>202223_Williamsons Beach Further East_1</t>
  </si>
  <si>
    <t>13022023</t>
  </si>
  <si>
    <t>202223_Williamsons Beach Further East_2</t>
  </si>
  <si>
    <t>202223_Williamsons Beach Further West_1</t>
  </si>
  <si>
    <t>202223_Williamsons Beach Further West_2</t>
  </si>
  <si>
    <t>202223_Williamsons Beach West_1</t>
  </si>
  <si>
    <t>202223_Williamsons Beach West_2</t>
  </si>
  <si>
    <t>202223_Williamsons Beach West_3</t>
  </si>
  <si>
    <t>202223_Williamsons Beach West_4</t>
  </si>
  <si>
    <t>10022023</t>
  </si>
  <si>
    <t>202223_Wilsons Rd 2nd Bay West End_1</t>
  </si>
  <si>
    <t>11122022</t>
  </si>
  <si>
    <t>202223_Wilsons Rd 2nd Bay West End_2</t>
  </si>
  <si>
    <t>05022023</t>
  </si>
  <si>
    <t>202223_Wreck Beach - Harmers Haven_1</t>
  </si>
  <si>
    <t>202223_Wreck Beach - Harmers Haven_2</t>
  </si>
  <si>
    <t>20022023</t>
  </si>
  <si>
    <t>202223_Wreck Beach - Harmers Haven_3</t>
  </si>
  <si>
    <t>202324_Wilsons Rd 2nd Bay West End_1</t>
  </si>
  <si>
    <t>202324_Wilsons Rd Eastward 3rd drain_1</t>
  </si>
  <si>
    <t>202324_Wilsons Rd Eastward 3rd drain_2</t>
  </si>
  <si>
    <t>202324_Baxters 3 Sth_2</t>
  </si>
  <si>
    <r>
      <t>Baxters 2 Sth /</t>
    </r>
    <r>
      <rPr>
        <b/>
        <sz val="11"/>
        <color theme="1"/>
        <rFont val="Aptos Narrow"/>
        <family val="2"/>
        <scheme val="minor"/>
      </rPr>
      <t xml:space="preserve"> Baxters 3 Sth</t>
    </r>
  </si>
  <si>
    <t>202223_Wilsons Rd Eastward 3rd drain</t>
  </si>
  <si>
    <t>202122_Baxters 1 Sth - Wonthaggi_1</t>
  </si>
  <si>
    <t>202122_Baxters North Wonthaggi_1</t>
  </si>
  <si>
    <t>202122_Cape Paterson - 2nd Surf Beach_1</t>
  </si>
  <si>
    <t>202122_Cape Paterson - Pea Creek Estuary &amp; Undertow Bay_1</t>
  </si>
  <si>
    <t>202122_Cape Paterson - Pea Creek Estuary &amp; Undertow Bay_2</t>
  </si>
  <si>
    <t>202122_Cape Paterson - Pea Creek Estuary &amp; Undertow Bay_3</t>
  </si>
  <si>
    <t>202122_Cape Paterson - Pea Creek Estuary &amp; Undertow Bay_4</t>
  </si>
  <si>
    <t>202122_Cape Paterson - Pea Creek Estuary &amp; Undertow Bay_5</t>
  </si>
  <si>
    <t>202122_Cape Paterson - Pea Creek Estuary &amp; Undertow Bay_6</t>
  </si>
  <si>
    <t>202122_Coal Creek Estuary - 2nd Bay East_1</t>
  </si>
  <si>
    <t>202122_Coal Creek Estuary - 2nd Bay East_2</t>
  </si>
  <si>
    <t>202122_Coal Creek Estuary - 2nd Bay East_3</t>
  </si>
  <si>
    <t>202122_Coal Creek Estuary Mouth - Harmers Haven_1</t>
  </si>
  <si>
    <t>202122_Cutlers Beach A20 N/West _1</t>
  </si>
  <si>
    <t>202122_Cutlers Beach A20 N/West _2</t>
  </si>
  <si>
    <t>202122_Cutlers Beach A20 S/East_1</t>
  </si>
  <si>
    <t>202122_Cutlers Beach A20 S/East_2</t>
  </si>
  <si>
    <t>202122_Desal Beach - Powlett River_1</t>
  </si>
  <si>
    <t>202122_Desal Beach - Powlett River_2</t>
  </si>
  <si>
    <t>202122_Desal Beach - Powlett River_3</t>
  </si>
  <si>
    <t>202122_Harmers Haven - 1st Bay West of A21 Steps_1</t>
  </si>
  <si>
    <t>202122_Harmers Haven - 1st Bay West of A21 Steps_2</t>
  </si>
  <si>
    <t>202122_Harmers Haven - 1st Bay West of A21 Steps_4</t>
  </si>
  <si>
    <t>202122_Harmers Haven - 1st Bay West of A21 Steps_3</t>
  </si>
  <si>
    <t>202122_Inverloch - Screw Creek West_1</t>
  </si>
  <si>
    <t>202122_Inverloch - Screw Creek West_2</t>
  </si>
  <si>
    <t>202122_Inverloch - Screw Creek West_3</t>
  </si>
  <si>
    <t>202122_Inverloch - Screw Creek West_4</t>
  </si>
  <si>
    <t>202122_Kilcunda Trestle Bridge Beach East_1</t>
  </si>
  <si>
    <t>202122_Powlett River Mouth West Bank_1</t>
  </si>
  <si>
    <t>202122_Powlett River Mouth West Bank_2</t>
  </si>
  <si>
    <t>202122_Powlett River Mouth West Bank_3</t>
  </si>
  <si>
    <t>202122_Powlett River West A16 Further West_1</t>
  </si>
  <si>
    <t>202122_Powlett River West A16 Further West_2</t>
  </si>
  <si>
    <t>202122_Powlett River West A16- Paperbark trk - Kilcunda_1</t>
  </si>
  <si>
    <t>202122_Powlett River West A16 Eastward_4</t>
  </si>
  <si>
    <t>202122_Powlett River West Bank Dune_1</t>
  </si>
  <si>
    <t>202122_Powlett River West Bank Dune_2</t>
  </si>
  <si>
    <t>202122_Powlett River West Bank Dune_3</t>
  </si>
  <si>
    <t>202122_San Remo - Town Back Beach_1</t>
  </si>
  <si>
    <t>202122_San Remo - Town Back Beach_2</t>
  </si>
  <si>
    <t>202122_Sandy Waterhole Bay West end_1</t>
  </si>
  <si>
    <t>202122_The Oaks Bay - Cape Paterson_1</t>
  </si>
  <si>
    <t>202122_The Oaks Bay - Cape Paterson_2</t>
  </si>
  <si>
    <t>202122_Waterfall Creek - Harmers Haven_1</t>
  </si>
  <si>
    <t>202122_Williamsons Beach Further East_1</t>
  </si>
  <si>
    <t>202122_Williamsons Beach Further East_2</t>
  </si>
  <si>
    <t>202122_Williamsons Beach Further West_1</t>
  </si>
  <si>
    <t>202122_Williamsons Beach West_1</t>
  </si>
  <si>
    <t>202122_Williamsons Beach West_2</t>
  </si>
  <si>
    <t>202122_Williamsons Beach West_3</t>
  </si>
  <si>
    <t>202122_Wilsons Rd 1st &amp; 2nd Bays West_1</t>
  </si>
  <si>
    <t>202122_Wilsons Rd 1st &amp; 2nd Bays West_2</t>
  </si>
  <si>
    <t>202122_Wilsons Rd 2nd Bay West End_1</t>
  </si>
  <si>
    <t>202122_Wilsons Rd 2nd Bay West End_2</t>
  </si>
  <si>
    <t>202122_Wilsons Rd Eastward 3rd drain_1</t>
  </si>
  <si>
    <t>31012022</t>
  </si>
  <si>
    <t>11102021</t>
  </si>
  <si>
    <t>06112021</t>
  </si>
  <si>
    <t>21112021</t>
  </si>
  <si>
    <t>11122021</t>
  </si>
  <si>
    <t>15012022</t>
  </si>
  <si>
    <t>29012022</t>
  </si>
  <si>
    <t>13122021</t>
  </si>
  <si>
    <t>08032022</t>
  </si>
  <si>
    <t>08012022</t>
  </si>
  <si>
    <t>28022022</t>
  </si>
  <si>
    <t>24012022</t>
  </si>
  <si>
    <t>10022022</t>
  </si>
  <si>
    <t>10122021</t>
  </si>
  <si>
    <t>04022022</t>
  </si>
  <si>
    <t>20122021</t>
  </si>
  <si>
    <t>11012022</t>
  </si>
  <si>
    <t>10102021</t>
  </si>
  <si>
    <t>10112021</t>
  </si>
  <si>
    <t>10032022</t>
  </si>
  <si>
    <t>30102021</t>
  </si>
  <si>
    <t>15122021</t>
  </si>
  <si>
    <t>31122021</t>
  </si>
  <si>
    <t>03022022</t>
  </si>
  <si>
    <t>28112021</t>
  </si>
  <si>
    <t>09012022</t>
  </si>
  <si>
    <t>27102021</t>
  </si>
  <si>
    <t>04122021</t>
  </si>
  <si>
    <t>02022022</t>
  </si>
  <si>
    <t>10012022</t>
  </si>
  <si>
    <t>11022022</t>
  </si>
  <si>
    <t>29112021</t>
  </si>
  <si>
    <t>27122021</t>
  </si>
  <si>
    <t>21022022</t>
  </si>
  <si>
    <t>22122021</t>
  </si>
  <si>
    <t>16122021</t>
  </si>
  <si>
    <t>Date last checked (N)</t>
  </si>
  <si>
    <t>202021_Baxters North Wonthaggi_1</t>
  </si>
  <si>
    <t>202021_Baxters North Wonthaggi_2</t>
  </si>
  <si>
    <t>202021_Baxters North Wonthaggi_3</t>
  </si>
  <si>
    <t>202021_Baxters North Wonthaggi_4</t>
  </si>
  <si>
    <t>202021_Cape Paterson - 2nd Surf Beach_1</t>
  </si>
  <si>
    <t>202021_Cape Paterson - 2nd Surf Beach_2</t>
  </si>
  <si>
    <t>202021_Cape Paterson - 2nd Surf Beach_3</t>
  </si>
  <si>
    <t>202021_Cape Paterson - Pea Creek Estuary &amp; Undertow Bay_1</t>
  </si>
  <si>
    <t>202021_Cape Paterson - Pea Creek Estuary &amp; Undertow Bay_2</t>
  </si>
  <si>
    <t>202021_Cape Paterson - Pea Creek Estuary &amp; Undertow Bay_3</t>
  </si>
  <si>
    <t>202021_Coal Creek Estuary Mouth - Harmers Haven_1</t>
  </si>
  <si>
    <t>202021_Coal Point 3rd Bay West 1st Pair_1</t>
  </si>
  <si>
    <t>202021_Cutlers Beach A20 N/West _1</t>
  </si>
  <si>
    <t>202021_Desal Beach - Powlett River_1</t>
  </si>
  <si>
    <t>202021_Desal Beach - Powlett River_2</t>
  </si>
  <si>
    <t>202021_Desal Beach - Powlett River_3</t>
  </si>
  <si>
    <t>202021_Inverloch - Abbott St_1</t>
  </si>
  <si>
    <t>Fox (&lt;10cm)</t>
  </si>
  <si>
    <t>202021_Inverloch - Abbott St_2</t>
  </si>
  <si>
    <t>202021_Inverloch - Abbott St East_3</t>
  </si>
  <si>
    <t>202021_Inverloch - Screw Creek West_1</t>
  </si>
  <si>
    <t>Fox (10-30cm)</t>
  </si>
  <si>
    <t>202021_Inverloch - Screw Creek West_2</t>
  </si>
  <si>
    <t>Gull (1-5m)</t>
  </si>
  <si>
    <t>202021_Inverloch - Screw Creek West_3</t>
  </si>
  <si>
    <t>202021_Kilcunda Beach A13_1</t>
  </si>
  <si>
    <t>202021_Kilcunda Trestle Bridge Beach East_1</t>
  </si>
  <si>
    <t>202021_Powlett River Mouth West Bank_1</t>
  </si>
  <si>
    <t>Raven/magpie etc (30cm-1m)</t>
  </si>
  <si>
    <t>202021_Powlett River Mouth West Bank_2</t>
  </si>
  <si>
    <t>202021_Powlett River Mouth West Bank_3</t>
  </si>
  <si>
    <t>Raven/magpie etc (10-30cm)</t>
  </si>
  <si>
    <t>202021_Powlett River West A16 Eastward_1</t>
  </si>
  <si>
    <t>202021_Powlett River West A16 Further West_1</t>
  </si>
  <si>
    <t>Raven/magpie etc (1-5m)</t>
  </si>
  <si>
    <t>202021_Powlett River West A16 Further West_2</t>
  </si>
  <si>
    <t>202021_Powlett River West A16 Further West_3</t>
  </si>
  <si>
    <t>none</t>
  </si>
  <si>
    <t>202021_Powlett River West A16- Paperbark trk - Kilcunda_1</t>
  </si>
  <si>
    <t>Fox (30cm-1m)</t>
  </si>
  <si>
    <t>202021_Powlett River West A16- Paperbark trk - Kilcunda_2</t>
  </si>
  <si>
    <t>Suspect Y</t>
  </si>
  <si>
    <t>Susepct only 18/01/2021</t>
  </si>
  <si>
    <t>Never seen</t>
  </si>
  <si>
    <t>202021_Powlett River West A16- Paperbark trk - Kilcunda_3</t>
  </si>
  <si>
    <t>202021_Powlett River West Bank Dune_4</t>
  </si>
  <si>
    <t>202021_Powlett River West Bank Dune_5</t>
  </si>
  <si>
    <t>202021_San Remo - Town Back Beach_1</t>
  </si>
  <si>
    <t>202021_San Remo - Town Back Beach_2</t>
  </si>
  <si>
    <t>202021_San Remo - Town Back Beach_3</t>
  </si>
  <si>
    <t>202021_Sandy Waterholes Estuary &amp; next Bay East - George Bass Coastal Walk_1</t>
  </si>
  <si>
    <t>202021_Smalls Beach (McLellan Private Beach)_1</t>
  </si>
  <si>
    <t>202021_Smalls Beach (McLellan Private Beach)_2</t>
  </si>
  <si>
    <t>202021_The Oaks Bay - Cape Paterson_1</t>
  </si>
  <si>
    <t>202021_The Oaks Bay - Cape Paterson_2</t>
  </si>
  <si>
    <t>Fox (1-5m)</t>
  </si>
  <si>
    <t>202021_The Oaks Bay - Cape Paterson_3</t>
  </si>
  <si>
    <t>202021_Twin Reefs -Bunurong Coast Rd_1</t>
  </si>
  <si>
    <t>202021_Twin Reefs -Bunurong Coast Rd_2</t>
  </si>
  <si>
    <t>202021_Twin Reefs -Bunurong Coast Rd_3</t>
  </si>
  <si>
    <t>202021_Waterfall Creek - Harmers Haven_1</t>
  </si>
  <si>
    <t>202021_Waterfall Creek - Harmers Haven_2</t>
  </si>
  <si>
    <t>202021_Williamsons Beach Further East_1</t>
  </si>
  <si>
    <t>Raven/magpie etc (&lt;10cm)</t>
  </si>
  <si>
    <t>202021_Williamsons Beach Further East_2</t>
  </si>
  <si>
    <t>202021_Williamsons Beach Further East_3</t>
  </si>
  <si>
    <t>202021_Williamsons Beach Further West_1</t>
  </si>
  <si>
    <t>202021_Williamsons Beach Further West_2</t>
  </si>
  <si>
    <t>202021_Williamsons Beach Further West_3</t>
  </si>
  <si>
    <t>202021_Williamsons Beach Further West_4</t>
  </si>
  <si>
    <t>202021_Williamsons Beach West_1</t>
  </si>
  <si>
    <t>202021_Williamsons Beach West_2</t>
  </si>
  <si>
    <t>202021_Williamsons Beach West_3</t>
  </si>
  <si>
    <t>202021_Williamsons Beach West_4</t>
  </si>
  <si>
    <t>202021_Wilsons Rd 1st &amp; 2nd Bays West_1</t>
  </si>
  <si>
    <t>202021_Wilsons Rd 2nd Bay West End_1</t>
  </si>
  <si>
    <t>202021_Wilsons Rd 3rd Bay West_1</t>
  </si>
  <si>
    <t>202021_Wilsons Rd Eastward 3rd drain_1</t>
  </si>
  <si>
    <t>202021_Wreck Beach - Harmers Haven_1</t>
  </si>
  <si>
    <t>202021_Wreck Beach - Harmers Haven_3</t>
  </si>
  <si>
    <t>202021_Wreck Beach - Harmers Haven_4</t>
  </si>
  <si>
    <t>11012021</t>
  </si>
  <si>
    <t>04022021</t>
  </si>
  <si>
    <t>15022021</t>
  </si>
  <si>
    <t>22102020</t>
  </si>
  <si>
    <t>04112020</t>
  </si>
  <si>
    <t>19012021</t>
  </si>
  <si>
    <t>07012021</t>
  </si>
  <si>
    <t>20012021</t>
  </si>
  <si>
    <t>31012021</t>
  </si>
  <si>
    <t>12122020</t>
  </si>
  <si>
    <t>14012021</t>
  </si>
  <si>
    <t>22112020</t>
  </si>
  <si>
    <t>07122020</t>
  </si>
  <si>
    <t>27122020</t>
  </si>
  <si>
    <t>26112020</t>
  </si>
  <si>
    <t>19122020</t>
  </si>
  <si>
    <t>20112020</t>
  </si>
  <si>
    <t>14112020</t>
  </si>
  <si>
    <t>04122020</t>
  </si>
  <si>
    <t>06012021</t>
  </si>
  <si>
    <t>14122020</t>
  </si>
  <si>
    <t>18012021</t>
  </si>
  <si>
    <t>08022021</t>
  </si>
  <si>
    <t>01022021</t>
  </si>
  <si>
    <t>19022021</t>
  </si>
  <si>
    <t>13112020</t>
  </si>
  <si>
    <t>14102020</t>
  </si>
  <si>
    <t>17012021</t>
  </si>
  <si>
    <t>10122020</t>
  </si>
  <si>
    <t>02032021</t>
  </si>
  <si>
    <t>07112020</t>
  </si>
  <si>
    <t>23122020</t>
  </si>
  <si>
    <t>27012021</t>
  </si>
  <si>
    <t>30112020</t>
  </si>
  <si>
    <t>28122020</t>
  </si>
  <si>
    <t>03122020</t>
  </si>
  <si>
    <t>11032021</t>
  </si>
  <si>
    <t>20122020</t>
  </si>
  <si>
    <t>16102020</t>
  </si>
  <si>
    <t>10022021</t>
  </si>
  <si>
    <t>18022021</t>
  </si>
  <si>
    <t>12112020</t>
  </si>
  <si>
    <t>16012021</t>
  </si>
  <si>
    <t>11022021</t>
  </si>
  <si>
    <t>25022021</t>
  </si>
  <si>
    <t>15032021</t>
  </si>
  <si>
    <t>11102020</t>
  </si>
  <si>
    <t>20102020</t>
  </si>
  <si>
    <t>29102020</t>
  </si>
  <si>
    <t>02112020</t>
  </si>
  <si>
    <t>09122020</t>
  </si>
  <si>
    <t>03012021</t>
  </si>
  <si>
    <t>21102020</t>
  </si>
  <si>
    <t>21112020</t>
  </si>
  <si>
    <t>01012021</t>
  </si>
  <si>
    <t>21022021</t>
  </si>
  <si>
    <t>25012021</t>
  </si>
  <si>
    <t>15112020</t>
  </si>
  <si>
    <t>05122020</t>
  </si>
  <si>
    <t>22122020</t>
  </si>
  <si>
    <t>25122020</t>
  </si>
  <si>
    <t>31102020</t>
  </si>
  <si>
    <t>24112020</t>
  </si>
  <si>
    <t>06122020</t>
  </si>
  <si>
    <t>17122020</t>
  </si>
  <si>
    <t>27102020</t>
  </si>
  <si>
    <t>19112020</t>
  </si>
  <si>
    <t>03112020</t>
  </si>
  <si>
    <t>28112020</t>
  </si>
  <si>
    <t>31122020</t>
  </si>
  <si>
    <t>02012021</t>
  </si>
  <si>
    <t>18112020</t>
  </si>
  <si>
    <t>17102020</t>
  </si>
  <si>
    <t>21122020</t>
  </si>
  <si>
    <t>03022021</t>
  </si>
  <si>
    <t>09022021</t>
  </si>
  <si>
    <t>22092020</t>
  </si>
  <si>
    <t>27022021</t>
  </si>
  <si>
    <t>10012021</t>
  </si>
  <si>
    <t>12012021</t>
  </si>
  <si>
    <t>25112020</t>
  </si>
  <si>
    <t>01032021</t>
  </si>
  <si>
    <t>09112020</t>
  </si>
  <si>
    <t>13012021</t>
  </si>
  <si>
    <t>26012021</t>
  </si>
  <si>
    <t>201920_Baxters Beach A19 Wonthaggi Ocean Beach_1</t>
  </si>
  <si>
    <t>201920_Baxters Beach A19 Wonthaggi Ocean Beach_2</t>
  </si>
  <si>
    <t>Febraury</t>
  </si>
  <si>
    <t>201920_Baxters Beach A19 Wonthaggi Ocean Beach_3</t>
  </si>
  <si>
    <t>201920_Baxters North Wonthaggi_1</t>
  </si>
  <si>
    <t>201920_Cape Paterson - 2nd Surf Beach_1</t>
  </si>
  <si>
    <t>201920_Cape Paterson - 2nd Surf Beach_2</t>
  </si>
  <si>
    <t>201920_Cape Paterson - 2nd Surf Beach_3</t>
  </si>
  <si>
    <t>Unbanded - banded as LC Left (White) on 30/10/2020</t>
  </si>
  <si>
    <t>201920_Cape Paterson - 2nd Surf Beach_4</t>
  </si>
  <si>
    <t>201920_Cape Paterson - 2nd Surf Beach_5</t>
  </si>
  <si>
    <t>201920_Cape Paterson - 2nd Surf Beach West_1</t>
  </si>
  <si>
    <t>201920_Cape Paterson - Pea Creek Estuary &amp; Undertow Bay_1</t>
  </si>
  <si>
    <t>201920_Cape Paterson - Pea Creek Estuary &amp; Undertow Bay_2</t>
  </si>
  <si>
    <t>201920_Coal Creek Estuary Mouth - Harmers Haven_1</t>
  </si>
  <si>
    <t>201920_Coal Creek Estuary Mouth - Harmers Haven_2</t>
  </si>
  <si>
    <t>201920_Coal Point 3rd Bay West 1st Pair_1</t>
  </si>
  <si>
    <t>201920_Desal Beach - Powlett River_2</t>
  </si>
  <si>
    <t>201920_Desal Beach - Powlett River_3</t>
  </si>
  <si>
    <t>201920_Desal Beach - Powlett River_4</t>
  </si>
  <si>
    <t>201920_Harmers Haven - 1st Bay West of A21 Steps_1</t>
  </si>
  <si>
    <t>201920_Harmers Haven - 1st Bay West of A21 Steps_2</t>
  </si>
  <si>
    <t>201920_Inverloch - Abbott St_1</t>
  </si>
  <si>
    <t>201920_Inverloch - Abbott St_3</t>
  </si>
  <si>
    <t>201920_Inverloch - Abbott St East_2</t>
  </si>
  <si>
    <t>Person (30cm-1m)</t>
  </si>
  <si>
    <t>Enclosure and stakes were damaged by a person. With tracks all through the nest location. No birds or eggs were sighted on the last visit.</t>
  </si>
  <si>
    <t>201920_Inverloch - Screw Creek West_1</t>
  </si>
  <si>
    <t>201920_Inverloch - Screw Creek West_2</t>
  </si>
  <si>
    <t>201920_Powlett River Mouth West Bank_1</t>
  </si>
  <si>
    <t>201920_Powlett River West A16 Eastward_1</t>
  </si>
  <si>
    <t>201920_Powlett River West A16 Eastward_2</t>
  </si>
  <si>
    <t>Suspect only</t>
  </si>
  <si>
    <t>Suspect only 27/02/2020</t>
  </si>
  <si>
    <t>201920_Powlett River West A16 Further West_1</t>
  </si>
  <si>
    <t>201920_Powlett River West A16 Further West_2</t>
  </si>
  <si>
    <t>201920_Powlett River West A16- Paperbark trk - Kilcunda_1</t>
  </si>
  <si>
    <t>201920_Powlett River West A16- Paperbark trk - Kilcunda_2</t>
  </si>
  <si>
    <t>201920_San Remo - Bore Beach_1</t>
  </si>
  <si>
    <t>201920_San Remo - Town Back Beach_1</t>
  </si>
  <si>
    <t>201920_San Remo - Town Back Beach_2</t>
  </si>
  <si>
    <t>201920_San Remo - Town Back Beach_3</t>
  </si>
  <si>
    <t>201920_Sandy Waterholes Estuary &amp; next Bay East - George Bass Coastal Walk_1</t>
  </si>
  <si>
    <t>Not Found</t>
  </si>
  <si>
    <t>Adult size, mottled grey</t>
  </si>
  <si>
    <t>201920_Smalls Beach (McLellan Private Beach)_2</t>
  </si>
  <si>
    <t>201920_The Oaks Bay - Cape Paterson_1</t>
  </si>
  <si>
    <t>201920_The Oaks Bay - Cape Paterson_2</t>
  </si>
  <si>
    <t>201920_The Oaks Bay - Cape Paterson_3</t>
  </si>
  <si>
    <t>201920_The Oaks Bay - Cape Paterson_4</t>
  </si>
  <si>
    <t>Sign Access Temporary, Sign nest</t>
  </si>
  <si>
    <t>201920_Twin Reefs -Bunurong Coast Rd_1</t>
  </si>
  <si>
    <t>201920_Twin Reefs -Bunurong Coast Rd_2</t>
  </si>
  <si>
    <t>201920_Twin Reefs -Bunurong Coast Rd_3</t>
  </si>
  <si>
    <t>201920_Waterfall Creek - Harmers Haven_1</t>
  </si>
  <si>
    <t>201920_Williamsons Beach A18 East - Wonthaggi_2</t>
  </si>
  <si>
    <t>201920_Williamsons Beach Further West_1</t>
  </si>
  <si>
    <t>Crushed - partial dune collapse on nest</t>
  </si>
  <si>
    <t>201920_Williamsons Beach Further West_2</t>
  </si>
  <si>
    <t>201920_Williamsons Beach Further West_3</t>
  </si>
  <si>
    <t>201920_Williamsons Beach Further West_4</t>
  </si>
  <si>
    <t>201920_Williamsons Beach West_1</t>
  </si>
  <si>
    <t>201920_Wilsons Rd Eastward 3rd drain_1</t>
  </si>
  <si>
    <t>29012020</t>
  </si>
  <si>
    <t>24022020</t>
  </si>
  <si>
    <t>07032020</t>
  </si>
  <si>
    <t>30092019</t>
  </si>
  <si>
    <t>17112019</t>
  </si>
  <si>
    <t>08122019</t>
  </si>
  <si>
    <t>15122019</t>
  </si>
  <si>
    <t>29122019</t>
  </si>
  <si>
    <t>14022020</t>
  </si>
  <si>
    <t>12012020</t>
  </si>
  <si>
    <t>17012020</t>
  </si>
  <si>
    <t>19122019</t>
  </si>
  <si>
    <t>26012020</t>
  </si>
  <si>
    <t>19032020</t>
  </si>
  <si>
    <t>07012020</t>
  </si>
  <si>
    <t>19012020</t>
  </si>
  <si>
    <t>01122019</t>
  </si>
  <si>
    <t>25012020</t>
  </si>
  <si>
    <t>01012020</t>
  </si>
  <si>
    <t>18122019</t>
  </si>
  <si>
    <t>16012020</t>
  </si>
  <si>
    <t>24012020</t>
  </si>
  <si>
    <t>27022020</t>
  </si>
  <si>
    <t>06122019</t>
  </si>
  <si>
    <t>11112019</t>
  </si>
  <si>
    <t>31122019</t>
  </si>
  <si>
    <t>28102019</t>
  </si>
  <si>
    <t>14112019</t>
  </si>
  <si>
    <t>24122019</t>
  </si>
  <si>
    <t>08012020</t>
  </si>
  <si>
    <t>12022020</t>
  </si>
  <si>
    <t>06022020</t>
  </si>
  <si>
    <t>23122019</t>
  </si>
  <si>
    <t>19092019</t>
  </si>
  <si>
    <t>23092019</t>
  </si>
  <si>
    <t>24102019</t>
  </si>
  <si>
    <t>31102019</t>
  </si>
  <si>
    <t>23112019</t>
  </si>
  <si>
    <t>07122019</t>
  </si>
  <si>
    <t>201921_Cape Paterson - 2nd Surf Beach_4</t>
  </si>
  <si>
    <t>12122019</t>
  </si>
  <si>
    <t>17122019</t>
  </si>
  <si>
    <t>25122019</t>
  </si>
  <si>
    <t>27112019</t>
  </si>
  <si>
    <t>22122019</t>
  </si>
  <si>
    <t>07022020</t>
  </si>
  <si>
    <t>09012020</t>
  </si>
  <si>
    <t>10012020</t>
  </si>
  <si>
    <t>17022020</t>
  </si>
  <si>
    <t>14012020</t>
  </si>
  <si>
    <t>201920_Desal Beach - Powlett River_1</t>
  </si>
  <si>
    <t>16122019</t>
  </si>
  <si>
    <t>13012020</t>
  </si>
  <si>
    <t>21012020</t>
  </si>
  <si>
    <t>16032020</t>
  </si>
  <si>
    <t>28122019</t>
  </si>
  <si>
    <t>30122019</t>
  </si>
  <si>
    <t>30112019</t>
  </si>
  <si>
    <t>06012020</t>
  </si>
  <si>
    <t>25092019</t>
  </si>
  <si>
    <t>28112019</t>
  </si>
  <si>
    <t>09122019</t>
  </si>
  <si>
    <t>30012020</t>
  </si>
  <si>
    <t>21022020</t>
  </si>
  <si>
    <t>201920_Smalls Beach (McLellan Private Beach)_1</t>
  </si>
  <si>
    <t>05112019</t>
  </si>
  <si>
    <t>12102019</t>
  </si>
  <si>
    <t>29102019</t>
  </si>
  <si>
    <t>04122019</t>
  </si>
  <si>
    <t>23102019</t>
  </si>
  <si>
    <t>25102019</t>
  </si>
  <si>
    <t>201920_Williamsons Beach A18 East - Wonthaggi_1</t>
  </si>
  <si>
    <t>04022020</t>
  </si>
  <si>
    <t>27122019</t>
  </si>
  <si>
    <t>201819_Baxters Beach A19 Wonthaggi Ocean Beach_1</t>
  </si>
  <si>
    <t>201819_Bore Beach - San Remo_2</t>
  </si>
  <si>
    <t>201819_Cape Paterson - 2nd Surf Beach_1</t>
  </si>
  <si>
    <t>201819_Cape Paterson - 2nd Surf Beach_2</t>
  </si>
  <si>
    <t>201819_Cape Paterson - 2nd Surf Beach West_1</t>
  </si>
  <si>
    <t>201819_Cape Paterson - 2nd Surf Beach West_2</t>
  </si>
  <si>
    <t>201819_Cape Paterson - Pea Creek Estuary &amp; Undertow Bay_1</t>
  </si>
  <si>
    <t>201819_Cape Paterson - Pea Creek Estuary &amp; Undertow Bay_2</t>
  </si>
  <si>
    <t>201819_Cape Paterson - Pea Creek Estuary &amp; Undertow Bay_3</t>
  </si>
  <si>
    <t>201819_Cape Paterson - Pea Creek Estuary &amp; Undertow Bay_4</t>
  </si>
  <si>
    <t>201819_Cape Paterson - Pea Creek Estuary &amp; Undertow Bay_5</t>
  </si>
  <si>
    <t>201819_Coal Creek Estuary Mouth - Harmers Haven_1</t>
  </si>
  <si>
    <t>201819_Coal Creek Estuary Mouth - Harmers Haven_2</t>
  </si>
  <si>
    <t>201819_Coal Point 3rd Bay West 1st Pair_1</t>
  </si>
  <si>
    <t>201819_Coal Point 3rd Bay West 2nd Pair_1</t>
  </si>
  <si>
    <t>201819_Cutlers Rocks Flock Site- Sth End_1</t>
  </si>
  <si>
    <t>201819_Cutlers Rocks Flock Site- Sth End_2</t>
  </si>
  <si>
    <t>201819_Desal Beach - Powlett River_1</t>
  </si>
  <si>
    <t>201819_Inverloch - Abbott St_1</t>
  </si>
  <si>
    <t>201819_Inverloch - Abbott St East_1</t>
  </si>
  <si>
    <t>201819_Inverloch - Abbott St East_2</t>
  </si>
  <si>
    <t>201819_Powlett River Mouth West Bank_1</t>
  </si>
  <si>
    <t>201819_Powlett River Mouth West Bank_2</t>
  </si>
  <si>
    <t>201819_Powlett River Mouth West Bank_3</t>
  </si>
  <si>
    <t>Dog (30cm-1m)</t>
  </si>
  <si>
    <t>201819_Powlett River West A16 Eastward_1</t>
  </si>
  <si>
    <t>201819_Powlett River West A16 Eastward_2</t>
  </si>
  <si>
    <t>201819_Powlett River West A16 Eastward_3</t>
  </si>
  <si>
    <t>201819_Powlett River West A16 Eastward_4</t>
  </si>
  <si>
    <t>201819_Powlett River West A16 Further West_1</t>
  </si>
  <si>
    <t>201819_Powlett River West A16 Further West_2</t>
  </si>
  <si>
    <t>201819_Powlett River West A16 Further West_3</t>
  </si>
  <si>
    <t>201819_Powlett River West A16- Paperbark trk - Kilcunda_1</t>
  </si>
  <si>
    <t>201819_Smalls Beach (McLellan Private Beach)_1</t>
  </si>
  <si>
    <t>201819_Smalls Beach (McLellan Private Beach)_3</t>
  </si>
  <si>
    <t>201819_The Oaks Bay - Cape Paterson_1</t>
  </si>
  <si>
    <t>201819_The Oaks Bay - Cape Paterson_2</t>
  </si>
  <si>
    <t>201819_Trestle Bridge Beach A14 - Kilcunda_1</t>
  </si>
  <si>
    <t>201819_Trestle Bridge Beach A14 - Kilcunda_2</t>
  </si>
  <si>
    <t>201819_Twin Reefs -Bunurong Coast Rd_1</t>
  </si>
  <si>
    <t>201819_Twin Reefs -Bunurong Coast Rd_2</t>
  </si>
  <si>
    <t>One egg rolled out of nest and was left abandoned</t>
  </si>
  <si>
    <t>201819_Waterfall Creek - Harmers Haven_1</t>
  </si>
  <si>
    <t>201819_Waterfall Creek - Harmers Haven_2</t>
  </si>
  <si>
    <t>201819_Williamsons Beach A18 East - Wonthaggi_1</t>
  </si>
  <si>
    <t>201819_Williamsons Beach A18 East - Wonthaggi_2</t>
  </si>
  <si>
    <t>201819_Williamsons Beach Further West_1</t>
  </si>
  <si>
    <t>Person (&lt;10cm)</t>
  </si>
  <si>
    <t>201819_Williamsons Beach Further West_2</t>
  </si>
  <si>
    <t>201819_Williamsons Beach West_1</t>
  </si>
  <si>
    <t>201819_Williamsons Beach West_2</t>
  </si>
  <si>
    <t>201819_Williamsons Beach West_3</t>
  </si>
  <si>
    <t>201819_Wilsons Rd 1st &amp; 2nd Bays West_1</t>
  </si>
  <si>
    <t>201819_Wilsons Rd 1st &amp; 2nd Bays West_2</t>
  </si>
  <si>
    <t>201819_Wilsons Rd 2nd Bay West End_1</t>
  </si>
  <si>
    <t>201819_Wilsons Rd 2nd Bay West End_2</t>
  </si>
  <si>
    <t>201819_Wilsons Rd Eastward 3rd drain_3</t>
  </si>
  <si>
    <t>201819_Wilsons Rd Eastward 3rd drain_4</t>
  </si>
  <si>
    <t>201819_Wreck Beach - Harmers Haven_1</t>
  </si>
  <si>
    <t>201819_Wreck Beach - Harmers Haven_2</t>
  </si>
  <si>
    <t>201819_Wreck Beach - Harmers Haven_3</t>
  </si>
  <si>
    <t>201819_Wreck Beach - Harmers Haven_4</t>
  </si>
  <si>
    <t>06122018</t>
  </si>
  <si>
    <t>18122018</t>
  </si>
  <si>
    <t>05112018</t>
  </si>
  <si>
    <t>08122018</t>
  </si>
  <si>
    <t>02012019</t>
  </si>
  <si>
    <t>19012019</t>
  </si>
  <si>
    <t>22022019</t>
  </si>
  <si>
    <t>12112018</t>
  </si>
  <si>
    <t>05122018</t>
  </si>
  <si>
    <t>10012019</t>
  </si>
  <si>
    <t>10092018</t>
  </si>
  <si>
    <t>11012019</t>
  </si>
  <si>
    <t>17122018</t>
  </si>
  <si>
    <t>03012019</t>
  </si>
  <si>
    <t>04022019</t>
  </si>
  <si>
    <t>07112018</t>
  </si>
  <si>
    <t>05012019</t>
  </si>
  <si>
    <t>18022019</t>
  </si>
  <si>
    <t>26112018</t>
  </si>
  <si>
    <t>09112018</t>
  </si>
  <si>
    <t>05022019</t>
  </si>
  <si>
    <t>16122018</t>
  </si>
  <si>
    <t>17012019</t>
  </si>
  <si>
    <t>16022019</t>
  </si>
  <si>
    <t>19122018</t>
  </si>
  <si>
    <t>12122018</t>
  </si>
  <si>
    <t>01012019</t>
  </si>
  <si>
    <t>04012019</t>
  </si>
  <si>
    <t>19112018</t>
  </si>
  <si>
    <t>11022019</t>
  </si>
  <si>
    <t>27032019</t>
  </si>
  <si>
    <t>08012019</t>
  </si>
  <si>
    <t>201819_Bore Beach - San Remo_1</t>
  </si>
  <si>
    <t>02122018</t>
  </si>
  <si>
    <t>29092018</t>
  </si>
  <si>
    <t>12102018</t>
  </si>
  <si>
    <t>27122018</t>
  </si>
  <si>
    <t>21012019</t>
  </si>
  <si>
    <t>21122018</t>
  </si>
  <si>
    <t>31102018</t>
  </si>
  <si>
    <t>27112018</t>
  </si>
  <si>
    <t>03122018</t>
  </si>
  <si>
    <t>12012019</t>
  </si>
  <si>
    <t>02022019</t>
  </si>
  <si>
    <t>24102018</t>
  </si>
  <si>
    <t>29102018</t>
  </si>
  <si>
    <t>09012019</t>
  </si>
  <si>
    <t>05092018</t>
  </si>
  <si>
    <t>25122018</t>
  </si>
  <si>
    <t>23102018</t>
  </si>
  <si>
    <t>13112018</t>
  </si>
  <si>
    <t>14012019</t>
  </si>
  <si>
    <t>22012019</t>
  </si>
  <si>
    <t>01102018</t>
  </si>
  <si>
    <t>16112018</t>
  </si>
  <si>
    <t>14102018</t>
  </si>
  <si>
    <t>19102018</t>
  </si>
  <si>
    <t>201819_Smalls Beach (McLellan Private Beach)_2</t>
  </si>
  <si>
    <t>28012019</t>
  </si>
  <si>
    <t>01112018</t>
  </si>
  <si>
    <t>30112018</t>
  </si>
  <si>
    <t>20112018</t>
  </si>
  <si>
    <t>29012019</t>
  </si>
  <si>
    <t>201819_Wilsons Rd Eastward 3rd drain_1</t>
  </si>
  <si>
    <t>201819_Wilsons Rd Eastward 3rd drain_2</t>
  </si>
  <si>
    <t>07022019</t>
  </si>
  <si>
    <t>26022019</t>
  </si>
  <si>
    <t>13032019</t>
  </si>
  <si>
    <t>BC Right (White)</t>
  </si>
  <si>
    <t>NJ Left (Orange)</t>
  </si>
  <si>
    <t>Coal Point 3rd Bay West Pair 1.</t>
  </si>
  <si>
    <t>HJ Left (Orange)</t>
  </si>
  <si>
    <t>Vehicle</t>
  </si>
  <si>
    <t>8/12/2017 (Suspect)</t>
  </si>
  <si>
    <t>San Remo Town Back Beach</t>
  </si>
  <si>
    <t>Sign Access Temporary, Banners, Rope fence</t>
  </si>
  <si>
    <t>Y (suspect only)</t>
  </si>
  <si>
    <t>23/01/2018 (Suspect only)</t>
  </si>
  <si>
    <t>Sign Access Temporary, Sign Nest, Rope fence, Banners</t>
  </si>
  <si>
    <t>201718_Cape Paterson - 2nd Surf Beach_1</t>
  </si>
  <si>
    <t>201718_Cape Paterson - 2nd Surf Beach_2</t>
  </si>
  <si>
    <t>201718_Cape Paterson - 2nd Surf Beach_3</t>
  </si>
  <si>
    <t>201718_Inverloch - Abbott St East_1</t>
  </si>
  <si>
    <t>201718_Inverloch - Abbott St East_2</t>
  </si>
  <si>
    <t>201718_Inverloch - Abbott St East_3</t>
  </si>
  <si>
    <t>201718_Inverloch - Abbott St East_4</t>
  </si>
  <si>
    <t>201718_Inverloch - Abbott St_1</t>
  </si>
  <si>
    <t>201718_Coal Creek Estuary Mouth - Harmers Haven_1</t>
  </si>
  <si>
    <t>201718_Coal Creek Estuary Mouth Pair2_1</t>
  </si>
  <si>
    <t>201718_Cape Paterson - Pea Creek Estuary &amp; Undertow Bay_1</t>
  </si>
  <si>
    <t>201718_Inverloch - Screw Creek West_1</t>
  </si>
  <si>
    <t>201718_Inverloch - Screw Creek West_2</t>
  </si>
  <si>
    <t>201718_Inverloch - Screw Creek West_3</t>
  </si>
  <si>
    <t>201718_The Oaks Bay - Cape Paterson_1</t>
  </si>
  <si>
    <t>201718_The Oaks Bay - Cape Paterson_2</t>
  </si>
  <si>
    <t>201718_Twin Reefs -Bunurong Coast Rd_1</t>
  </si>
  <si>
    <t>201718_Wilsons Rd 1st &amp; 2nd Bays West_1</t>
  </si>
  <si>
    <t>201718_Wilsons Rd 1st &amp; 2nd Bays West_2</t>
  </si>
  <si>
    <t>201718_Wilsons Rd 1st &amp; 2nd Bays West_3</t>
  </si>
  <si>
    <t>201718_Wilsons Rd 2nd Bay West End_1</t>
  </si>
  <si>
    <t>201718_Wilsons Rd 2nd Bay West End_2</t>
  </si>
  <si>
    <t>201718_Wilsons Rd 2nd Bay West End_3</t>
  </si>
  <si>
    <t>201718_Wilsons Rd Eastward 2nd Drain_1</t>
  </si>
  <si>
    <t>201718_Wilsons Rd Eastward 2nd Drain_2</t>
  </si>
  <si>
    <t>201718_Wreck Beach - Harmers Haven_1</t>
  </si>
  <si>
    <t>201718_Wreck Beach - Harmers Haven_2</t>
  </si>
  <si>
    <t>201718_Baxters 1 Sth - Wonthaggi_1</t>
  </si>
  <si>
    <t>201718_Baxters 1 Sth - Wonthaggi_2</t>
  </si>
  <si>
    <t>201718_Baxters 2 Sth_1</t>
  </si>
  <si>
    <t>201718_Baxters 2 Sth_2</t>
  </si>
  <si>
    <t>201718_Baxters 4 Sth_1</t>
  </si>
  <si>
    <t>201718_Baxters 4 Sth_2</t>
  </si>
  <si>
    <t>201718_Baxters Beach A19 Wonthaggi Ocean Beach_1</t>
  </si>
  <si>
    <t>201718_Baxters Beach A19 Wonthaggi Ocean Beach_2</t>
  </si>
  <si>
    <t>201718_Baxters Beach A19 Wonthaggi Ocean Beach_3</t>
  </si>
  <si>
    <t>201718_Baxters North Wonthaggi_1</t>
  </si>
  <si>
    <t>201718_Baxters North Wonthaggi_2</t>
  </si>
  <si>
    <t>201718_Bore Beach - San Remo_1</t>
  </si>
  <si>
    <t>201718_Bore Beach - San Remo_2</t>
  </si>
  <si>
    <t>201718_Coal Point 3rd Bay West Pair 1._1</t>
  </si>
  <si>
    <t>201718_Coal Point 3rd Bay West Pair 1._2</t>
  </si>
  <si>
    <t>201718_Cutlers Beach A20 N/West _1</t>
  </si>
  <si>
    <t>201718_Cutlers Beach A20 N/West _2</t>
  </si>
  <si>
    <t>201718_Cutlers Rocks Flock Site- Sth End_1</t>
  </si>
  <si>
    <t>201718_Cutlers Rocks Flock Site- Sth End_2</t>
  </si>
  <si>
    <t>201718_Desal Beach - Powlett River_1</t>
  </si>
  <si>
    <t>201718_Desal Beach - Powlett River_2</t>
  </si>
  <si>
    <t>201718_Desal Beach - Powlett River_3</t>
  </si>
  <si>
    <t>201718_Powlett River Mouth West Bank_1</t>
  </si>
  <si>
    <t>201718_Powlett River Mouth West Bank_2</t>
  </si>
  <si>
    <t>201718_Powlett River Mouth West Bank_3</t>
  </si>
  <si>
    <t>201718_Powlett River West A16 Eastward_1</t>
  </si>
  <si>
    <t>201718_Powlett River West A16 Further West_1</t>
  </si>
  <si>
    <t>201718_Powlett River West A16 Further West_2</t>
  </si>
  <si>
    <t>201718_Powlett River West A16 Further West_3</t>
  </si>
  <si>
    <t>201718_Powlett River West A16 Further West_4</t>
  </si>
  <si>
    <t>201718_Powlett River West A16- Paperbark trk - Kilcunda_1</t>
  </si>
  <si>
    <t>201718_Powlett River West Bank Dune_1</t>
  </si>
  <si>
    <t>201718_San Remo Town Back Beach_1</t>
  </si>
  <si>
    <t>201718_Trestle Bridge Beach East_1</t>
  </si>
  <si>
    <t>201718_Trestle Bridge Beach East_2</t>
  </si>
  <si>
    <t>201718_Trestle Bridge Beach East_3</t>
  </si>
  <si>
    <t>201718_Williamsons Beach Further East_1</t>
  </si>
  <si>
    <t>201718_Williamsons Beach Further East_2</t>
  </si>
  <si>
    <t>201718_Williamsons Beach Further East_3</t>
  </si>
  <si>
    <t>201718_Williamsons Beach Further East_4</t>
  </si>
  <si>
    <t>201718_Williamsons Beach Further West_1</t>
  </si>
  <si>
    <t>201718_Williamsons Beach Further West_2</t>
  </si>
  <si>
    <t>201718_Williamsons Beach Further West_3</t>
  </si>
  <si>
    <t>201718_Williamsons Beach Further West_4</t>
  </si>
  <si>
    <t>201718_Williamsons Beach West_1</t>
  </si>
  <si>
    <t>201718_Williamsons Beach West_2</t>
  </si>
  <si>
    <t>201718_Williamsons Beach West_3</t>
  </si>
  <si>
    <t>201718_Williamsons Beach West_4</t>
  </si>
  <si>
    <t>04122017</t>
  </si>
  <si>
    <t>18112017</t>
  </si>
  <si>
    <t>29122017</t>
  </si>
  <si>
    <t>18122017</t>
  </si>
  <si>
    <t>07012018</t>
  </si>
  <si>
    <t>21022018</t>
  </si>
  <si>
    <t>31102017</t>
  </si>
  <si>
    <t>01122017</t>
  </si>
  <si>
    <t>21122017</t>
  </si>
  <si>
    <t>22012018</t>
  </si>
  <si>
    <t>11032018</t>
  </si>
  <si>
    <t>09022018</t>
  </si>
  <si>
    <t>11122017</t>
  </si>
  <si>
    <t>24012018</t>
  </si>
  <si>
    <t>08012018</t>
  </si>
  <si>
    <t>12022018</t>
  </si>
  <si>
    <t>22022018</t>
  </si>
  <si>
    <t>02022018</t>
  </si>
  <si>
    <t>02032018</t>
  </si>
  <si>
    <t>20122017</t>
  </si>
  <si>
    <t>08122017</t>
  </si>
  <si>
    <t>05012018</t>
  </si>
  <si>
    <t>06032018</t>
  </si>
  <si>
    <t>04112017</t>
  </si>
  <si>
    <t>10102017</t>
  </si>
  <si>
    <t>10112017</t>
  </si>
  <si>
    <t>22122017</t>
  </si>
  <si>
    <t>15112017</t>
  </si>
  <si>
    <t>13122017</t>
  </si>
  <si>
    <t>13112017</t>
  </si>
  <si>
    <t>27112017</t>
  </si>
  <si>
    <t>23012018</t>
  </si>
  <si>
    <t>Sign Access Temporary, Rope fence, Banners</t>
  </si>
  <si>
    <t>30082017</t>
  </si>
  <si>
    <t>26092017</t>
  </si>
  <si>
    <t>20112017</t>
  </si>
  <si>
    <t>27122017</t>
  </si>
  <si>
    <t>08092017</t>
  </si>
  <si>
    <t>20092017</t>
  </si>
  <si>
    <t>09112017</t>
  </si>
  <si>
    <t>04122018</t>
  </si>
  <si>
    <t>12122017</t>
  </si>
  <si>
    <t>17122017</t>
  </si>
  <si>
    <t>18022018</t>
  </si>
  <si>
    <t>16112017</t>
  </si>
  <si>
    <t>13102017</t>
  </si>
  <si>
    <t>28102017</t>
  </si>
  <si>
    <t>24112017</t>
  </si>
  <si>
    <t>29112017</t>
  </si>
  <si>
    <t>23122017</t>
  </si>
  <si>
    <t>17092017</t>
  </si>
  <si>
    <t>30122017</t>
  </si>
  <si>
    <t>26122017</t>
  </si>
  <si>
    <t>201718_Waterfall Creek - Harmers Haven_1</t>
  </si>
  <si>
    <t>201718_Harmers Haven - 1st Bay West of A21 Steps_2</t>
  </si>
  <si>
    <t>04012018</t>
  </si>
  <si>
    <t>11012018</t>
  </si>
  <si>
    <t>201718_Waterfall Creek - Harmers Haven_3</t>
  </si>
  <si>
    <t>10032018</t>
  </si>
  <si>
    <t>20032018</t>
  </si>
  <si>
    <t>06122017</t>
  </si>
  <si>
    <t>15012018</t>
  </si>
  <si>
    <t>02102017</t>
  </si>
  <si>
    <t>201718_Coal Point 3rd Bay West 1st Pair_1</t>
  </si>
  <si>
    <t>25112017</t>
  </si>
  <si>
    <t>15122017</t>
  </si>
  <si>
    <t>201718_Coal Point 3rd Bay West 1st Pair_2</t>
  </si>
  <si>
    <t>28112017</t>
  </si>
  <si>
    <t>26022018</t>
  </si>
  <si>
    <t>24102017</t>
  </si>
  <si>
    <t>17112017</t>
  </si>
  <si>
    <t>01012018</t>
  </si>
  <si>
    <t>05022018</t>
  </si>
  <si>
    <t>09122017</t>
  </si>
  <si>
    <t>02112017</t>
  </si>
  <si>
    <t>23112017</t>
  </si>
  <si>
    <t>28122017</t>
  </si>
  <si>
    <t>07112017</t>
  </si>
  <si>
    <t>201819_Wreck Beach - Harmers Haven_5</t>
  </si>
  <si>
    <t>16012019</t>
  </si>
  <si>
    <t>BA Left (Orange)</t>
  </si>
  <si>
    <t>One egg taken, other two abandoned</t>
  </si>
  <si>
    <t>KH Right (Orange)</t>
  </si>
  <si>
    <t>Fox or Tide</t>
  </si>
  <si>
    <t>201819_Cutlers Beach A20 N/West_2</t>
  </si>
  <si>
    <t>201718_Baxters 3 Sth_1</t>
  </si>
  <si>
    <t>Baxters 2 Sth (NorthEnd)</t>
  </si>
  <si>
    <t>202324_Baxters 2 Sth (NorthEnd)_1</t>
  </si>
  <si>
    <t>Baxters North</t>
  </si>
  <si>
    <t>Storm weather</t>
  </si>
  <si>
    <t>Not revisited til April 7th</t>
  </si>
  <si>
    <t>1 Chick was seen hatching the in the nest. Other two eggs never hatched, and were eventually removed.</t>
  </si>
  <si>
    <t>Person</t>
  </si>
  <si>
    <t>Spit overflowed after heavy rain</t>
  </si>
  <si>
    <t>Sign Access, Sign Nest</t>
  </si>
  <si>
    <r>
      <rPr>
        <b/>
        <sz val="11"/>
        <color theme="1"/>
        <rFont val="Aptos Narrow"/>
        <family val="2"/>
        <scheme val="minor"/>
      </rPr>
      <t>Powlett River West A16 Eastward</t>
    </r>
    <r>
      <rPr>
        <sz val="11"/>
        <color theme="1"/>
        <rFont val="Aptos Narrow"/>
        <family val="2"/>
        <scheme val="minor"/>
      </rPr>
      <t xml:space="preserve"> / Powlett River West A16 Further West</t>
    </r>
  </si>
  <si>
    <r>
      <t xml:space="preserve">Powlett River West A16 Eastward / </t>
    </r>
    <r>
      <rPr>
        <b/>
        <sz val="11"/>
        <color theme="1"/>
        <rFont val="Aptos Narrow"/>
        <family val="2"/>
        <scheme val="minor"/>
      </rPr>
      <t>Powlett River West A16 Further West</t>
    </r>
  </si>
  <si>
    <r>
      <rPr>
        <b/>
        <sz val="11"/>
        <color theme="1"/>
        <rFont val="Aptos Narrow"/>
        <family val="2"/>
        <scheme val="minor"/>
      </rPr>
      <t>Trestle Bridge Beach East</t>
    </r>
    <r>
      <rPr>
        <sz val="11"/>
        <color theme="1"/>
        <rFont val="Aptos Narrow"/>
        <family val="2"/>
        <scheme val="minor"/>
      </rPr>
      <t>/Trestle Bridge Beach A14</t>
    </r>
  </si>
  <si>
    <t>Failed before completion</t>
  </si>
  <si>
    <t>201819_Twin Reefs -Bunurong Coast Rd_3</t>
  </si>
  <si>
    <t>PU Right (Orange)</t>
  </si>
  <si>
    <r>
      <rPr>
        <b/>
        <sz val="11"/>
        <color theme="1"/>
        <rFont val="Aptos Narrow"/>
        <family val="2"/>
        <scheme val="minor"/>
      </rPr>
      <t>Cutlers Rocks Flock Site- Sth End</t>
    </r>
    <r>
      <rPr>
        <sz val="11"/>
        <color theme="1"/>
        <rFont val="Aptos Narrow"/>
        <family val="2"/>
        <scheme val="minor"/>
      </rPr>
      <t>/Cutlers Beach A20 N/West</t>
    </r>
  </si>
  <si>
    <r>
      <t>Cutlers Rocks Flock Site- Sth End/</t>
    </r>
    <r>
      <rPr>
        <b/>
        <sz val="11"/>
        <color theme="1"/>
        <rFont val="Aptos Narrow"/>
        <family val="2"/>
        <scheme val="minor"/>
      </rPr>
      <t>Cutlers Beach A20 N/West</t>
    </r>
  </si>
  <si>
    <t>201617_Baxters 1 Sth_1</t>
  </si>
  <si>
    <t>201617_Baxters 2 Sth_1</t>
  </si>
  <si>
    <t>201617_Baxters 2 Sth_2</t>
  </si>
  <si>
    <t>201617_Baxters 2 Sth_3</t>
  </si>
  <si>
    <t>201617_Baxters 2 Sth_4</t>
  </si>
  <si>
    <t>201617_Baxters 3 Sth_1</t>
  </si>
  <si>
    <t>201617_Baxters 3 Sth_2</t>
  </si>
  <si>
    <t>201617_Baxters 3 Sth_3</t>
  </si>
  <si>
    <t>201617_Baxters 4 Sth_1</t>
  </si>
  <si>
    <t>201617_Baxters 4 Sth_2</t>
  </si>
  <si>
    <t>201617_Baxters 4 Sth_3</t>
  </si>
  <si>
    <t>201617_Baxters Beach A19_1</t>
  </si>
  <si>
    <t>201617_Baxters Beach A19_2</t>
  </si>
  <si>
    <t>201617_Baxters North_1</t>
  </si>
  <si>
    <t>201617_Baxters North_2</t>
  </si>
  <si>
    <t>201617_Bore Beach_1</t>
  </si>
  <si>
    <t>201617_Bore Beach_2</t>
  </si>
  <si>
    <t>201617_Bore Beach_3</t>
  </si>
  <si>
    <t>201617_Cape Paterson - 2nd Surf Beach_1</t>
  </si>
  <si>
    <t>201617_Cape Paterson - 2nd Surf Beach_2</t>
  </si>
  <si>
    <t>201617_Cape Paterson - Pea Creek Estuary &amp; Undertow Bay_1</t>
  </si>
  <si>
    <t>201617_Cape Paterson - Pea Creek Estuary &amp; Undertow Bay_2</t>
  </si>
  <si>
    <t>201617_Coal Creek Estuary - 2nd Bay East_1</t>
  </si>
  <si>
    <t>201617_Coal Creek Estuary Mouth - Harmers Haven_1</t>
  </si>
  <si>
    <t>201617_Coal Creek Estuary Mouth - Harmers Haven_2</t>
  </si>
  <si>
    <t>201617_Harmers Haven - 1st Bay West of A21 Steps_1</t>
  </si>
  <si>
    <t>201617_Harmers Haven - 1st Bay West of A21 Steps_2</t>
  </si>
  <si>
    <t>201617_Coal Point 3rd Bay West Pair 1._1</t>
  </si>
  <si>
    <t>201617_Cutlers Beach A20 N/West_1</t>
  </si>
  <si>
    <t>201617_Cutlers Beach A20 N/West_2</t>
  </si>
  <si>
    <t>201617_Cutlers Beach A20 S/East_1</t>
  </si>
  <si>
    <t>201617_Cutlers Rocks Flock Site- Sth End/Cutlers Beach A20 N/West_1</t>
  </si>
  <si>
    <t>201617_Cutlers Rocks Flock Site- Sth End/Cutlers Beach A20 N/West_2</t>
  </si>
  <si>
    <t>201617_Cutlers Rocks Flock Site- Sth End/Cutlers Beach A20 N/West_3</t>
  </si>
  <si>
    <t>201617_Desal Beach_1</t>
  </si>
  <si>
    <t>201617_Desal Beach_2</t>
  </si>
  <si>
    <t>201617_Desal Beach_3</t>
  </si>
  <si>
    <t>201617_Desal Beach_4</t>
  </si>
  <si>
    <t>201617_Inverloch - Abbott St East_3</t>
  </si>
  <si>
    <t>201617_Inverloch - Abbott St East_4</t>
  </si>
  <si>
    <t>201617_Inverloch - Point Norman East / Inverloch - Abbott St_1</t>
  </si>
  <si>
    <t>201617_Inverloch - Point Norman East / Inverloch - Abbott St_2</t>
  </si>
  <si>
    <t>201617_Inverloch - Point Norman East / Inverloch - Abbott St_3</t>
  </si>
  <si>
    <t>201617_Inverloch - Screw Creek West_1</t>
  </si>
  <si>
    <t>201617_Inverloch - Screw Creek West_2</t>
  </si>
  <si>
    <t>201617_Inverloch - Screw Creek West_3</t>
  </si>
  <si>
    <t>201617_Powlett River Mouth East Bank_4</t>
  </si>
  <si>
    <t>201617_Powlett River Mouth East Bank_5</t>
  </si>
  <si>
    <t>201617_Powlett River Mouth West Bank_1</t>
  </si>
  <si>
    <t>201617_Powlett River Mouth West Bank_2</t>
  </si>
  <si>
    <t>201617_Powlett River Mouth West Bank_3</t>
  </si>
  <si>
    <t>201617_Powlett River West A16 Eastward_1</t>
  </si>
  <si>
    <t>201617_Powlett River West A16 Eastward_2</t>
  </si>
  <si>
    <t>201617_Powlett River West A16 Eastward / Powlett River West A16 Further West_3</t>
  </si>
  <si>
    <t>201617_Powlett River West A16 Eastward / Powlett River West A16 Further West_1</t>
  </si>
  <si>
    <t>201617_Powlett River West A16 Eastward / Powlett River West A16 Further West_2</t>
  </si>
  <si>
    <t>201617_Powlett River West A16 Eastward / Powlett River West A16 Further West_4</t>
  </si>
  <si>
    <t>201617_Powlett River West A16 Eastward / Powlett River West A16 Further West_5</t>
  </si>
  <si>
    <t>201617_Powlett River West A16 Eastward / Powlett River West A16 Further West_6</t>
  </si>
  <si>
    <t>201617_Powlett River West A16 Eastward / Powlett River West A16 Further West_7</t>
  </si>
  <si>
    <t>201617_Powlett River West A16- Paperbark trk._1</t>
  </si>
  <si>
    <t>201617_Powlett River West A16- Paperbark trk._2</t>
  </si>
  <si>
    <t>201617_Powlett River West A16- Paperbark trk._3</t>
  </si>
  <si>
    <t>201617_Powlett River West A16- Paperbark trk._4</t>
  </si>
  <si>
    <t>201617_Powlett River West A16- Paperbark trk._5</t>
  </si>
  <si>
    <t>201617_Sandy Waterholes Estuary &amp; next Bay East_1</t>
  </si>
  <si>
    <t>201617_Sandy Waterholes Estuary &amp; next Bay East_2</t>
  </si>
  <si>
    <t>201617_The Oaks Bay - Cape Paterson / Twin Reefs - Bunurong Coast Rd_1</t>
  </si>
  <si>
    <t>201617_The Oaks Bay - Cape Paterson / Twin Reefs - Bunurong Coast Rd_2</t>
  </si>
  <si>
    <t>201617_The Oaks Bay - Cape Paterson / Twin Reefs - Bunurong Coast Rd_3</t>
  </si>
  <si>
    <t>201617_The Oaks Bay - Cape Paterson / Twin Reefs - Bunurong Coast Rd_4</t>
  </si>
  <si>
    <t>201617_The Oaks Bay - Cape Paterson / Twin Reefs - Bunurong Coast Rd_5</t>
  </si>
  <si>
    <t>201617_The Oaks Bay - Cape Paterson / Twin Reefs - Bunurong Coast Rd_6</t>
  </si>
  <si>
    <t>201617_The Oaks Bay - Cape Paterson / Twin Reefs - Bunurong Coast Rd_7</t>
  </si>
  <si>
    <t>201617_Trestle Bridge Beach East_1</t>
  </si>
  <si>
    <t>201617_Trestle Bridge Beach East_2</t>
  </si>
  <si>
    <t>201617_Trestle Bridge Beach East_3</t>
  </si>
  <si>
    <t>201617_Trestle Bridge Beach East/Trestle Bridge Beach A14_4</t>
  </si>
  <si>
    <t>201617_Williamsons Beach A18 East_1</t>
  </si>
  <si>
    <t>201617_Williamsons Beach Further East_1</t>
  </si>
  <si>
    <t>201617_Williamsons Beach Further East_2</t>
  </si>
  <si>
    <t>201617_Williamsons Beach Further West_1</t>
  </si>
  <si>
    <t>201617_Williamsons Beach Further West_2</t>
  </si>
  <si>
    <t>201617_Williamsons Beach Further West_3</t>
  </si>
  <si>
    <t>201617_Williamsons Beach Further West_4</t>
  </si>
  <si>
    <t>201617_Williamsons Beach West_1</t>
  </si>
  <si>
    <t>201618_Williamsons Beach West_2</t>
  </si>
  <si>
    <t>201619_Williamsons Beach West_3</t>
  </si>
  <si>
    <t>201617_Wilsons Rd 1st &amp; 2nd Bays West / Wilsons Rd Eastward 2nd Drain / Wilsons Rd Eastward 3rd drain_1</t>
  </si>
  <si>
    <t>201617_Wilsons Rd 1st &amp; 2nd Bays West / Wilsons Rd Eastward 2nd Drain / Wilsons Rd Eastward 3rd drain_2</t>
  </si>
  <si>
    <t>201617_Wilsons Rd 1st &amp; 2nd Bays West / Wilsons Rd Eastward 2nd Drain / Wilsons Rd Eastward 3rd drain_3</t>
  </si>
  <si>
    <t>201617_Wilsons Rd 1st &amp; 2nd Bays West / Wilsons Rd Eastward 2nd Drain / Wilsons Rd Eastward 3rd drain_4</t>
  </si>
  <si>
    <t>201617_Wilsons Rd 1st &amp; 2nd Bays West / Wilsons Rd Eastward 2nd Drain / Wilsons Rd Eastward 3rd drain_5</t>
  </si>
  <si>
    <t>201617_Wilsons Rd 1st &amp; 2nd Bays West / Wilsons Rd Eastward 2nd Drain / Wilsons Rd Eastward 3rd drain_6</t>
  </si>
  <si>
    <t>201617_Wilsons Rd 2nd Bay West End_1</t>
  </si>
  <si>
    <t>201617_Wilsons Rd 2nd Bay West End_2</t>
  </si>
  <si>
    <t>13012017</t>
  </si>
  <si>
    <t>30122016</t>
  </si>
  <si>
    <t>08022017</t>
  </si>
  <si>
    <t>04042017</t>
  </si>
  <si>
    <t>03022017</t>
  </si>
  <si>
    <t>21022017</t>
  </si>
  <si>
    <t>01122016</t>
  </si>
  <si>
    <t>26022017</t>
  </si>
  <si>
    <t>24022017</t>
  </si>
  <si>
    <t>05112016</t>
  </si>
  <si>
    <t>05102016</t>
  </si>
  <si>
    <t>06122016</t>
  </si>
  <si>
    <t>07012017</t>
  </si>
  <si>
    <t>13022017</t>
  </si>
  <si>
    <t>27012017</t>
  </si>
  <si>
    <t>12022017</t>
  </si>
  <si>
    <t>23012017</t>
  </si>
  <si>
    <t>22022017</t>
  </si>
  <si>
    <t>08032017</t>
  </si>
  <si>
    <t>16122016</t>
  </si>
  <si>
    <t>17012017</t>
  </si>
  <si>
    <t>14012017</t>
  </si>
  <si>
    <t>14022017</t>
  </si>
  <si>
    <t>04102016</t>
  </si>
  <si>
    <t>25102016</t>
  </si>
  <si>
    <t>29112016</t>
  </si>
  <si>
    <t>12122016</t>
  </si>
  <si>
    <t>03012017</t>
  </si>
  <si>
    <t>16012017</t>
  </si>
  <si>
    <t>18112016</t>
  </si>
  <si>
    <t>06102016</t>
  </si>
  <si>
    <t>24102016</t>
  </si>
  <si>
    <t>28102016</t>
  </si>
  <si>
    <t>23122016</t>
  </si>
  <si>
    <t>04012017</t>
  </si>
  <si>
    <t>25012017</t>
  </si>
  <si>
    <t>03092016</t>
  </si>
  <si>
    <t>01102016</t>
  </si>
  <si>
    <t>07102016</t>
  </si>
  <si>
    <t>09112016</t>
  </si>
  <si>
    <t>21112016</t>
  </si>
  <si>
    <t>20092016</t>
  </si>
  <si>
    <t>14102016</t>
  </si>
  <si>
    <t>31012017</t>
  </si>
  <si>
    <t>23032017</t>
  </si>
  <si>
    <t>28112016</t>
  </si>
  <si>
    <t>15022017</t>
  </si>
  <si>
    <t>19122016</t>
  </si>
  <si>
    <t>27122016</t>
  </si>
  <si>
    <t>21012017</t>
  </si>
  <si>
    <t>17032017</t>
  </si>
  <si>
    <t>20112016</t>
  </si>
  <si>
    <t>24112016</t>
  </si>
  <si>
    <t>25032017</t>
  </si>
  <si>
    <t>04112016</t>
  </si>
  <si>
    <t>19112016</t>
  </si>
  <si>
    <t>05012017</t>
  </si>
  <si>
    <t>22092016</t>
  </si>
  <si>
    <t>30112016</t>
  </si>
  <si>
    <t>06012017</t>
  </si>
  <si>
    <t>07022017</t>
  </si>
  <si>
    <t>201617_Cutlers Rocks Flock Site- Sth End_1</t>
  </si>
  <si>
    <t>201617_Cutlers Rocks Flock Site- Sth End_2</t>
  </si>
  <si>
    <t>201617_Cutlers Beach A20 N/West_3</t>
  </si>
  <si>
    <t>09012017</t>
  </si>
  <si>
    <t>22122016</t>
  </si>
  <si>
    <t>201617_Inverloch - Point Norman East_1</t>
  </si>
  <si>
    <t>15092016</t>
  </si>
  <si>
    <t>28092016</t>
  </si>
  <si>
    <t>201617_Inverloch - Abbott St_2</t>
  </si>
  <si>
    <t>17102016</t>
  </si>
  <si>
    <t>201617_Inverloch - Abbott St_3</t>
  </si>
  <si>
    <t>09122016</t>
  </si>
  <si>
    <t>12102016</t>
  </si>
  <si>
    <t>10022017</t>
  </si>
  <si>
    <t>16092016</t>
  </si>
  <si>
    <t>30092016</t>
  </si>
  <si>
    <t>12012017</t>
  </si>
  <si>
    <t>201617_Powlett River West A16 Eastward_3</t>
  </si>
  <si>
    <t>11112016</t>
  </si>
  <si>
    <t>201617_Powlett River West A16 Further West_2</t>
  </si>
  <si>
    <t>201617_Powlett River West A16 Further West_4</t>
  </si>
  <si>
    <t>201617_Powlett River West A16 Further West_5</t>
  </si>
  <si>
    <t>201617_Powlett River West A16 Further West_6</t>
  </si>
  <si>
    <t>201617_Powlett River West A16 Further West_7</t>
  </si>
  <si>
    <t>09032017</t>
  </si>
  <si>
    <t>201617_The Oaks Bay - Cape Paterson_1</t>
  </si>
  <si>
    <t>25082016</t>
  </si>
  <si>
    <t>30082016</t>
  </si>
  <si>
    <t>201617_The Oaks Bay - Cape Paterson_2</t>
  </si>
  <si>
    <t>201617_The Oaks Bay - Cape Paterson_3</t>
  </si>
  <si>
    <t>201617_The Oaks Bay - Cape Paterson_4</t>
  </si>
  <si>
    <t>02112016</t>
  </si>
  <si>
    <t>201617_The Oaks Bay - Cape Paterson_5</t>
  </si>
  <si>
    <t>14112016</t>
  </si>
  <si>
    <t>201617_The Oaks Bay - Cape Paterson_6</t>
  </si>
  <si>
    <t>201617_Twin Reefs - Bunurong Coast Rd_7</t>
  </si>
  <si>
    <t>06022017</t>
  </si>
  <si>
    <t>09092016</t>
  </si>
  <si>
    <t>25112016</t>
  </si>
  <si>
    <t>201617_Trestle Bridge Beach East_4</t>
  </si>
  <si>
    <t>201617_Wilsons Rd 1st &amp; 2nd Bays West_1</t>
  </si>
  <si>
    <t>07092016</t>
  </si>
  <si>
    <t>24092016</t>
  </si>
  <si>
    <t>201617_Wilsons Rd Eastward 2nd Drain_2</t>
  </si>
  <si>
    <t>201617_Wilsons Rd 1st &amp; 2nd Bays West_3</t>
  </si>
  <si>
    <t>201617_Wilsons Rd 1st &amp; 2nd Bays West_4</t>
  </si>
  <si>
    <t>201617_Wilsons Rd Eastward 3rd drain_5</t>
  </si>
  <si>
    <t>201617_Wilsons Rd Eastward 3rd drain_6</t>
  </si>
  <si>
    <t>201617_Inverloch - Abbott St_4</t>
  </si>
  <si>
    <t>201617_Inverloch - Abbott St_5</t>
  </si>
  <si>
    <t>201617_Baxters Beach A19 Wonthaggi Ocean Beach_1</t>
  </si>
  <si>
    <t>201617_Baxters Beach A19 Wonthaggi Ocean Beach_2</t>
  </si>
  <si>
    <t>201617_San Remo - Bore Beach_1</t>
  </si>
  <si>
    <t>201617_San Remo - Bore Beach_2</t>
  </si>
  <si>
    <t>201617_San Remo - Bore Beach_3</t>
  </si>
  <si>
    <t>201617_Coal Point 3rd Bay West 1st Pair_1</t>
  </si>
  <si>
    <t>201617_Desal Beach - Powlett River_1</t>
  </si>
  <si>
    <t>201617_Desal Beach - Powlett River_2</t>
  </si>
  <si>
    <t>201617_Desal Beach - Powlett River_3</t>
  </si>
  <si>
    <t>201617_Desal Beach - Powlett River_4</t>
  </si>
  <si>
    <t>Orange/metal, Orange</t>
  </si>
  <si>
    <t>Unb</t>
  </si>
  <si>
    <t>Orange/metal, Black/Yellow</t>
  </si>
  <si>
    <t>One egg didn't hatch</t>
  </si>
  <si>
    <t>Unchecked</t>
  </si>
  <si>
    <t>Hot day, lots of people on beach</t>
  </si>
  <si>
    <t>Several hot days, lots of people on beach</t>
  </si>
  <si>
    <t>Tide (1 egg washed away on 26/12/2014, another lost by the 29/12/2014)</t>
  </si>
  <si>
    <t>Orange/metal, Dark-Green/White</t>
  </si>
  <si>
    <t>AS Right (Orange)</t>
  </si>
  <si>
    <t>VZ Left (Orange)</t>
  </si>
  <si>
    <t>Sandy Waterholes West Bay</t>
  </si>
  <si>
    <t>KU Left (Orange)</t>
  </si>
  <si>
    <t>Chicks were caught and flagged on 27/02, however not sighted again. Unknown if failed or fledged</t>
  </si>
  <si>
    <t>Orange/metal, Yellow/Orange</t>
  </si>
  <si>
    <t>AA Right (Orange)</t>
  </si>
  <si>
    <t>Not resighted</t>
  </si>
  <si>
    <t>Third chick was never resighted, unknown if failed or fledged</t>
  </si>
  <si>
    <t>201516_Wreck beach/Coal Creek Estuary 2nd Bay East_1</t>
  </si>
  <si>
    <t>201516_Wreck beach/Coal Creek Estuary 2nd Bay East_2</t>
  </si>
  <si>
    <t>201516_Coal Creek Estuary Mouth_1</t>
  </si>
  <si>
    <t>201516_Coal Creek Estuary Mouth_2</t>
  </si>
  <si>
    <t>201516_Coal Creek Estuary Mouth_3</t>
  </si>
  <si>
    <t>201516_Pea Creek Estuary &amp; Undertow Bay_1</t>
  </si>
  <si>
    <t>201516_Pea Creek Estuary &amp; Undertow Bay_2</t>
  </si>
  <si>
    <t>201516_Point Norman_1</t>
  </si>
  <si>
    <t>201516_Point Norman_2</t>
  </si>
  <si>
    <t>201516_Point Norman_3</t>
  </si>
  <si>
    <t>201516_Point Norman Pair 2_1</t>
  </si>
  <si>
    <t>201516_Point Norman Pair 2_2</t>
  </si>
  <si>
    <t>201516_Screw Creek West_1</t>
  </si>
  <si>
    <t>201516_The Oaks_1</t>
  </si>
  <si>
    <t>201516_Undertow Bay East End._1</t>
  </si>
  <si>
    <t>201516_Waterfall Creek_1</t>
  </si>
  <si>
    <t>201516_Waterfall Creek_2</t>
  </si>
  <si>
    <t>201516_Waterfall Creek_3</t>
  </si>
  <si>
    <t>201516_Wilsons Rd 2nd Bay West_1</t>
  </si>
  <si>
    <t>201516_Wilsons Rd 3rd Bay West_1</t>
  </si>
  <si>
    <t>201516_Baxters Beach A19_1</t>
  </si>
  <si>
    <t>201516_Baxters Beach A19_2</t>
  </si>
  <si>
    <t>201516_Baxters Beach A19_3</t>
  </si>
  <si>
    <t>201516_Baxters Beach A19_4</t>
  </si>
  <si>
    <t>201516_Bore Beach_1</t>
  </si>
  <si>
    <t>201516_Bore Beach_2</t>
  </si>
  <si>
    <t>201516_Bore Beach_3</t>
  </si>
  <si>
    <t>201516_Bore Beach_4</t>
  </si>
  <si>
    <t>201516_Desal Beach_1</t>
  </si>
  <si>
    <t>201516_Powlett River Mouth East Bank_1</t>
  </si>
  <si>
    <t>201516_Powlett River Mouth East Bank_2</t>
  </si>
  <si>
    <t>201516_Powlett River Mouth West Bank_1</t>
  </si>
  <si>
    <t>201516_Powlett River Mouth West Bank_2</t>
  </si>
  <si>
    <t>201516_Powlett River West A16 Further West_1</t>
  </si>
  <si>
    <t>201516_Powlett River West A16- Paperbark trk._1</t>
  </si>
  <si>
    <t>201516_Powlett River West A16- Paperbark trk._2</t>
  </si>
  <si>
    <t>201516_Powlett River West A16- Paperbark trk._3</t>
  </si>
  <si>
    <t>201516_Sandy Waterholes West Bay_1</t>
  </si>
  <si>
    <t>201516_Trestle Bridge Beach East_1</t>
  </si>
  <si>
    <t>201516_Trestle Bridge Beach East_2</t>
  </si>
  <si>
    <t>201516_Trestle Bridge Beach East_3</t>
  </si>
  <si>
    <t>201516_Williamsons Beach A18 East_1</t>
  </si>
  <si>
    <t>201516_Williamsons Beach A18 East_2</t>
  </si>
  <si>
    <t>201516_Williamsons Beach West_1</t>
  </si>
  <si>
    <t>201516_Williamsons Beach West_2</t>
  </si>
  <si>
    <t>Inverloch - Point Norman West</t>
  </si>
  <si>
    <t>Sandy Waterhole Bay West end - George Bass Coastal Walk</t>
  </si>
  <si>
    <t>26122014</t>
  </si>
  <si>
    <t>25012015</t>
  </si>
  <si>
    <t>02122014</t>
  </si>
  <si>
    <t>25112014</t>
  </si>
  <si>
    <t>31122014</t>
  </si>
  <si>
    <t>15012015</t>
  </si>
  <si>
    <t>28112014</t>
  </si>
  <si>
    <t>04012015</t>
  </si>
  <si>
    <t>09012015</t>
  </si>
  <si>
    <t>02012015</t>
  </si>
  <si>
    <t>23012015</t>
  </si>
  <si>
    <t>18022015</t>
  </si>
  <si>
    <t>20012015</t>
  </si>
  <si>
    <t>11112014</t>
  </si>
  <si>
    <t>08122014</t>
  </si>
  <si>
    <t>06012015</t>
  </si>
  <si>
    <t>14012015</t>
  </si>
  <si>
    <t>31102014</t>
  </si>
  <si>
    <t>07112014</t>
  </si>
  <si>
    <t>19122014</t>
  </si>
  <si>
    <t>19012015</t>
  </si>
  <si>
    <t>27012015</t>
  </si>
  <si>
    <t>13022015</t>
  </si>
  <si>
    <t>15122014</t>
  </si>
  <si>
    <t>16012015</t>
  </si>
  <si>
    <t>28122014</t>
  </si>
  <si>
    <t>06022015</t>
  </si>
  <si>
    <t>23022015</t>
  </si>
  <si>
    <t>201516_Wreck Beach - Harmers Haven_1</t>
  </si>
  <si>
    <t>03122014</t>
  </si>
  <si>
    <t>201516_Coal Creek Estuary Mouth - Harmers Haven_1</t>
  </si>
  <si>
    <t>201516_Coal Creek Estuary Mouth - Harmers Haven_2</t>
  </si>
  <si>
    <t>09122014</t>
  </si>
  <si>
    <t>13112014</t>
  </si>
  <si>
    <t>17112014</t>
  </si>
  <si>
    <t>05122014</t>
  </si>
  <si>
    <t>21122014</t>
  </si>
  <si>
    <t>201516_Inverloch - Point Norman East_1</t>
  </si>
  <si>
    <t>29092014</t>
  </si>
  <si>
    <t>17102014</t>
  </si>
  <si>
    <t>201516_Inverloch - Point Norman East_2</t>
  </si>
  <si>
    <t>22122014</t>
  </si>
  <si>
    <t>201516_Inverloch - Point Norman West_1</t>
  </si>
  <si>
    <t>12112014</t>
  </si>
  <si>
    <t>26112014</t>
  </si>
  <si>
    <t>201516_Inverloch - Point Norman West_2</t>
  </si>
  <si>
    <t>201516_Inverloch - Screw Creek West_1</t>
  </si>
  <si>
    <t>27122014</t>
  </si>
  <si>
    <t>201516_The Oaks Bay - Cape Paterson_1</t>
  </si>
  <si>
    <t>12122014</t>
  </si>
  <si>
    <t>08022015</t>
  </si>
  <si>
    <t>22022015</t>
  </si>
  <si>
    <t>201516_Waterfall Creek - Harmers Haven_1</t>
  </si>
  <si>
    <t>29122014</t>
  </si>
  <si>
    <t>201516_Waterfall Creek - Harmers Haven_2</t>
  </si>
  <si>
    <t>12012015</t>
  </si>
  <si>
    <t>02022015</t>
  </si>
  <si>
    <t>201516_Wilsons Rd 2nd Bay West End_1</t>
  </si>
  <si>
    <t>20102014</t>
  </si>
  <si>
    <t>06112014</t>
  </si>
  <si>
    <t>201516_Baxters Beach A19 Wonthaggi Ocean Beach_1</t>
  </si>
  <si>
    <t>25102014</t>
  </si>
  <si>
    <t>201516_Baxters Beach A19 Wonthaggi Ocean Beach_2</t>
  </si>
  <si>
    <t>201516_Baxters Beach A19 Wonthaggi Ocean Beach_3</t>
  </si>
  <si>
    <t>201516_Baxters Beach A19 Wonthaggi Ocean Beach_4</t>
  </si>
  <si>
    <t>201516_San Remo - Bore Beach_1</t>
  </si>
  <si>
    <t>15102014</t>
  </si>
  <si>
    <t>201516_Desal Beach - Powlett River_1</t>
  </si>
  <si>
    <t>11012015</t>
  </si>
  <si>
    <t>09022015</t>
  </si>
  <si>
    <t>201516_Powlett River West A16- Paperbark trk - Kilcunda_1</t>
  </si>
  <si>
    <t>201516_Powlett River West A16- Paperbark trk - Kilcunda_2</t>
  </si>
  <si>
    <t>05012015</t>
  </si>
  <si>
    <t>201516_Sandy Waterhole Bay West end - George Bass Coastal Walk_1</t>
  </si>
  <si>
    <t>201516_Kilcunda Trestle Bridge Beach East_1</t>
  </si>
  <si>
    <t>24122014</t>
  </si>
  <si>
    <t>201516_Kilcunda Trestle Bridge Beach East_2</t>
  </si>
  <si>
    <t>201516_Kilcunda Trestle Bridge Beach East_3</t>
  </si>
  <si>
    <t>201516_Williamsons Beach A18 East - Wonthaggi_1</t>
  </si>
  <si>
    <t>201516_Williamsons Beach A18 East - Wonthaggi_2</t>
  </si>
  <si>
    <t>14022015</t>
  </si>
  <si>
    <t>Orange metal; ?/Orange (Omt/LtGO)</t>
  </si>
  <si>
    <t>Nest was washed out by high tide. One egg lost. Two recovered eggs were incubated again, however only one hatched</t>
  </si>
  <si>
    <t>Orange metal; Dark-Green/White</t>
  </si>
  <si>
    <t>LX Left (Orange)</t>
  </si>
  <si>
    <r>
      <t>Coal Point 3rd Bay West Pair 1.</t>
    </r>
    <r>
      <rPr>
        <sz val="11"/>
        <color theme="1"/>
        <rFont val="Aptos Narrow"/>
        <family val="2"/>
        <scheme val="minor"/>
      </rPr>
      <t xml:space="preserve"> / Coal Point 2nd Bay N/W</t>
    </r>
  </si>
  <si>
    <t>Sign Access, Sign Nest, Rope fence, Shelter</t>
  </si>
  <si>
    <t>XV Right (Orange)</t>
  </si>
  <si>
    <t>Not revisited</t>
  </si>
  <si>
    <t>1 (there could be others, check notes)</t>
  </si>
  <si>
    <t>One fledging confirmed to have survived on the 11/03/2015 at Trestle Bridge Beach East based on its band.</t>
  </si>
  <si>
    <t>Orange metal; Red/yellow</t>
  </si>
  <si>
    <t>Orange metal; Yellow/Orange</t>
  </si>
  <si>
    <t>AA Left (Orange)</t>
  </si>
  <si>
    <t>This clutch had two eggs laid in separate locations. The second was found on the 5/02/2016, however its assumed to be from the same clutch as the previous nest is so close in dates.</t>
  </si>
  <si>
    <t>TX Left (Orange)</t>
  </si>
  <si>
    <t>1st egg laid and failed for an unknown reason, next two eggs laid 200m away</t>
  </si>
  <si>
    <t>Left (Metal)</t>
  </si>
  <si>
    <t>NB Right (Orange)</t>
  </si>
  <si>
    <t>Orange metal; Orange</t>
  </si>
  <si>
    <t>28122015</t>
  </si>
  <si>
    <t>21012016</t>
  </si>
  <si>
    <t>10102015</t>
  </si>
  <si>
    <t>24112015</t>
  </si>
  <si>
    <t>04012016</t>
  </si>
  <si>
    <t>10012016</t>
  </si>
  <si>
    <t>16112015</t>
  </si>
  <si>
    <t>12022016</t>
  </si>
  <si>
    <t>16122015</t>
  </si>
  <si>
    <t>04122015</t>
  </si>
  <si>
    <t>23112015</t>
  </si>
  <si>
    <t>05012016</t>
  </si>
  <si>
    <t>15012016</t>
  </si>
  <si>
    <t>23102015</t>
  </si>
  <si>
    <t>20112015</t>
  </si>
  <si>
    <t>16102015</t>
  </si>
  <si>
    <t>12112015</t>
  </si>
  <si>
    <t>21122015</t>
  </si>
  <si>
    <t>19102015</t>
  </si>
  <si>
    <t>18022016</t>
  </si>
  <si>
    <t>03012016</t>
  </si>
  <si>
    <t>25012016</t>
  </si>
  <si>
    <t>11032016</t>
  </si>
  <si>
    <t>22012016</t>
  </si>
  <si>
    <t>19022016</t>
  </si>
  <si>
    <t>05022016</t>
  </si>
  <si>
    <t>08112015</t>
  </si>
  <si>
    <t>03122015</t>
  </si>
  <si>
    <t>18012016</t>
  </si>
  <si>
    <t>25092015</t>
  </si>
  <si>
    <t>20122015</t>
  </si>
  <si>
    <t>201516_Williamsons Beach Further West_1</t>
  </si>
  <si>
    <t>201516_Williamsons Beach Further West_2</t>
  </si>
  <si>
    <t>201415_Wreck Beach - Harmers Haven_1</t>
  </si>
  <si>
    <t>201415_Coal Creek Estuary - 2nd Bay East_2</t>
  </si>
  <si>
    <t>201415_Coal Creek Estuary Mouth - Harmers Haven_1</t>
  </si>
  <si>
    <t>201415_Coal Creek Estuary Mouth - Harmers Haven_2</t>
  </si>
  <si>
    <t>201415_Coal Creek Estuary Mouth - Harmers Haven_3</t>
  </si>
  <si>
    <t>201415_Cape Paterson - Pea Creek Estuary &amp; Undertow Bay_1</t>
  </si>
  <si>
    <t>201415_Cape Paterson - Pea Creek Estuary &amp; Undertow Bay_2</t>
  </si>
  <si>
    <t>201415_Inverloch - Point Norman East_1</t>
  </si>
  <si>
    <t>201415_Inverloch - Point Norman East_2</t>
  </si>
  <si>
    <t>201415_Inverloch - Point Norman East_3</t>
  </si>
  <si>
    <t>201415_Inverloch - Point Norman West_1</t>
  </si>
  <si>
    <t>201415_Inverloch - Point Norman West_2</t>
  </si>
  <si>
    <t>201415_Inverloch - Screw Creek West_1</t>
  </si>
  <si>
    <t>201415_The Oaks Bay - Cape Paterson_1</t>
  </si>
  <si>
    <t>201415_Cape Paterson - Pea Creek Estuary &amp; Undertow Bay_3</t>
  </si>
  <si>
    <t>201415_Waterfall Creek - Harmers Haven_1</t>
  </si>
  <si>
    <t>201415_Waterfall Creek - Harmers Haven_2</t>
  </si>
  <si>
    <t>201415_Waterfall Creek - Harmers Haven_3</t>
  </si>
  <si>
    <t>201415_Wilsons Rd 2nd Bay West End_1</t>
  </si>
  <si>
    <t>201415_Wilsons Rd 3rd Bay West_1</t>
  </si>
  <si>
    <t>201415_Baxters Beach A19 Wonthaggi Ocean Beach_1</t>
  </si>
  <si>
    <t>201415_Baxters Beach A19 Wonthaggi Ocean Beach_2</t>
  </si>
  <si>
    <t>201415_Baxters Beach A19 Wonthaggi Ocean Beach_3</t>
  </si>
  <si>
    <t>201415_Baxters Beach A19 Wonthaggi Ocean Beach_4</t>
  </si>
  <si>
    <t>201415_San Remo - Bore Beach_1</t>
  </si>
  <si>
    <t>201415_San Remo - Bore Beach_2</t>
  </si>
  <si>
    <t>201415_San Remo - Bore Beach_3</t>
  </si>
  <si>
    <t>201415_San Remo - Bore Beach_4</t>
  </si>
  <si>
    <t>201415_Desal Beach - Powlett River_1</t>
  </si>
  <si>
    <t>201415_Powlett River Mouth East Bank_1</t>
  </si>
  <si>
    <t>201415_Powlett River Mouth East Bank_2</t>
  </si>
  <si>
    <t>201415_Powlett River Mouth West Bank_1</t>
  </si>
  <si>
    <t>201415_Powlett River Mouth West Bank_2</t>
  </si>
  <si>
    <t>201415_Powlett River West A16 Further West_1</t>
  </si>
  <si>
    <t>201415_Powlett River West A16- Paperbark trk - Kilcunda_1</t>
  </si>
  <si>
    <t>201415_Powlett River West A16- Paperbark trk - Kilcunda_2</t>
  </si>
  <si>
    <t>201415_Powlett River West A16- Paperbark trk - Kilcunda_3</t>
  </si>
  <si>
    <t>201415_Sandy Waterhole Bay West end - George Bass Coastal Walk_1</t>
  </si>
  <si>
    <t>201415_Kilcunda Trestle Bridge Beach East_1</t>
  </si>
  <si>
    <t>201415_Kilcunda Trestle Bridge Beach East_2</t>
  </si>
  <si>
    <t>201415_Kilcunda Trestle Bridge Beach East_3</t>
  </si>
  <si>
    <t>201415_Williamsons Beach A18 East - Wonthaggi_1</t>
  </si>
  <si>
    <t>201415_Williamsons Beach A18 East - Wonthaggi_2</t>
  </si>
  <si>
    <t>201415_Williamsons Beach Further West_1</t>
  </si>
  <si>
    <t>201415_Williamsons Beach Further West_2</t>
  </si>
  <si>
    <t>201516_Baxters 1 Sth - Wonthaggi_1</t>
  </si>
  <si>
    <t>201516_Baxters 1 Sth - Wonthaggi_2</t>
  </si>
  <si>
    <t>201516_Coal Creek Estuary - 2nd Bay East_1</t>
  </si>
  <si>
    <t>201516_Coal Point 3rd Bay West 1st Pair_1</t>
  </si>
  <si>
    <t>201516_Coal Point 3rd Bay West 2nd Pair_1</t>
  </si>
  <si>
    <t>201516_Kilcunda Trestle Bridge Beach East_4</t>
  </si>
  <si>
    <t>201516_Powlett River Mouth East Bank_3</t>
  </si>
  <si>
    <t>201516_Powlett River West A16 Eastward_1</t>
  </si>
  <si>
    <t>201516_Powlett River West A16 Eastward_2</t>
  </si>
  <si>
    <t>201516_Powlett River West A16 Further West_2</t>
  </si>
  <si>
    <t>201516_Powlett River West A16 Further West_3</t>
  </si>
  <si>
    <t>201516_Sandy Waterhole Bay West end - George Bass Coastal Walk_2</t>
  </si>
  <si>
    <t>201516_Sandy Waterholes Estuary &amp; next Bay East - George Bass Coastal Walk_1</t>
  </si>
  <si>
    <t>201516_Sandy Waterholes Estuary &amp; next Bay East - George Bass Coastal Walk_2</t>
  </si>
  <si>
    <t>201516_The Oaks Bay - Cape Paterson_2</t>
  </si>
  <si>
    <t>201516_The Oaks Bay - Cape Paterson_3</t>
  </si>
  <si>
    <t>201517_Williamsons Beach A18 East - Wonthaggi_3</t>
  </si>
  <si>
    <t>201516_Williamsons Beach Further East_1</t>
  </si>
  <si>
    <t>201516_Williamsons Beach Further West_3</t>
  </si>
  <si>
    <t>201516_Williamsons Beach West_3</t>
  </si>
  <si>
    <t>201516_Williamsons Beach West_4</t>
  </si>
  <si>
    <t>201516_Williamsons Beach West_5</t>
  </si>
  <si>
    <t>201516_Wilsons Rd 2nd Bay West End_2</t>
  </si>
  <si>
    <t>201516_Wilsons Rd 3rd Bay West_2</t>
  </si>
  <si>
    <t>201516_Wilsons Rd 3rd Bay West_3</t>
  </si>
  <si>
    <t>201516_Wilsons Rd Eastward 2nd Drain_1</t>
  </si>
  <si>
    <t>201516_Wilsons Rd Eastward 3rd drain_1</t>
  </si>
  <si>
    <t>201516_Wreck Beach - Harmers Haven_2</t>
  </si>
  <si>
    <t>201516_Coal Point 3rd Bay West 1st Pair</t>
  </si>
  <si>
    <t>201516_San Remo - Town Back Beach_1</t>
  </si>
  <si>
    <t>Bore Beach San Remo</t>
  </si>
  <si>
    <t>KC</t>
  </si>
  <si>
    <t>201112_Bore Beach San Remo_1</t>
  </si>
  <si>
    <t>Suspect</t>
  </si>
  <si>
    <t>Not sighted</t>
  </si>
  <si>
    <t>Chicks not seen by vols, but sighted on camera</t>
  </si>
  <si>
    <t>Yes</t>
  </si>
  <si>
    <t>201112_Bore Beach San Remo_2</t>
  </si>
  <si>
    <t>S38.53688</t>
  </si>
  <si>
    <t xml:space="preserve">E 145.38418   </t>
  </si>
  <si>
    <t>Not specified</t>
  </si>
  <si>
    <t>LightGreenWhite/LightGreenMetal</t>
  </si>
  <si>
    <t>201112_Point Norman_1</t>
  </si>
  <si>
    <t>-38.64672</t>
  </si>
  <si>
    <t>145.71117</t>
  </si>
  <si>
    <t>Camera can't confirm failure</t>
  </si>
  <si>
    <t>201112_Point Norman_2</t>
  </si>
  <si>
    <t>201112_Point Norman_3</t>
  </si>
  <si>
    <t>-38.645351</t>
  </si>
  <si>
    <t>145.712160</t>
  </si>
  <si>
    <t>Twin Reefs - Cape Paterson</t>
  </si>
  <si>
    <t>Omt/RLtG</t>
  </si>
  <si>
    <t>201112_Twin Reefs - Cape Paterson_1</t>
  </si>
  <si>
    <t>washed out</t>
  </si>
  <si>
    <t>Suspect egg was already washed out when found. Placed back in scrape nearby.</t>
  </si>
  <si>
    <t>pea creek and undertow bay</t>
  </si>
  <si>
    <t>KY</t>
  </si>
  <si>
    <t>201112_pea creek and undertow bay_1</t>
  </si>
  <si>
    <t>camera on nest</t>
  </si>
  <si>
    <t>201112_pea creek and undertow bay_2</t>
  </si>
  <si>
    <t>201112_pea creek and undertow bay_4</t>
  </si>
  <si>
    <t>201112_pea creek and undertow bay_5</t>
  </si>
  <si>
    <t>Raven - found broken egg</t>
  </si>
  <si>
    <t>Omt/BkY &amp; Omt/RG</t>
  </si>
  <si>
    <t>201112_pea creek and undertow bay_3</t>
  </si>
  <si>
    <t>Omt/GO</t>
  </si>
  <si>
    <t>201112_The Oaks_1</t>
  </si>
  <si>
    <t>harmers haven - 1st bay west of A21 steps</t>
  </si>
  <si>
    <t>LX</t>
  </si>
  <si>
    <t>HJ</t>
  </si>
  <si>
    <t>201112_harmers haven - 1st bay west of A21 steps_1</t>
  </si>
  <si>
    <t>coal creek estuary</t>
  </si>
  <si>
    <t>201112_coal creek estuary_1</t>
  </si>
  <si>
    <t>201112_coal creek estuary_2</t>
  </si>
  <si>
    <t>Nest went from 3 to 1 egg while still being incubated</t>
  </si>
  <si>
    <t>HP</t>
  </si>
  <si>
    <t>201112_coal creek estuary_3</t>
  </si>
  <si>
    <t>Unknown if fledged</t>
  </si>
  <si>
    <t>Chick banded HU</t>
  </si>
  <si>
    <t>Kilcunda trestle bridge east</t>
  </si>
  <si>
    <t>Omt/YO</t>
  </si>
  <si>
    <t>201112_Kilcunda trestle bridge east_1</t>
  </si>
  <si>
    <t>201112_Kilcunda trestle bridge east_2</t>
  </si>
  <si>
    <t>201112_Kilcunda trestle bridge east_3</t>
  </si>
  <si>
    <t>201112_Kilcunda trestle bridge east_4</t>
  </si>
  <si>
    <t>Predated</t>
  </si>
  <si>
    <t>Kilcunda trestle bridge beach A14</t>
  </si>
  <si>
    <t>BC</t>
  </si>
  <si>
    <t>201112_Kilcunda trestle bridge beach A14_1</t>
  </si>
  <si>
    <t>Marchh</t>
  </si>
  <si>
    <t>One egg abadoned in nest</t>
  </si>
  <si>
    <t>Powlett river west A16 - paperbark trk</t>
  </si>
  <si>
    <t>NE</t>
  </si>
  <si>
    <t>201112_Powlett river west A16 - paperbark trk_1</t>
  </si>
  <si>
    <t>Powlett River Mouth - West bank</t>
  </si>
  <si>
    <t>201112_Powlett River Mouth - West bank_1</t>
  </si>
  <si>
    <t>Chicks banded EK &amp; HN.</t>
  </si>
  <si>
    <t>201112_Powlett River Mouth - West bank_2</t>
  </si>
  <si>
    <t>Confirmed on camera fox take on 26/2/2012</t>
  </si>
  <si>
    <t>culters beach A20 s/east</t>
  </si>
  <si>
    <t>CC</t>
  </si>
  <si>
    <t>201112_culters beach A20 s/east_1</t>
  </si>
  <si>
    <t>Camera suggests either taken by raven or crushed by person</t>
  </si>
  <si>
    <t>culters beach A20 n/west</t>
  </si>
  <si>
    <t>201112_culters beach A20 n/west_1</t>
  </si>
  <si>
    <t>Camera washed out with tide</t>
  </si>
  <si>
    <t>201112_culters beach A20 n/west_2</t>
  </si>
  <si>
    <t>cutlers rocks nth</t>
  </si>
  <si>
    <t>KD</t>
  </si>
  <si>
    <t>201112_cutlers rocks nth_1</t>
  </si>
  <si>
    <t>Chicks banded LR and NC</t>
  </si>
  <si>
    <t>baxters 4</t>
  </si>
  <si>
    <t>NJ</t>
  </si>
  <si>
    <t>201112_baxters 4_1</t>
  </si>
  <si>
    <t>baxters 3</t>
  </si>
  <si>
    <t>Mt/Lt GO</t>
  </si>
  <si>
    <t>BA</t>
  </si>
  <si>
    <t>201112_baxters 3_1</t>
  </si>
  <si>
    <t>Based on Steve's estimate during banding</t>
  </si>
  <si>
    <t>201112_baxters 3_2</t>
  </si>
  <si>
    <t>Williamsons beach west</t>
  </si>
  <si>
    <t>Orange PU</t>
  </si>
  <si>
    <t>201112_Williamsons beach west_1</t>
  </si>
  <si>
    <t>confirmed on camera</t>
  </si>
  <si>
    <t>201112_Williamsons beach west_2</t>
  </si>
  <si>
    <t>Williamsons beach further west</t>
  </si>
  <si>
    <t>Orange BD</t>
  </si>
  <si>
    <t>201112_Williamsons beach further west_1</t>
  </si>
  <si>
    <t>S: 38.59068</t>
  </si>
  <si>
    <t>E:145.51544</t>
  </si>
  <si>
    <t>powlett river - east bank</t>
  </si>
  <si>
    <t>201112_powlett river - east bank_2</t>
  </si>
  <si>
    <t>Camera 1/05/2011</t>
  </si>
  <si>
    <t>Chick sighted on camera 5/1/2012</t>
  </si>
  <si>
    <t>201112_powlett river - east bank_3</t>
  </si>
  <si>
    <t>Desal beach</t>
  </si>
  <si>
    <t>NL</t>
  </si>
  <si>
    <t>NV</t>
  </si>
  <si>
    <t>201112_Desal beach_1</t>
  </si>
  <si>
    <t>Chick banded ND</t>
  </si>
  <si>
    <t>Cutlers Rocks Flock Site Nth End - Wonthaggi</t>
  </si>
  <si>
    <t>17022012</t>
  </si>
  <si>
    <t>03112011</t>
  </si>
  <si>
    <t>01122011</t>
  </si>
  <si>
    <t>29122011</t>
  </si>
  <si>
    <t>02022012</t>
  </si>
  <si>
    <t>04122011</t>
  </si>
  <si>
    <t>17012012</t>
  </si>
  <si>
    <t>15012012</t>
  </si>
  <si>
    <t>06022012</t>
  </si>
  <si>
    <t>22022012</t>
  </si>
  <si>
    <t>07032012</t>
  </si>
  <si>
    <t>22102011</t>
  </si>
  <si>
    <t>17112011</t>
  </si>
  <si>
    <t>04102011</t>
  </si>
  <si>
    <t>23112011</t>
  </si>
  <si>
    <t>13032012</t>
  </si>
  <si>
    <t>16012012</t>
  </si>
  <si>
    <t>27022012</t>
  </si>
  <si>
    <t>02122011</t>
  </si>
  <si>
    <t>00011900</t>
  </si>
  <si>
    <t>24022012</t>
  </si>
  <si>
    <t>22112011</t>
  </si>
  <si>
    <t>12122011</t>
  </si>
  <si>
    <t>28122011</t>
  </si>
  <si>
    <t>2nd Surf Beach</t>
  </si>
  <si>
    <t>Orange metal / Black, Blue</t>
  </si>
  <si>
    <t>Chick banded ZR (left)</t>
  </si>
  <si>
    <t>Coal Point 3rd Bay N/W 2nd Pair</t>
  </si>
  <si>
    <t>Coal Point 3rd Bay N/W Pair 1.</t>
  </si>
  <si>
    <t>Nest washed out by tide, 1 egg recovered on 19/12/2016</t>
  </si>
  <si>
    <t>Pea Creek Estuary</t>
  </si>
  <si>
    <t>Orange metal / Black, Yellow</t>
  </si>
  <si>
    <t>Sign Access, Banners, Rope fence, Shelters</t>
  </si>
  <si>
    <t>Chick banded Orange "ZD". 2nd egg abandoned in nest</t>
  </si>
  <si>
    <t>Fox and 4 day heatwave</t>
  </si>
  <si>
    <t>One infertile egg never hatched</t>
  </si>
  <si>
    <t>VJ LEFT (Orange)</t>
  </si>
  <si>
    <t>Sandy Waterholes Estuary</t>
  </si>
  <si>
    <t>Storm surge</t>
  </si>
  <si>
    <t>Trestle Bridge Beach A14</t>
  </si>
  <si>
    <t xml:space="preserve">Trestle Bridge Beach East </t>
  </si>
  <si>
    <t>Orange metal / Yellow, Orange</t>
  </si>
  <si>
    <t>Twin Reefs</t>
  </si>
  <si>
    <t>Orange metal / Red, Light-Green</t>
  </si>
  <si>
    <t>Eggs washed out an one recovered on 7/12/2013</t>
  </si>
  <si>
    <t>Williamson's Beach West</t>
  </si>
  <si>
    <t>UW LEFT (Orange)</t>
  </si>
  <si>
    <t>orange/metal;orange</t>
  </si>
  <si>
    <t>201314_2nd Surf Beach_1</t>
  </si>
  <si>
    <t>201314_2nd Surf Beach_2</t>
  </si>
  <si>
    <t>201314_Bore Beach_1</t>
  </si>
  <si>
    <t>201314_Bore Beach_2</t>
  </si>
  <si>
    <t>201314_Bore Beach_3</t>
  </si>
  <si>
    <t>201314_Coal Creek Estuary Mouth_1</t>
  </si>
  <si>
    <t>201314_Coal Creek Estuary Mouth_2</t>
  </si>
  <si>
    <t>201314_Coal Point 3rd Bay N/W 2nd Pair_1</t>
  </si>
  <si>
    <t>201314_Coal Point 3rd Bay N/W 2nd Pair_2</t>
  </si>
  <si>
    <t>201314_Coal Point 3rd Bay N/W Pair 1._1</t>
  </si>
  <si>
    <t>201314_Coal Point 3rd Bay N/W Pair 1._2</t>
  </si>
  <si>
    <t>201314_Pea Creek Estuary_1</t>
  </si>
  <si>
    <t>201314_Pea Creek Estuary_2</t>
  </si>
  <si>
    <t>201314_Pea Creek Estuary_3</t>
  </si>
  <si>
    <t>201314_Pea Creek Estuary_4</t>
  </si>
  <si>
    <t>201314_Pea Creek Estuary_5</t>
  </si>
  <si>
    <t>201314_Pea Creek Estuary_6</t>
  </si>
  <si>
    <t>201314_Point Norman_1</t>
  </si>
  <si>
    <t>201314_Powlett River Mouth East Bank_1</t>
  </si>
  <si>
    <t>201314_Powlett River Mouth West Bank_1</t>
  </si>
  <si>
    <t>201314_Sandy Waterholes Estuary_1</t>
  </si>
  <si>
    <t>201314_Sandy Waterholes Estuary_2</t>
  </si>
  <si>
    <t>201314_Sandy Waterholes West Bay_1</t>
  </si>
  <si>
    <t>201314_Screw Creek West_1</t>
  </si>
  <si>
    <t>201314_The Oaks_1</t>
  </si>
  <si>
    <t>201314_Trestle Bridge Beach A14_1</t>
  </si>
  <si>
    <t>201314_Trestle Bridge Beach A14_2</t>
  </si>
  <si>
    <t>201314_Trestle Bridge Beach East _1</t>
  </si>
  <si>
    <t>201314_Trestle Bridge Beach East _2</t>
  </si>
  <si>
    <t>201314_Twin Reefs_1</t>
  </si>
  <si>
    <t>201314_Twin Reefs_2</t>
  </si>
  <si>
    <t>201314_Waterfall Creek_1</t>
  </si>
  <si>
    <t>201314_Waterfall Creek_2</t>
  </si>
  <si>
    <t>201314_Williamson's Beach West_1</t>
  </si>
  <si>
    <t>201314_Wilsons Rd 2nd Bay West_1</t>
  </si>
  <si>
    <t>201314_Wilsons Rd 2nd Bay West_2</t>
  </si>
  <si>
    <t>201314_Wilsons Rd 3rd Bay West_1</t>
  </si>
  <si>
    <t>201314_Wilsons Rd 3rd Bay West_2</t>
  </si>
  <si>
    <t>201314_Wreck Beach_1</t>
  </si>
  <si>
    <t>201314_Wreck Beach_2</t>
  </si>
  <si>
    <t>201314_Wreck Beach_3</t>
  </si>
  <si>
    <t>201314_Cape Paterson - 2nd Surf Beach_1</t>
  </si>
  <si>
    <t>201314_Cape Paterson - 2nd Surf Beach_2</t>
  </si>
  <si>
    <t>201314_San Remo - Bore Beach_1</t>
  </si>
  <si>
    <t>201314_San Remo - Bore Beach_2</t>
  </si>
  <si>
    <t>201314_San Remo - Bore Beach_3</t>
  </si>
  <si>
    <t>201314_Coal Creek Estuary Mouth - Harmers Haven_1</t>
  </si>
  <si>
    <t>201314_Coal Creek Estuary Mouth - Harmers Haven_2</t>
  </si>
  <si>
    <t>201314_Coal Point 3rd Bay West 2nd Pair_1</t>
  </si>
  <si>
    <t>201314_Coal Point 3rd Bay West 2nd Pair_2</t>
  </si>
  <si>
    <t>201314_Coal Point 3rd Bay West 1st Pair_1</t>
  </si>
  <si>
    <t>201314_Coal Point 3rd Bay West 1st Pair_2</t>
  </si>
  <si>
    <t>201314_Cape Paterson - Pea Creek Estuary &amp; Undertow Bay_1</t>
  </si>
  <si>
    <t>201314_Cape Paterson - Pea Creek Estuary &amp; Undertow Bay_2</t>
  </si>
  <si>
    <t>201314_Cape Paterson - Pea Creek Estuary &amp; Undertow Bay_3</t>
  </si>
  <si>
    <t>201314_Cape Paterson - Pea Creek Estuary &amp; Undertow Bay_4</t>
  </si>
  <si>
    <t>201314_Cape Paterson - Pea Creek Estuary &amp; Undertow Bay_5</t>
  </si>
  <si>
    <t>201314_Cape Paterson - Pea Creek Estuary &amp; Undertow Bay_6</t>
  </si>
  <si>
    <t>201314_Sandy Waterholes Estuary &amp; next Bay East - George Bass Coastal Walk_1</t>
  </si>
  <si>
    <t>201314_Sandy Waterholes Estuary &amp; next Bay East - George Bass Coastal Walk_2</t>
  </si>
  <si>
    <t>201314_Sandy Waterhole Bay West end - George Bass Coastal Walk_1</t>
  </si>
  <si>
    <t>201314_Inverloch - Screw Creek West_1</t>
  </si>
  <si>
    <t>201314_The Oaks Bay - Cape Paterson_1</t>
  </si>
  <si>
    <t>201314_Kilcunda Trestle Bridge Beach A14_1</t>
  </si>
  <si>
    <t>201314_Kilcunda Trestle Bridge Beach A14_2</t>
  </si>
  <si>
    <t>201314_Kilcunda Trestle Bridge Beach East_1</t>
  </si>
  <si>
    <t>201314_Kilcunda Trestle Bridge Beach East_2</t>
  </si>
  <si>
    <t>201314_Twin Reefs -Bunurong Coast Rd_1</t>
  </si>
  <si>
    <t>201314_Twin Reefs -Bunurong Coast Rd_2</t>
  </si>
  <si>
    <t>201314_Waterfall Creek - Harmers Haven_1</t>
  </si>
  <si>
    <t>201314_Waterfall Creek - Harmers Haven_2</t>
  </si>
  <si>
    <t>201314_Williamsons Beach West_1</t>
  </si>
  <si>
    <t>201314_Wilsons Rd 1st &amp; 2nd Bays West_1</t>
  </si>
  <si>
    <t>201314_Wilsons Rd 1st &amp; 2nd Bays West_2</t>
  </si>
  <si>
    <t>201314_Wreck Beach - Harmers Haven_1</t>
  </si>
  <si>
    <t>201314_Wreck Beach - Harmers Haven_2</t>
  </si>
  <si>
    <t>201314_Wreck Beach - Harmers Haven_3</t>
  </si>
  <si>
    <t>07122013</t>
  </si>
  <si>
    <t>21012014</t>
  </si>
  <si>
    <t>27112013</t>
  </si>
  <si>
    <t>21122013</t>
  </si>
  <si>
    <t>01022014</t>
  </si>
  <si>
    <t>18122013</t>
  </si>
  <si>
    <t>30012014</t>
  </si>
  <si>
    <t>19122013</t>
  </si>
  <si>
    <t>17012014</t>
  </si>
  <si>
    <t>18012014</t>
  </si>
  <si>
    <t>23102013</t>
  </si>
  <si>
    <t>01122013</t>
  </si>
  <si>
    <t>13122013</t>
  </si>
  <si>
    <t>29122013</t>
  </si>
  <si>
    <t>28022014</t>
  </si>
  <si>
    <t>21112013</t>
  </si>
  <si>
    <t>26122013</t>
  </si>
  <si>
    <t>20122013</t>
  </si>
  <si>
    <t>08122013</t>
  </si>
  <si>
    <t>26012014</t>
  </si>
  <si>
    <t>10122013</t>
  </si>
  <si>
    <t>02012014</t>
  </si>
  <si>
    <t>13012014</t>
  </si>
  <si>
    <t>19012014</t>
  </si>
  <si>
    <t>28122013</t>
  </si>
  <si>
    <t>23012014</t>
  </si>
  <si>
    <t>22122013</t>
  </si>
  <si>
    <t>16012014</t>
  </si>
  <si>
    <t>31012014</t>
  </si>
  <si>
    <t>03022014</t>
  </si>
  <si>
    <t>09122013</t>
  </si>
  <si>
    <t>12022014</t>
  </si>
  <si>
    <t>28112013</t>
  </si>
  <si>
    <t>24122013</t>
  </si>
  <si>
    <t>21022014</t>
  </si>
  <si>
    <t>22012014</t>
  </si>
  <si>
    <t>10022014</t>
  </si>
  <si>
    <t>14122013</t>
  </si>
  <si>
    <t>01012014</t>
  </si>
  <si>
    <t>09032014</t>
  </si>
  <si>
    <t>17122013</t>
  </si>
  <si>
    <t>30122013</t>
  </si>
  <si>
    <t>03012014</t>
  </si>
  <si>
    <t>02122013</t>
  </si>
  <si>
    <t>05012014</t>
  </si>
  <si>
    <t>24012014</t>
  </si>
  <si>
    <t>18022014</t>
  </si>
  <si>
    <t>05122013</t>
  </si>
  <si>
    <t>16022014</t>
  </si>
  <si>
    <t>06012014</t>
  </si>
  <si>
    <t>25102013</t>
  </si>
  <si>
    <t>03122013</t>
  </si>
  <si>
    <t>15122013</t>
  </si>
  <si>
    <t>04012014</t>
  </si>
  <si>
    <t>12122013</t>
  </si>
  <si>
    <t>07022014</t>
  </si>
  <si>
    <t>11012014</t>
  </si>
  <si>
    <t>31122013</t>
  </si>
  <si>
    <t>15012014</t>
  </si>
  <si>
    <t>20012014</t>
  </si>
  <si>
    <t>25012014</t>
  </si>
  <si>
    <t>14032014</t>
  </si>
  <si>
    <t>Orange metal / White, Dark-Green</t>
  </si>
  <si>
    <t>Al 3 eggs almost buried</t>
  </si>
  <si>
    <t>Rope Fence, Sign Access, Sign Nest, shelter</t>
  </si>
  <si>
    <t>Chicks banded XC and XR</t>
  </si>
  <si>
    <t>Coal Point West</t>
  </si>
  <si>
    <t>This nest was reported as failed by tide on the 20/01/2013, however 1 egg was recovered. Confirmed with GM</t>
  </si>
  <si>
    <t>Failed on hatch day, suspect chick/s hatched and failed. Confirmed suspect hatching with GM</t>
  </si>
  <si>
    <t>Tide seperated eggs (1 in original nest, two several meters away), several days later storm took out remaing egg</t>
  </si>
  <si>
    <t>1 egg was lost on the 10/11/2012</t>
  </si>
  <si>
    <t>Orange Metal/Red</t>
  </si>
  <si>
    <t>Chick banded ZB today 5.3.13</t>
  </si>
  <si>
    <t>Williamson's Beach A18 East</t>
  </si>
  <si>
    <t>NL Right (Orange)</t>
  </si>
  <si>
    <t>Orange metal / Light-Green, Orange</t>
  </si>
  <si>
    <t>Chick picked up and moved by people on the beach - more in notes</t>
  </si>
  <si>
    <t>Entry on the 18/2/2013: Over weekend just past a beach visitor picked up a chick off the rock platform anod carted it around in a bucket looking for a phone number on the signs to ring. They got onto PINP who advised to put it back and leave the area.  It was then returned to the beach near the next pairs enclosure at the Estuary.  Likely that this has led to its demise.</t>
  </si>
  <si>
    <t>05032013</t>
  </si>
  <si>
    <t>05012013</t>
  </si>
  <si>
    <t>19022013</t>
  </si>
  <si>
    <t>27012013</t>
  </si>
  <si>
    <t>04112012</t>
  </si>
  <si>
    <t>05122012</t>
  </si>
  <si>
    <t>18122012</t>
  </si>
  <si>
    <t>18032013</t>
  </si>
  <si>
    <t>06112012</t>
  </si>
  <si>
    <t>28022013</t>
  </si>
  <si>
    <t>24012013</t>
  </si>
  <si>
    <t>29012013</t>
  </si>
  <si>
    <t>21122012</t>
  </si>
  <si>
    <t>23022013</t>
  </si>
  <si>
    <t>10122012</t>
  </si>
  <si>
    <t>09112012</t>
  </si>
  <si>
    <t>201213_2nd Surf Beach_1</t>
  </si>
  <si>
    <t>201213_Cape Paterson - 2nd Surf Beach_1</t>
  </si>
  <si>
    <t>14022013</t>
  </si>
  <si>
    <t>24022013</t>
  </si>
  <si>
    <t>201213_Pea Creek Estuary_1</t>
  </si>
  <si>
    <t>201213_Cape Paterson - Pea Creek Estuary &amp; Undertow Bay_1</t>
  </si>
  <si>
    <t>08112012</t>
  </si>
  <si>
    <t>20112012</t>
  </si>
  <si>
    <t>201213_Coal Creek Estuary Mouth_1</t>
  </si>
  <si>
    <t>201213_Coal Creek Estuary Mouth - Harmers Haven_1</t>
  </si>
  <si>
    <t>07012013</t>
  </si>
  <si>
    <t>201213_Coal Point West_1</t>
  </si>
  <si>
    <t>201213_Coal Point 2nd Bay N/W - Harmers Haven_1</t>
  </si>
  <si>
    <t>02012013</t>
  </si>
  <si>
    <t>23012013</t>
  </si>
  <si>
    <t>201213_Point Norman_1</t>
  </si>
  <si>
    <t>06102012</t>
  </si>
  <si>
    <t>03112012</t>
  </si>
  <si>
    <t>201213_Point Norman_2</t>
  </si>
  <si>
    <t>25112012</t>
  </si>
  <si>
    <t>04122012</t>
  </si>
  <si>
    <t>201213_Point Norman_3</t>
  </si>
  <si>
    <t>16122012</t>
  </si>
  <si>
    <t>201213_Point Norman_4</t>
  </si>
  <si>
    <t>18012013</t>
  </si>
  <si>
    <t>31012013</t>
  </si>
  <si>
    <t>201213_Trestle Bridge Beach East _1</t>
  </si>
  <si>
    <t>201213_Kilcunda Trestle Bridge Beach East_1</t>
  </si>
  <si>
    <t>17112012</t>
  </si>
  <si>
    <t>201213_Trestle Bridge Beach East _2</t>
  </si>
  <si>
    <t>201213_Kilcunda Trestle Bridge Beach East_2</t>
  </si>
  <si>
    <t>20012013</t>
  </si>
  <si>
    <t>201213_Powlett River Mouth West Bank_1</t>
  </si>
  <si>
    <t>03032013</t>
  </si>
  <si>
    <t>201213_Bore Beach_1</t>
  </si>
  <si>
    <t>201213_San Remo - Bore Beach_1</t>
  </si>
  <si>
    <t>22122012</t>
  </si>
  <si>
    <t>31122012</t>
  </si>
  <si>
    <t>201213_Bore Beach_2</t>
  </si>
  <si>
    <t>201213_San Remo - Bore Beach_2</t>
  </si>
  <si>
    <t>04022013</t>
  </si>
  <si>
    <t>201213_Sandy Waterholes West Bay_1</t>
  </si>
  <si>
    <t>201213_Sandy Waterhole Bay West end - George Bass Coastal Walk_1</t>
  </si>
  <si>
    <t>10012013</t>
  </si>
  <si>
    <t>201213_Sandy Waterholes Estuary_1</t>
  </si>
  <si>
    <t>201213_Sandy Waterholes Estuary &amp; next Bay East - George Bass Coastal Walk_1</t>
  </si>
  <si>
    <t>201213_The Oaks_1</t>
  </si>
  <si>
    <t>201213_The Oaks Bay - Cape Paterson_1</t>
  </si>
  <si>
    <t>02112012</t>
  </si>
  <si>
    <t>201213_The Oaks_2</t>
  </si>
  <si>
    <t>201213_The Oaks Bay - Cape Paterson_2</t>
  </si>
  <si>
    <t>13012013</t>
  </si>
  <si>
    <t>201213_Waterfall Creek_1</t>
  </si>
  <si>
    <t>201213_Waterfall Creek - Harmers Haven_1</t>
  </si>
  <si>
    <t>201213_Waterfall Creek_2</t>
  </si>
  <si>
    <t>201213_Waterfall Creek - Harmers Haven_2</t>
  </si>
  <si>
    <t>12022013</t>
  </si>
  <si>
    <t>201213_Williamson's Beach A18 East_1</t>
  </si>
  <si>
    <t>201213_Williamsons Beach A18 East - Wonthaggi_1</t>
  </si>
  <si>
    <t>10112012</t>
  </si>
  <si>
    <t>201213_Williamson's Beach A18 East_2</t>
  </si>
  <si>
    <t>201213_Williamsons Beach A18 East - Wonthaggi_2</t>
  </si>
  <si>
    <t>201213_Williamson's Beach West_1</t>
  </si>
  <si>
    <t>201213_Williamsons Beach West_1</t>
  </si>
  <si>
    <t>11032013</t>
  </si>
  <si>
    <t>201213_Wilsons Rd 2nd Bay West_1</t>
  </si>
  <si>
    <t>201213_Wilsons Rd 1st &amp; 2nd Bays West_1</t>
  </si>
  <si>
    <t>201213_Wilsons Rd 2nd Bay West_2</t>
  </si>
  <si>
    <t>201213_Wilsons Rd 1st &amp; 2nd Bays West_2</t>
  </si>
  <si>
    <t>11122012</t>
  </si>
  <si>
    <t>04012013</t>
  </si>
  <si>
    <t>201213_Wilsons Rd 3rd Bay West_1</t>
  </si>
  <si>
    <t>09012013</t>
  </si>
  <si>
    <t>201213_Wreck Beach_1</t>
  </si>
  <si>
    <t>201213_Wreck Beach - Harmers Haven_1</t>
  </si>
  <si>
    <t>201213_Wreck Beach_2</t>
  </si>
  <si>
    <t>201213_Wreck Beach - Harmers Haven_2</t>
  </si>
  <si>
    <t>201112_Baxters 3 Sth_1</t>
  </si>
  <si>
    <t>11112011</t>
  </si>
  <si>
    <t>16112011</t>
  </si>
  <si>
    <t>201112_Baxters 3 Sth_2</t>
  </si>
  <si>
    <t>05022012</t>
  </si>
  <si>
    <t>201112_Baxters 4 Sth_1</t>
  </si>
  <si>
    <t>21122011</t>
  </si>
  <si>
    <t>201112_Cape Paterson - Pea Creek Estuary &amp; Undertow Bay_1</t>
  </si>
  <si>
    <t>31102011</t>
  </si>
  <si>
    <t>201112_Cape Paterson - Pea Creek Estuary &amp; Undertow Bay_2</t>
  </si>
  <si>
    <t>13112011</t>
  </si>
  <si>
    <t>27112011</t>
  </si>
  <si>
    <t>201112_Cape Paterson - Pea Creek Estuary &amp; Undertow Bay_3</t>
  </si>
  <si>
    <t>201112_Cape Paterson - Pea Creek Estuary &amp; Undertow Bay_4</t>
  </si>
  <si>
    <t>08122011</t>
  </si>
  <si>
    <t>10122011</t>
  </si>
  <si>
    <t>201112_Cape Paterson - Pea Creek Estuary &amp; Undertow Bay_5</t>
  </si>
  <si>
    <t>07012012</t>
  </si>
  <si>
    <t>22012012</t>
  </si>
  <si>
    <t>201112_Coal Creek Estuary Mouth - Harmers Haven_1</t>
  </si>
  <si>
    <t>201112_Coal Creek Estuary Mouth - Harmers Haven_2</t>
  </si>
  <si>
    <t>23122011</t>
  </si>
  <si>
    <t>13012012</t>
  </si>
  <si>
    <t>201112_Coal Creek Estuary Mouth - Harmers Haven_3</t>
  </si>
  <si>
    <t>29012012</t>
  </si>
  <si>
    <t>21022012</t>
  </si>
  <si>
    <t>201112_Cutlers Beach A20 N/West_1</t>
  </si>
  <si>
    <t>08012012</t>
  </si>
  <si>
    <t>201112_Cutlers Beach A20 N/West_2</t>
  </si>
  <si>
    <t>19012012</t>
  </si>
  <si>
    <t>201112_Cutlers Beach A20 S/East_1</t>
  </si>
  <si>
    <t>15022012</t>
  </si>
  <si>
    <t>201112_Cutlers Rocks Flock Site Nth End - Wonthaggi_1</t>
  </si>
  <si>
    <t>201112_Desal Beach - Powlett River_1</t>
  </si>
  <si>
    <t>201112_Harmers Haven - 1st Bay West of A21 Steps_1</t>
  </si>
  <si>
    <t>07022012</t>
  </si>
  <si>
    <t>03032012</t>
  </si>
  <si>
    <t>23092011</t>
  </si>
  <si>
    <t>19102011</t>
  </si>
  <si>
    <t>09112011</t>
  </si>
  <si>
    <t>31122011</t>
  </si>
  <si>
    <t>201112_Kilcunda Trestle Bridge Beach A14_1</t>
  </si>
  <si>
    <t>03022012</t>
  </si>
  <si>
    <t>201112_Kilcunda Trestle Bridge Beach East_1</t>
  </si>
  <si>
    <t>30092011</t>
  </si>
  <si>
    <t>03102011</t>
  </si>
  <si>
    <t>201112_Kilcunda Trestle Bridge Beach East_2</t>
  </si>
  <si>
    <t>201112_Kilcunda Trestle Bridge Beach East_3</t>
  </si>
  <si>
    <t>27122011</t>
  </si>
  <si>
    <t>25012012</t>
  </si>
  <si>
    <t>201112_Kilcunda Trestle Bridge Beach East_4</t>
  </si>
  <si>
    <t>20022012</t>
  </si>
  <si>
    <t>201112_Powlett River Mouth East Bank_2</t>
  </si>
  <si>
    <t>09012012</t>
  </si>
  <si>
    <t>201112_Powlett River Mouth East Bank_3</t>
  </si>
  <si>
    <t>01022012</t>
  </si>
  <si>
    <t>201112_Powlett River Mouth West Bank_1</t>
  </si>
  <si>
    <t>19122011</t>
  </si>
  <si>
    <t>201112_Powlett River Mouth West Bank_2</t>
  </si>
  <si>
    <t>201112_Powlett River West A16- Paperbark trk - Kilcunda_1</t>
  </si>
  <si>
    <t>201112_San Remo - Bore Beach_1</t>
  </si>
  <si>
    <t>21112011</t>
  </si>
  <si>
    <t>201112_San Remo - Bore Beach_2</t>
  </si>
  <si>
    <t>16122011</t>
  </si>
  <si>
    <t>201112_The Oaks Bay - Cape Paterson_1</t>
  </si>
  <si>
    <t>04012012</t>
  </si>
  <si>
    <t>201112_Twin Reefs -Bunurong Coast Rd_1</t>
  </si>
  <si>
    <t>201112_Williamsons Beach Further West_1</t>
  </si>
  <si>
    <t>07112011</t>
  </si>
  <si>
    <t>14112011</t>
  </si>
  <si>
    <t>201112_Williamsons Beach West_1</t>
  </si>
  <si>
    <t>201112_Williamsons Beach West_2</t>
  </si>
  <si>
    <t>200910_Cape Paterson - Pea Creek Estuary &amp; Undertow Bay_1</t>
  </si>
  <si>
    <t>Sign access temporary, Sign nest, Rope fence</t>
  </si>
  <si>
    <t>04112009</t>
  </si>
  <si>
    <t>16112009</t>
  </si>
  <si>
    <t xml:space="preserve">G/W-G/M </t>
  </si>
  <si>
    <t>One egg failed to hatch</t>
  </si>
  <si>
    <t>metal=R, white=L</t>
  </si>
  <si>
    <t>red flag=R, orange flag/metal=L</t>
  </si>
  <si>
    <t>200809_Powlett River West A16 Eastward_1</t>
  </si>
  <si>
    <t>200809_Powlett River West A16 Further West_1</t>
  </si>
  <si>
    <t>BK/LtG MT</t>
  </si>
  <si>
    <t>200809_Coal Creek Estuary Mouth - Harmers Haven_1</t>
  </si>
  <si>
    <t>Blown out</t>
  </si>
  <si>
    <t>200809_Coal Creek Estuary Mouth - Harmers Haven_2</t>
  </si>
  <si>
    <t>200809_Coal Creek Estuary Mouth - Harmers Haven_3</t>
  </si>
  <si>
    <t>Mt/Bk on right</t>
  </si>
  <si>
    <t>200809_Wilsons Rd 1st &amp; 2nd Bays West_1</t>
  </si>
  <si>
    <t>Not revisited in time to know whether fledged or failed</t>
  </si>
  <si>
    <t>200809_Wilsons Rd 1st &amp; 2nd Bays West_2</t>
  </si>
  <si>
    <t>Nest washed out and lost two eggs, recovered one egg to hatch</t>
  </si>
  <si>
    <t>O/M-Y/G</t>
  </si>
  <si>
    <t>O/M-Blk/Y (LL-RL)</t>
  </si>
  <si>
    <t>200809_The Oaks Bay - Cape Paterson_1</t>
  </si>
  <si>
    <t>200809_Cape Paterson - Pea Creek Estuary &amp; Undertow Bay_1</t>
  </si>
  <si>
    <t>Failed before clutch completion</t>
  </si>
  <si>
    <t>200809_Cape Paterson - Pea Creek Estuary &amp; Undertow Bay_2</t>
  </si>
  <si>
    <t>200809_Cape Paterson - Pea Creek Estuary &amp; Undertow Bay_3</t>
  </si>
  <si>
    <t>Sign access temporary</t>
  </si>
  <si>
    <t>Sign nest, Rope fence</t>
  </si>
  <si>
    <t>Sign access temporary, Sign nest, Rope fence,  Shelters</t>
  </si>
  <si>
    <t>Sign access temporary, Sign nest,  Rope fence</t>
  </si>
  <si>
    <t>Sign nest, Rope fence,  Shelters</t>
  </si>
  <si>
    <t>O/M-BL/Y</t>
  </si>
  <si>
    <t>O/M-Y/DG flags</t>
  </si>
  <si>
    <t>200708_The Oaks Bay - Cape Paterson_1</t>
  </si>
  <si>
    <t>2 eggs never hatched</t>
  </si>
  <si>
    <t>200708_Cape Paterson - Pea Creek Estuary &amp; Undertow Bay_1</t>
  </si>
  <si>
    <t>200708_Cape Paterson - Pea Creek Estuary &amp; Undertow Bay_2</t>
  </si>
  <si>
    <t>Sign access temporary, Sign nest, Rope fence, Shelters</t>
  </si>
  <si>
    <t>200708_Powlett River West A16 Eastward_1</t>
  </si>
  <si>
    <t>38 34 36</t>
  </si>
  <si>
    <t>145 30 20</t>
  </si>
  <si>
    <t>Sign nest</t>
  </si>
  <si>
    <t>200708_Powlett River West A16 Eastward_2</t>
  </si>
  <si>
    <t>200708_Powlett River West A16 Eastward_3</t>
  </si>
  <si>
    <t>38 34 31</t>
  </si>
  <si>
    <t>145 30 09</t>
  </si>
  <si>
    <t>200708_Powlett River West Bank Dune_1</t>
  </si>
  <si>
    <t>38 34.52</t>
  </si>
  <si>
    <t>145 30.38</t>
  </si>
  <si>
    <t>200708_Powlett River West Bank Dune_2</t>
  </si>
  <si>
    <t>200708_Powlett River West Bank Dune_3</t>
  </si>
  <si>
    <t>38 34 46.9</t>
  </si>
  <si>
    <t>145 30 29.9</t>
  </si>
  <si>
    <t>Grn/Ylw (L) Metal (R</t>
  </si>
  <si>
    <t>Orng flag (L) YlwOrng flag (R)</t>
  </si>
  <si>
    <t>200708_Powlett River West A16 Further West_2</t>
  </si>
  <si>
    <t>200708_Powlett River West A16 Further West_3</t>
  </si>
  <si>
    <t>200708_Powlett River West A16 Further West_4</t>
  </si>
  <si>
    <t>200708_Powlett River West A16 Further West_1</t>
  </si>
  <si>
    <t>200607_Cutlers Beach A20 S/East_1</t>
  </si>
  <si>
    <t>200607_Cutlers Beach A20 S/East_2</t>
  </si>
  <si>
    <t>Shelter</t>
  </si>
  <si>
    <t>200607_Coal Creek Estuary Mouth - Harmers Haven_1</t>
  </si>
  <si>
    <t>200607_Coal Creek Estuary Mouth - Harmers Haven_2</t>
  </si>
  <si>
    <t>red/yellow flag RL</t>
  </si>
  <si>
    <t>red/metal LL</t>
  </si>
  <si>
    <t>200607_Waterfall Creek - Harmers Haven_1</t>
  </si>
  <si>
    <t>Beah</t>
  </si>
  <si>
    <t>Sign access temporary, Rope fence</t>
  </si>
  <si>
    <t>200607_Waterfall Creek - Harmers Haven_2</t>
  </si>
  <si>
    <t>200607_Waterfall Creek - Harmers Haven_3</t>
  </si>
  <si>
    <t>LL green/white</t>
  </si>
  <si>
    <t>200607_Inverloch - Point Norman West_1</t>
  </si>
  <si>
    <t>200607_Inverloch - Point Norman West_2</t>
  </si>
  <si>
    <t>200607_Inverloch - Point Norman West_3</t>
  </si>
  <si>
    <t>200607_Inverloch - Point Norman West_4</t>
  </si>
  <si>
    <t>200607_Powlett River West A16 Eastward_1</t>
  </si>
  <si>
    <t>Broken shells in nest</t>
  </si>
  <si>
    <t>200608_Powlett River West A16 Eastward_2</t>
  </si>
  <si>
    <t>200607_Powlett River West Bank Dune_1</t>
  </si>
  <si>
    <t>yellow/green L, black/metal R</t>
  </si>
  <si>
    <t>200607_Powlett River West A16 Further West_1</t>
  </si>
  <si>
    <t>200607_Powlett River West A16 Further West_2</t>
  </si>
  <si>
    <t>18122006</t>
  </si>
  <si>
    <t>01012007</t>
  </si>
  <si>
    <t>17012007</t>
  </si>
  <si>
    <t>29012007</t>
  </si>
  <si>
    <t>24022007</t>
  </si>
  <si>
    <t>30102006</t>
  </si>
  <si>
    <t>29112006</t>
  </si>
  <si>
    <t>12012007</t>
  </si>
  <si>
    <t>08022007</t>
  </si>
  <si>
    <t>07122006</t>
  </si>
  <si>
    <t>31122006</t>
  </si>
  <si>
    <t>14012007</t>
  </si>
  <si>
    <t>19012007</t>
  </si>
  <si>
    <t>21012007</t>
  </si>
  <si>
    <t>12022007</t>
  </si>
  <si>
    <t>19092006</t>
  </si>
  <si>
    <t>21102006</t>
  </si>
  <si>
    <t>30112006</t>
  </si>
  <si>
    <t>04122006</t>
  </si>
  <si>
    <t>05122006</t>
  </si>
  <si>
    <t>14122006</t>
  </si>
  <si>
    <t>19122006</t>
  </si>
  <si>
    <t>04012007</t>
  </si>
  <si>
    <t>07012007</t>
  </si>
  <si>
    <t>08012007</t>
  </si>
  <si>
    <t>07112006</t>
  </si>
  <si>
    <t>11112006</t>
  </si>
  <si>
    <t>17112006</t>
  </si>
  <si>
    <t>28122006</t>
  </si>
  <si>
    <t>11012007</t>
  </si>
  <si>
    <t>01102006</t>
  </si>
  <si>
    <t>12102006</t>
  </si>
  <si>
    <t>23102006</t>
  </si>
  <si>
    <t>06012007</t>
  </si>
  <si>
    <t>13012007</t>
  </si>
  <si>
    <t>20012007</t>
  </si>
  <si>
    <t>26012007</t>
  </si>
  <si>
    <t>201112_Inverloch - Point Norman West_1</t>
  </si>
  <si>
    <t>201112_Inverloch - Point Norman West_2</t>
  </si>
  <si>
    <t>200809_Inverloch - Point Norman West_1</t>
  </si>
  <si>
    <t>200809_Inverloch - Point Norman West_2</t>
  </si>
  <si>
    <t>201213_Inverloch - Point Norman West_1</t>
  </si>
  <si>
    <t>201213_Inverloch - Point Norman West_2</t>
  </si>
  <si>
    <t>201213_Inverloch - Point Norman West_3</t>
  </si>
  <si>
    <t>201213_Inverloch - Point Norman West_4</t>
  </si>
  <si>
    <t>201314_Inverloch - Point Norman West_1</t>
  </si>
  <si>
    <t>202425_Baxters 2 Sth_1</t>
  </si>
  <si>
    <t>09102024</t>
  </si>
  <si>
    <t>202425_Baxters 2 Sth_2</t>
  </si>
  <si>
    <t>23122024</t>
  </si>
  <si>
    <t>04012025</t>
  </si>
  <si>
    <t>202425_Baxters 3 Sth_1</t>
  </si>
  <si>
    <t>28012025</t>
  </si>
  <si>
    <t>20022025</t>
  </si>
  <si>
    <t>202425_Baxters Beach A19 Wonthaggi Ocean Beach_1</t>
  </si>
  <si>
    <t>08012025</t>
  </si>
  <si>
    <t>18012025</t>
  </si>
  <si>
    <t>202425_Baxters Beach A19 Wonthaggi Ocean Beach_2</t>
  </si>
  <si>
    <t>05022025</t>
  </si>
  <si>
    <t>202425_Baxters North Wonthaggi_1</t>
  </si>
  <si>
    <t>11122024</t>
  </si>
  <si>
    <t>01012025</t>
  </si>
  <si>
    <t>202425_Baxters North Wonthaggi_2</t>
  </si>
  <si>
    <t>17022025</t>
  </si>
  <si>
    <t>202425_Baxters North Wonthaggi_3</t>
  </si>
  <si>
    <t>28022025</t>
  </si>
  <si>
    <t>202425_Cape Paterson - 2nd Surf Beach_1</t>
  </si>
  <si>
    <t>26112024</t>
  </si>
  <si>
    <t>21122024</t>
  </si>
  <si>
    <t>202425_Cape Paterson - 2nd Surf Beach_2</t>
  </si>
  <si>
    <t>24012025</t>
  </si>
  <si>
    <t>24022025</t>
  </si>
  <si>
    <t>202425_Cape Paterson - Pea Creek Estuary &amp; Undertow Bay_1</t>
  </si>
  <si>
    <t>20112024</t>
  </si>
  <si>
    <t>21112024</t>
  </si>
  <si>
    <t>202425_Cape Paterson - Pea Creek Estuary &amp; Undertow Bay_2</t>
  </si>
  <si>
    <t>20122024</t>
  </si>
  <si>
    <t>202425_Coal Creek Estuary Mouth - Harmers Haven_1</t>
  </si>
  <si>
    <t>03122024</t>
  </si>
  <si>
    <t>07122024</t>
  </si>
  <si>
    <t>13122024</t>
  </si>
  <si>
    <t>202425_Coal Creek Estuary Mouth - Harmers Haven_2</t>
  </si>
  <si>
    <t>19122024</t>
  </si>
  <si>
    <t>22122024</t>
  </si>
  <si>
    <t>28122024</t>
  </si>
  <si>
    <t>202425_Coal Creek Estuary Mouth - Harmers Haven_3</t>
  </si>
  <si>
    <t>09012025</t>
  </si>
  <si>
    <t>12012025</t>
  </si>
  <si>
    <t>202425_Coal Point 2nd Bay N/W - Harmers Haven_1</t>
  </si>
  <si>
    <t>31122024</t>
  </si>
  <si>
    <t>05012025</t>
  </si>
  <si>
    <t>202425_Cutlers Beach A20 N/West _1</t>
  </si>
  <si>
    <t>02112024</t>
  </si>
  <si>
    <t>05112024</t>
  </si>
  <si>
    <t>202425_Cutlers Beach A20 N/West _2</t>
  </si>
  <si>
    <t>02012025</t>
  </si>
  <si>
    <t>20012025</t>
  </si>
  <si>
    <t>202425_Cutlers Beach A20 S/East_1</t>
  </si>
  <si>
    <t>15012025</t>
  </si>
  <si>
    <t>27012025</t>
  </si>
  <si>
    <t>202425_Cutlers Beach A20 S/East_2</t>
  </si>
  <si>
    <t>11022025</t>
  </si>
  <si>
    <t>08032025</t>
  </si>
  <si>
    <t>202425_Cutlers Rocks Flock Site- Sth End_1</t>
  </si>
  <si>
    <t>23112024</t>
  </si>
  <si>
    <t>202425_Cutlers Rocks Flock Site- Sth End_2</t>
  </si>
  <si>
    <t>18122024</t>
  </si>
  <si>
    <t>202425_Desal Beach - Powlett River_1</t>
  </si>
  <si>
    <t>06122024</t>
  </si>
  <si>
    <t>202425_Desal Beach - Powlett River_2</t>
  </si>
  <si>
    <t>24122024</t>
  </si>
  <si>
    <t>202425_Desal Beach - Powlett River_3</t>
  </si>
  <si>
    <t>14012025</t>
  </si>
  <si>
    <t>29012025</t>
  </si>
  <si>
    <t>202425_Desal Beach - Powlett River_4</t>
  </si>
  <si>
    <t>14022025</t>
  </si>
  <si>
    <t>22022025</t>
  </si>
  <si>
    <t>202425_Harmers Haven - 1st Bay West of A21 Steps_1</t>
  </si>
  <si>
    <t>09122024</t>
  </si>
  <si>
    <t>16122024</t>
  </si>
  <si>
    <t>202425_Harmers Haven - 1st Bay West of A21 Steps_3</t>
  </si>
  <si>
    <t>202425_Harmers Haven - 1st Bay West of A21 Steps_2</t>
  </si>
  <si>
    <t>202425_Harmers Haven - 1st Bay West of A21 Steps_4</t>
  </si>
  <si>
    <t>202425_Inverloch - Abbott St_1</t>
  </si>
  <si>
    <t>202425_Kilcunda Trestle Bridge Beach East_1</t>
  </si>
  <si>
    <t>16092024</t>
  </si>
  <si>
    <t>15102024</t>
  </si>
  <si>
    <t>202425_Kilcunda Trestle Bridge Beach East_2</t>
  </si>
  <si>
    <t>11112024</t>
  </si>
  <si>
    <t>17112024</t>
  </si>
  <si>
    <t>202425_Kilcunda Trestle Bridge Beach East_3</t>
  </si>
  <si>
    <t>30122024</t>
  </si>
  <si>
    <t>202425_Powlett River Mouth West Bank_1</t>
  </si>
  <si>
    <t>17012025</t>
  </si>
  <si>
    <t>202425_Powlett River West A16 Further West_1</t>
  </si>
  <si>
    <t>12122024</t>
  </si>
  <si>
    <t>10012025</t>
  </si>
  <si>
    <t>202425_Powlett River West A16 Further West_2</t>
  </si>
  <si>
    <t>10022025</t>
  </si>
  <si>
    <t>202425_Powlett River West A16- Paperbark trk - Kilcunda_1</t>
  </si>
  <si>
    <t>27122024</t>
  </si>
  <si>
    <t>202425_Powlett River West Bank Dune_1</t>
  </si>
  <si>
    <t>18092024</t>
  </si>
  <si>
    <t>23092024</t>
  </si>
  <si>
    <t>30092024</t>
  </si>
  <si>
    <t>202425_Powlett River West A16 Eastward_2</t>
  </si>
  <si>
    <t>08102024</t>
  </si>
  <si>
    <t>11102024</t>
  </si>
  <si>
    <t>16102024</t>
  </si>
  <si>
    <t>202425_Powlett River West A16 Eastward_3</t>
  </si>
  <si>
    <t>202425_The Oaks Bay - Cape Paterson_1</t>
  </si>
  <si>
    <t>202425_The Oaks Bay - Cape Paterson_2</t>
  </si>
  <si>
    <t>17122024</t>
  </si>
  <si>
    <t>03012025</t>
  </si>
  <si>
    <t>202425_Twin Reefs - Bunurong Coast Rd_3</t>
  </si>
  <si>
    <t>31012025</t>
  </si>
  <si>
    <t>27022025</t>
  </si>
  <si>
    <t>202425_Williamsons Beach A18 East - Wonthaggi_1</t>
  </si>
  <si>
    <t>06112024</t>
  </si>
  <si>
    <t>10112024</t>
  </si>
  <si>
    <t>202425_Williamsons Beach A18 East - Wonthaggi_2</t>
  </si>
  <si>
    <t>13022025</t>
  </si>
  <si>
    <t>25022025</t>
  </si>
  <si>
    <t>03032025</t>
  </si>
  <si>
    <t>202425_Williamsons Beach Further East_1</t>
  </si>
  <si>
    <t>202425_Williamsons Beach Further East_2</t>
  </si>
  <si>
    <t>202425_Williamsons Beach Further East_3</t>
  </si>
  <si>
    <t>202425_Williamsons Beach Further East_4</t>
  </si>
  <si>
    <t>23012025</t>
  </si>
  <si>
    <t>202425_Williamsons Beach Further West_1</t>
  </si>
  <si>
    <t>13092024</t>
  </si>
  <si>
    <t>202425_Williamsons Beach Further West_2</t>
  </si>
  <si>
    <t>202425_Williamsons Beach Further West_3</t>
  </si>
  <si>
    <t>202425_Williamsons Beach Further West_4</t>
  </si>
  <si>
    <t>07022025</t>
  </si>
  <si>
    <t>202425_Williamsons Beach West_1</t>
  </si>
  <si>
    <t>24092024</t>
  </si>
  <si>
    <t>202425_Williamsons Beach West_2</t>
  </si>
  <si>
    <t>02102024</t>
  </si>
  <si>
    <t>03102024</t>
  </si>
  <si>
    <t>202425_Williamsons Beach West_3</t>
  </si>
  <si>
    <t>202425_Williamsons Beach West_4</t>
  </si>
  <si>
    <t>202425_Wilsons Rd 1st &amp; 2nd Bays West_1</t>
  </si>
  <si>
    <t>202425_Wilsons Rd 2nd Bay West End_1</t>
  </si>
  <si>
    <t>202425_Wilsons Rd 2nd Bay West End_2</t>
  </si>
  <si>
    <t>202425_Wreck Beach - Harmers Haven_1</t>
  </si>
  <si>
    <t>202425_Waterfall Creek - Harmers Haven_2</t>
  </si>
  <si>
    <t>202425_Waterfall Creek - Harmers Haven_3</t>
  </si>
  <si>
    <t>16012025</t>
  </si>
  <si>
    <t>202425_Wreck Beach - Harmers Haven_4</t>
  </si>
  <si>
    <t>01022025</t>
  </si>
  <si>
    <t>202425_Waterfall Creek - Harmers Haven_5</t>
  </si>
  <si>
    <t>09022025</t>
  </si>
  <si>
    <t>10032025</t>
  </si>
  <si>
    <t>Coal Creek Estuary Mouth - Harmers Haven - check fledging with GM</t>
  </si>
  <si>
    <t>../.mt</t>
  </si>
  <si>
    <t>Rmt/.Bk</t>
  </si>
  <si>
    <t>145 35.529</t>
  </si>
  <si>
    <t>Omt/BkY</t>
  </si>
  <si>
    <t>Sign nest, Rope fence, Shelters</t>
  </si>
  <si>
    <t>mt/GO</t>
  </si>
  <si>
    <t>Omt/WG</t>
  </si>
  <si>
    <t>Predation</t>
  </si>
  <si>
    <t>38°35’40.9”</t>
  </si>
  <si>
    <t>145°31’22.0”</t>
  </si>
  <si>
    <t>PU</t>
  </si>
  <si>
    <t>BD</t>
  </si>
  <si>
    <t>201011_Coal Creek Estuary Mouth - Harmers Haven - check fledging with GM_1</t>
  </si>
  <si>
    <t>201011_Coal Creek Estuary Mouth - Harmers Haven_1</t>
  </si>
  <si>
    <t>201011_Wilsons Rd 3rd Bay West_1</t>
  </si>
  <si>
    <t>201011_Wilsons Rd 3rd Bay West_2</t>
  </si>
  <si>
    <t>201011_Wilsons Rd 3rd Bay West_3</t>
  </si>
  <si>
    <t>201011_Cape Paterson - Pea Creek Estuary &amp; Undertow Bay_1</t>
  </si>
  <si>
    <t>201011_Cape Paterson - Pea Creek Estuary &amp; Undertow Bay_2</t>
  </si>
  <si>
    <t>201011_Cape Paterson - Pea Creek Estuary &amp; Undertow Bay_3</t>
  </si>
  <si>
    <t>201011_Twin Reefs -Bunurong Coast Rd_1</t>
  </si>
  <si>
    <t>201011_The Oaks Bay - Cape Paterson_1</t>
  </si>
  <si>
    <t>201011_Cape Paterson - 2nd Surf Beach_1</t>
  </si>
  <si>
    <t>201011_Cape Paterson - 2nd Surf Beach_2</t>
  </si>
  <si>
    <t>201011_Williamsons Beach West_1</t>
  </si>
  <si>
    <t>201011_Williamsons Beach West_2</t>
  </si>
  <si>
    <t>201011_Williamsons Beach West_3</t>
  </si>
  <si>
    <t>201011_Williamsons Beach Further West_1</t>
  </si>
  <si>
    <t>201011_Williamsons Beach Further West_2</t>
  </si>
  <si>
    <t>201011_Williamsons Beach Further West_3</t>
  </si>
  <si>
    <t>201011_Powlett River Mouth East Bank_1</t>
  </si>
  <si>
    <t>18012011</t>
  </si>
  <si>
    <t>02012011</t>
  </si>
  <si>
    <t>17012011</t>
  </si>
  <si>
    <t>26012011</t>
  </si>
  <si>
    <t>09012011</t>
  </si>
  <si>
    <t>04112010</t>
  </si>
  <si>
    <t>14122010</t>
  </si>
  <si>
    <t>06022011</t>
  </si>
  <si>
    <t>24102010</t>
  </si>
  <si>
    <t>11022011</t>
  </si>
  <si>
    <t>19112010</t>
  </si>
  <si>
    <t>03122010</t>
  </si>
  <si>
    <t>09112010</t>
  </si>
  <si>
    <t>30112010</t>
  </si>
  <si>
    <t>13122010</t>
  </si>
  <si>
    <t>12012011</t>
  </si>
  <si>
    <t>06122010</t>
  </si>
  <si>
    <t>18112010</t>
  </si>
  <si>
    <t>26122010</t>
  </si>
  <si>
    <t>24112010</t>
  </si>
  <si>
    <t>29112010</t>
  </si>
  <si>
    <t>13032011</t>
  </si>
  <si>
    <t>25112010</t>
  </si>
  <si>
    <t>15112010</t>
  </si>
  <si>
    <t>17112010</t>
  </si>
  <si>
    <t>22112010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</si>
</sst>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d/mm/yyyy;@"/>
    <numFmt numFmtId="166" formatCode="0.00000"/>
    <numFmt numFmtId="167" formatCode="d/mm/yy;@"/>
    <numFmt numFmtId="168" formatCode="dd/mm/yyyy"/>
  </numFmts>
  <fonts count="27" x14ac:knownFonts="1">
    <font>
      <sz val="11"/>
      <color theme="1"/>
      <name val="Aptos Narrow"/>
      <family val="2"/>
      <scheme val="minor"/>
    </font>
    <font>
      <b/>
      <sz val="11"/>
      <color theme="1"/>
      <name val="Aptos Narrow"/>
      <family val="2"/>
      <scheme val="minor"/>
    </font>
    <font>
      <sz val="12"/>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b/>
      <sz val="18"/>
      <color theme="3"/>
      <name val="Aptos Display"/>
      <family val="2"/>
      <scheme val="major"/>
    </font>
    <font>
      <sz val="11"/>
      <color rgb="FF9C6500"/>
      <name val="Aptos Narrow"/>
      <family val="2"/>
      <scheme val="minor"/>
    </font>
    <font>
      <sz val="8"/>
      <name val="Aptos Narrow"/>
      <family val="2"/>
      <scheme val="minor"/>
    </font>
    <font>
      <sz val="11"/>
      <name val="Aptos Narrow"/>
      <family val="2"/>
      <scheme val="minor"/>
    </font>
    <font>
      <sz val="10"/>
      <name val="Verdana"/>
      <family val="2"/>
    </font>
    <font>
      <sz val="10"/>
      <name val="Arial"/>
      <family val="2"/>
    </font>
    <font>
      <sz val="10"/>
      <color theme="1"/>
      <name val="Verdana"/>
      <family val="2"/>
    </font>
    <font>
      <sz val="11"/>
      <color theme="1"/>
      <name val="Aptos"/>
      <family val="2"/>
    </font>
  </fonts>
  <fills count="35">
    <fill>
      <patternFill patternType="none"/>
    </fill>
    <fill>
      <patternFill patternType="gray125"/>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6">
    <border>
      <left/>
      <right/>
      <top/>
      <bottom/>
      <diagonal/>
    </border>
    <border>
      <left/>
      <right/>
      <top/>
      <bottom style="thin">
        <color indexed="64"/>
      </bottom>
      <diagonal/>
    </border>
    <border>
      <left/>
      <right/>
      <top/>
      <bottom style="thin">
        <color rgb="FF00000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9.9978637043366805E-2"/>
      </left>
      <right style="thin">
        <color theme="2" tint="-9.9978637043366805E-2"/>
      </right>
      <top style="thin">
        <color theme="9"/>
      </top>
      <bottom style="thin">
        <color theme="2" tint="-9.9978637043366805E-2"/>
      </bottom>
      <diagonal/>
    </border>
    <border>
      <left style="thin">
        <color theme="2" tint="-9.9978637043366805E-2"/>
      </left>
      <right style="thin">
        <color theme="2" tint="-9.9978637043366805E-2"/>
      </right>
      <top style="thin">
        <color indexed="64"/>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indexed="64"/>
      </bottom>
      <diagonal/>
    </border>
  </borders>
  <cellStyleXfs count="52">
    <xf numFmtId="0" fontId="0" fillId="0" borderId="0"/>
    <xf numFmtId="0" fontId="2" fillId="0" borderId="0"/>
    <xf numFmtId="0" fontId="4" fillId="0" borderId="0" applyNumberFormat="0" applyFill="0" applyBorder="0" applyAlignment="0" applyProtection="0"/>
    <xf numFmtId="0" fontId="5" fillId="0" borderId="4" applyNumberFormat="0" applyFill="0" applyAlignment="0" applyProtection="0"/>
    <xf numFmtId="0" fontId="6" fillId="0" borderId="5" applyNumberFormat="0" applyFill="0" applyAlignment="0" applyProtection="0"/>
    <xf numFmtId="0" fontId="7" fillId="0" borderId="6"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7" applyNumberFormat="0" applyAlignment="0" applyProtection="0"/>
    <xf numFmtId="0" fontId="12" fillId="7" borderId="8" applyNumberFormat="0" applyAlignment="0" applyProtection="0"/>
    <xf numFmtId="0" fontId="13" fillId="7" borderId="7" applyNumberFormat="0" applyAlignment="0" applyProtection="0"/>
    <xf numFmtId="0" fontId="14" fillId="0" borderId="9" applyNumberFormat="0" applyFill="0" applyAlignment="0" applyProtection="0"/>
    <xf numFmtId="0" fontId="15" fillId="8" borderId="10" applyNumberFormat="0" applyAlignment="0" applyProtection="0"/>
    <xf numFmtId="0" fontId="16" fillId="0" borderId="0" applyNumberFormat="0" applyFill="0" applyBorder="0" applyAlignment="0" applyProtection="0"/>
    <xf numFmtId="0" fontId="3" fillId="9" borderId="11" applyNumberFormat="0" applyFont="0" applyAlignment="0" applyProtection="0"/>
    <xf numFmtId="0" fontId="17" fillId="0" borderId="0" applyNumberFormat="0" applyFill="0" applyBorder="0" applyAlignment="0" applyProtection="0"/>
    <xf numFmtId="0" fontId="1" fillId="0" borderId="12" applyNumberFormat="0" applyFill="0" applyAlignment="0" applyProtection="0"/>
    <xf numFmtId="0" fontId="18"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8"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8"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8"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8"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8"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9" fillId="0" borderId="0" applyNumberFormat="0" applyFill="0" applyBorder="0" applyAlignment="0" applyProtection="0"/>
    <xf numFmtId="0" fontId="20" fillId="5"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8" fillId="33" borderId="0" applyNumberFormat="0" applyBorder="0" applyAlignment="0" applyProtection="0"/>
    <xf numFmtId="0" fontId="3" fillId="0" borderId="0"/>
  </cellStyleXfs>
  <cellXfs count="58">
    <xf numFmtId="0" fontId="0" fillId="0" borderId="0" xfId="0"/>
    <xf numFmtId="14" fontId="0" fillId="0" borderId="0" xfId="0" applyNumberFormat="1"/>
    <xf numFmtId="0" fontId="1" fillId="0" borderId="1" xfId="0" applyFont="1" applyBorder="1"/>
    <xf numFmtId="0" fontId="0" fillId="0" borderId="1" xfId="0" applyBorder="1"/>
    <xf numFmtId="164" fontId="0" fillId="0" borderId="0" xfId="0" applyNumberFormat="1"/>
    <xf numFmtId="164" fontId="1" fillId="0" borderId="1" xfId="0" applyNumberFormat="1" applyFont="1" applyBorder="1"/>
    <xf numFmtId="165" fontId="1" fillId="0" borderId="1" xfId="0" applyNumberFormat="1" applyFont="1" applyBorder="1" applyAlignment="1">
      <alignment horizontal="left"/>
    </xf>
    <xf numFmtId="165" fontId="0" fillId="0" borderId="0" xfId="0" applyNumberFormat="1" applyAlignment="1">
      <alignment horizontal="left"/>
    </xf>
    <xf numFmtId="165" fontId="0" fillId="0" borderId="0" xfId="1" applyNumberFormat="1" applyFont="1"/>
    <xf numFmtId="0" fontId="1" fillId="0" borderId="3" xfId="0" applyFont="1" applyBorder="1" applyAlignment="1">
      <alignment horizontal="left"/>
    </xf>
    <xf numFmtId="0" fontId="1" fillId="0" borderId="0" xfId="0" applyFont="1" applyAlignment="1">
      <alignment horizontal="left"/>
    </xf>
    <xf numFmtId="0" fontId="0" fillId="0" borderId="0" xfId="0" applyAlignment="1">
      <alignment horizontal="left"/>
    </xf>
    <xf numFmtId="0" fontId="1" fillId="0" borderId="1" xfId="0" applyFont="1" applyBorder="1" applyAlignment="1">
      <alignment horizontal="left"/>
    </xf>
    <xf numFmtId="14" fontId="0" fillId="0" borderId="0" xfId="0" applyNumberFormat="1" applyAlignment="1">
      <alignment horizontal="left"/>
    </xf>
    <xf numFmtId="0" fontId="1" fillId="0" borderId="13" xfId="0" applyFont="1" applyBorder="1" applyAlignment="1">
      <alignment horizontal="left"/>
    </xf>
    <xf numFmtId="0" fontId="0" fillId="0" borderId="1" xfId="0" applyBorder="1" applyAlignment="1">
      <alignment horizontal="left"/>
    </xf>
    <xf numFmtId="0" fontId="1" fillId="0" borderId="14" xfId="0" applyFont="1" applyBorder="1" applyAlignment="1">
      <alignment horizontal="left"/>
    </xf>
    <xf numFmtId="0" fontId="0" fillId="2" borderId="0" xfId="0" applyFill="1" applyAlignment="1">
      <alignment horizontal="left"/>
    </xf>
    <xf numFmtId="0" fontId="1" fillId="2" borderId="1" xfId="0" applyFont="1" applyFill="1" applyBorder="1" applyAlignment="1">
      <alignment horizontal="left"/>
    </xf>
    <xf numFmtId="16" fontId="0" fillId="0" borderId="0" xfId="0" applyNumberFormat="1" applyAlignment="1">
      <alignment horizontal="left"/>
    </xf>
    <xf numFmtId="0" fontId="1" fillId="0" borderId="2" xfId="0" applyFont="1" applyBorder="1" applyAlignment="1">
      <alignment horizontal="left"/>
    </xf>
    <xf numFmtId="164" fontId="1" fillId="0" borderId="1" xfId="0" applyNumberFormat="1" applyFont="1" applyBorder="1" applyAlignment="1">
      <alignment horizontal="left"/>
    </xf>
    <xf numFmtId="164" fontId="1" fillId="0" borderId="2" xfId="0" applyNumberFormat="1" applyFont="1" applyBorder="1" applyAlignment="1">
      <alignment horizontal="left"/>
    </xf>
    <xf numFmtId="164" fontId="0" fillId="0" borderId="0" xfId="0" applyNumberFormat="1" applyAlignment="1">
      <alignment horizontal="left"/>
    </xf>
    <xf numFmtId="0" fontId="0" fillId="0" borderId="0" xfId="0" applyAlignment="1">
      <alignment vertical="center"/>
    </xf>
    <xf numFmtId="0" fontId="0" fillId="0" borderId="0" xfId="0" applyAlignment="1">
      <alignment horizontal="left" vertical="center"/>
    </xf>
    <xf numFmtId="49" fontId="0" fillId="0" borderId="0" xfId="0" applyNumberFormat="1" applyAlignment="1">
      <alignment horizontal="left"/>
    </xf>
    <xf numFmtId="49" fontId="0" fillId="0" borderId="0" xfId="0" applyNumberFormat="1"/>
    <xf numFmtId="0" fontId="22" fillId="0" borderId="0" xfId="0" applyFont="1" applyAlignment="1">
      <alignment horizontal="left"/>
    </xf>
    <xf numFmtId="14" fontId="22" fillId="0" borderId="0" xfId="0" applyNumberFormat="1" applyFont="1" applyAlignment="1">
      <alignment horizontal="left"/>
    </xf>
    <xf numFmtId="14" fontId="0" fillId="0" borderId="1" xfId="0" applyNumberFormat="1" applyBorder="1" applyAlignment="1">
      <alignment horizontal="left"/>
    </xf>
    <xf numFmtId="0" fontId="23" fillId="0" borderId="0" xfId="0" applyFont="1" applyAlignment="1">
      <alignment horizontal="left"/>
    </xf>
    <xf numFmtId="166" fontId="22" fillId="0" borderId="0" xfId="0" applyNumberFormat="1" applyFont="1" applyAlignment="1">
      <alignment horizontal="left"/>
    </xf>
    <xf numFmtId="0" fontId="22" fillId="0" borderId="0" xfId="51" applyFont="1" applyAlignment="1">
      <alignment horizontal="left"/>
    </xf>
    <xf numFmtId="14" fontId="22" fillId="0" borderId="0" xfId="51" applyNumberFormat="1" applyFont="1" applyAlignment="1">
      <alignment horizontal="left"/>
    </xf>
    <xf numFmtId="49" fontId="22" fillId="0" borderId="0" xfId="0" applyNumberFormat="1" applyFont="1" applyAlignment="1">
      <alignment horizontal="left"/>
    </xf>
    <xf numFmtId="14" fontId="0" fillId="0" borderId="0" xfId="0" applyNumberFormat="1" applyAlignment="1">
      <alignment horizontal="left" vertical="top"/>
    </xf>
    <xf numFmtId="166" fontId="22" fillId="0" borderId="0" xfId="51" applyNumberFormat="1" applyFont="1" applyAlignment="1">
      <alignment horizontal="left"/>
    </xf>
    <xf numFmtId="0" fontId="24" fillId="0" borderId="0" xfId="0" applyFont="1" applyAlignment="1">
      <alignment horizontal="left"/>
    </xf>
    <xf numFmtId="166" fontId="0" fillId="0" borderId="0" xfId="0" applyNumberFormat="1" applyAlignment="1">
      <alignment horizontal="left"/>
    </xf>
    <xf numFmtId="0" fontId="3" fillId="0" borderId="0" xfId="51"/>
    <xf numFmtId="14" fontId="3" fillId="0" borderId="0" xfId="51" applyNumberFormat="1"/>
    <xf numFmtId="0" fontId="22" fillId="0" borderId="0" xfId="0" applyFont="1"/>
    <xf numFmtId="0" fontId="22" fillId="0" borderId="0" xfId="51" applyFont="1"/>
    <xf numFmtId="14" fontId="22" fillId="0" borderId="0" xfId="51" applyNumberFormat="1" applyFont="1"/>
    <xf numFmtId="14" fontId="22" fillId="0" borderId="0" xfId="0" applyNumberFormat="1" applyFont="1"/>
    <xf numFmtId="0" fontId="0" fillId="0" borderId="0" xfId="51" applyFont="1"/>
    <xf numFmtId="14" fontId="0" fillId="0" borderId="0" xfId="51" applyNumberFormat="1" applyFont="1" applyAlignment="1">
      <alignment horizontal="left"/>
    </xf>
    <xf numFmtId="0" fontId="0" fillId="0" borderId="0" xfId="51" applyFont="1" applyAlignment="1">
      <alignment horizontal="left"/>
    </xf>
    <xf numFmtId="0" fontId="1" fillId="0" borderId="15" xfId="0" applyFont="1" applyBorder="1" applyAlignment="1">
      <alignment horizontal="left"/>
    </xf>
    <xf numFmtId="0" fontId="0" fillId="0" borderId="0" xfId="0" applyAlignment="1">
      <alignment horizontal="left" vertical="top"/>
    </xf>
    <xf numFmtId="167" fontId="0" fillId="0" borderId="0" xfId="0" applyNumberFormat="1" applyAlignment="1">
      <alignment horizontal="left"/>
    </xf>
    <xf numFmtId="167" fontId="22" fillId="0" borderId="0" xfId="0" applyNumberFormat="1" applyFont="1" applyAlignment="1">
      <alignment horizontal="left"/>
    </xf>
    <xf numFmtId="168" fontId="0" fillId="0" borderId="0" xfId="0" applyNumberFormat="1" applyAlignment="1">
      <alignment horizontal="left"/>
    </xf>
    <xf numFmtId="0" fontId="0" fillId="34" borderId="0" xfId="0" applyFill="1" applyAlignment="1">
      <alignment horizontal="left"/>
    </xf>
    <xf numFmtId="0" fontId="25" fillId="0" borderId="0" xfId="0" applyFont="1" applyAlignment="1">
      <alignment horizontal="left"/>
    </xf>
    <xf numFmtId="166" fontId="0" fillId="0" borderId="0" xfId="51" applyNumberFormat="1" applyFont="1" applyAlignment="1">
      <alignment horizontal="left"/>
    </xf>
    <xf numFmtId="0" fontId="26" fillId="0" borderId="0" xfId="0" applyFont="1" applyAlignment="1">
      <alignment horizontal="left"/>
    </xf>
  </cellXfs>
  <cellStyles count="52">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1 2" xfId="45" xr:uid="{0C3D110A-AD3C-45FA-8C1F-EE35640F4854}"/>
    <cellStyle name="60% - Accent2" xfId="26" builtinId="36" customBuiltin="1"/>
    <cellStyle name="60% - Accent2 2" xfId="46" xr:uid="{CD061B0B-1AF5-4C74-8B11-47D5789510FD}"/>
    <cellStyle name="60% - Accent3" xfId="30" builtinId="40" customBuiltin="1"/>
    <cellStyle name="60% - Accent3 2" xfId="47" xr:uid="{8DBAB1DF-D824-4DE5-87F1-B447FF8A485D}"/>
    <cellStyle name="60% - Accent4" xfId="34" builtinId="44" customBuiltin="1"/>
    <cellStyle name="60% - Accent4 2" xfId="48" xr:uid="{52A1B40B-5D78-4670-9755-11C77851E26C}"/>
    <cellStyle name="60% - Accent5" xfId="38" builtinId="48" customBuiltin="1"/>
    <cellStyle name="60% - Accent5 2" xfId="49" xr:uid="{C428EAF9-405E-41AE-AD11-71515A7129D5}"/>
    <cellStyle name="60% - Accent6" xfId="42" builtinId="52" customBuiltin="1"/>
    <cellStyle name="60% - Accent6 2" xfId="50" xr:uid="{63EE98CD-98BD-4ED7-B491-C3FB2A0BC9A5}"/>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eutral 2" xfId="44" xr:uid="{23854DBE-0D05-4C60-9A77-2306FCCEA4EA}"/>
    <cellStyle name="Normal" xfId="0" builtinId="0"/>
    <cellStyle name="Normal 2" xfId="1" xr:uid="{8572BE6E-6ABC-454C-9E2F-040202FDE321}"/>
    <cellStyle name="Normal 3" xfId="51" xr:uid="{55EA5C19-1348-4E40-AAA5-9468761CBB4A}"/>
    <cellStyle name="Note" xfId="16" builtinId="10" customBuiltin="1"/>
    <cellStyle name="Output" xfId="11" builtinId="21" customBuiltin="1"/>
    <cellStyle name="Title" xfId="2" builtinId="15" customBuiltin="1"/>
    <cellStyle name="Title 2" xfId="43" xr:uid="{E53DAB4A-81AC-482D-95CA-435709BC7D66}"/>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9E6B-8592-4D6B-AE5D-BF6E36216A4E}">
  <dimension ref="A1:CB68"/>
  <sheetViews>
    <sheetView zoomScale="80" zoomScaleNormal="80" workbookViewId="0">
      <pane xSplit="9" ySplit="1" topLeftCell="J29" activePane="bottomRight" state="frozen"/>
      <selection pane="topRight" activeCell="J1" sqref="J1"/>
      <selection pane="bottomLeft" activeCell="A2" sqref="A2"/>
      <selection pane="bottomRight" activeCell="C58" sqref="C58"/>
    </sheetView>
  </sheetViews>
  <sheetFormatPr defaultRowHeight="15" x14ac:dyDescent="0.25"/>
  <cols>
    <col min="1" max="1" width="7.7109375" style="11" bestFit="1" customWidth="1"/>
    <col min="2" max="2" width="6.140625" style="11" customWidth="1"/>
    <col min="3" max="3" width="46.85546875" style="11" customWidth="1"/>
    <col min="4" max="6" width="9.140625" style="11"/>
    <col min="7" max="7" width="7.42578125" style="11" customWidth="1"/>
    <col min="8" max="8" width="46.7109375" style="11" customWidth="1"/>
    <col min="9" max="9" width="18.7109375" style="11" customWidth="1"/>
    <col min="10" max="10" width="7.42578125" style="11" bestFit="1" customWidth="1"/>
    <col min="11" max="11" width="9.5703125" style="11" bestFit="1" customWidth="1"/>
    <col min="12" max="12" width="8" style="11" bestFit="1" customWidth="1"/>
    <col min="13" max="13" width="23.5703125" style="11" bestFit="1" customWidth="1"/>
    <col min="14" max="21" width="9.140625" style="11"/>
    <col min="22" max="22" width="12.140625" style="11" customWidth="1"/>
    <col min="23" max="26" width="9.140625" style="11"/>
    <col min="27" max="27" width="12.42578125" style="11" customWidth="1"/>
    <col min="28" max="28" width="8.42578125" style="11" bestFit="1" customWidth="1"/>
    <col min="29" max="29" width="9.5703125" style="11" bestFit="1" customWidth="1"/>
    <col min="30" max="30" width="8.42578125" style="11" bestFit="1" customWidth="1"/>
    <col min="31" max="31" width="27" style="11" bestFit="1" customWidth="1"/>
    <col min="32" max="32" width="15.7109375" style="11" customWidth="1"/>
    <col min="33" max="33" width="15.42578125" style="11" customWidth="1"/>
    <col min="34" max="34" width="8.42578125" style="11" bestFit="1" customWidth="1"/>
    <col min="35" max="35" width="9.5703125" style="11" bestFit="1" customWidth="1"/>
    <col min="36" max="36" width="8.42578125" style="11" bestFit="1" customWidth="1"/>
    <col min="37" max="37" width="25.5703125" style="11" bestFit="1" customWidth="1"/>
    <col min="38" max="41" width="9.140625" style="11"/>
    <col min="42" max="42" width="12.7109375" style="11" customWidth="1"/>
    <col min="43" max="46" width="9.140625" style="11"/>
    <col min="47" max="47" width="13.42578125" style="11" customWidth="1"/>
    <col min="48" max="48" width="11.85546875" style="11" customWidth="1"/>
    <col min="49" max="52" width="9.140625" style="11"/>
    <col min="53" max="53" width="11.140625" style="11" customWidth="1"/>
    <col min="54" max="54" width="11.5703125" style="11" customWidth="1"/>
    <col min="55" max="58" width="9.140625" style="11"/>
    <col min="59" max="59" width="12.5703125" style="11" customWidth="1"/>
    <col min="60" max="60" width="11.85546875" style="11" customWidth="1"/>
    <col min="61" max="68" width="9.140625" style="11"/>
    <col min="69" max="69" width="11.7109375" style="11" customWidth="1"/>
    <col min="70" max="72" width="9.140625" style="11"/>
    <col min="73" max="73" width="48" style="11" bestFit="1" customWidth="1"/>
    <col min="74" max="74" width="20.7109375" style="11" bestFit="1" customWidth="1"/>
    <col min="75" max="76" width="9.140625" style="11"/>
    <col min="77" max="77" width="64.85546875" style="11" bestFit="1" customWidth="1"/>
    <col min="78" max="78" width="20.7109375" style="11" bestFit="1" customWidth="1"/>
    <col min="79" max="16384" width="9.140625" style="11"/>
  </cols>
  <sheetData>
    <row r="1" spans="1:80" x14ac:dyDescent="0.25">
      <c r="A1" s="12" t="s">
        <v>0</v>
      </c>
      <c r="B1" s="12" t="s">
        <v>139</v>
      </c>
      <c r="C1" s="9" t="s">
        <v>231</v>
      </c>
      <c r="D1" s="12" t="s">
        <v>1</v>
      </c>
      <c r="E1" s="12" t="s">
        <v>2</v>
      </c>
      <c r="F1" s="9" t="s">
        <v>118</v>
      </c>
      <c r="G1" s="12" t="s">
        <v>141</v>
      </c>
      <c r="H1" s="9" t="s">
        <v>593</v>
      </c>
      <c r="I1" s="12" t="s">
        <v>142</v>
      </c>
      <c r="J1" s="12" t="s">
        <v>589</v>
      </c>
      <c r="K1" s="12" t="s">
        <v>590</v>
      </c>
      <c r="L1" s="12" t="s">
        <v>591</v>
      </c>
      <c r="M1" s="9" t="s">
        <v>592</v>
      </c>
      <c r="N1" s="12" t="s">
        <v>143</v>
      </c>
      <c r="O1" s="12" t="s">
        <v>3</v>
      </c>
      <c r="P1" s="2" t="s">
        <v>212</v>
      </c>
      <c r="Q1" s="2"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4" t="s">
        <v>596</v>
      </c>
      <c r="BV1" s="12" t="s">
        <v>232</v>
      </c>
      <c r="BW1" s="12" t="s">
        <v>221</v>
      </c>
      <c r="BX1" s="12" t="s">
        <v>191</v>
      </c>
      <c r="BY1" s="14" t="s">
        <v>597</v>
      </c>
      <c r="BZ1" s="12" t="s">
        <v>232</v>
      </c>
      <c r="CA1" s="12" t="s">
        <v>192</v>
      </c>
      <c r="CB1" s="12" t="s">
        <v>193</v>
      </c>
    </row>
    <row r="2" spans="1:80" x14ac:dyDescent="0.25">
      <c r="A2" s="11">
        <v>202425</v>
      </c>
      <c r="B2" s="11" t="s">
        <v>233</v>
      </c>
      <c r="C2" s="11" t="s">
        <v>577</v>
      </c>
      <c r="D2" s="11" t="s">
        <v>234</v>
      </c>
      <c r="E2" s="11" t="s">
        <v>235</v>
      </c>
      <c r="F2" s="11">
        <v>1</v>
      </c>
      <c r="G2" s="11" t="s">
        <v>236</v>
      </c>
      <c r="H2" s="11" t="s">
        <v>2725</v>
      </c>
      <c r="I2" s="13">
        <v>45574</v>
      </c>
      <c r="J2" s="11">
        <v>9</v>
      </c>
      <c r="K2" s="11">
        <v>10</v>
      </c>
      <c r="L2" s="11">
        <v>2024</v>
      </c>
      <c r="M2" s="11" t="s">
        <v>2726</v>
      </c>
      <c r="N2" s="11" t="s">
        <v>29</v>
      </c>
      <c r="O2" s="11" t="s">
        <v>10</v>
      </c>
      <c r="P2" s="11" t="s">
        <v>588</v>
      </c>
      <c r="Q2" s="11" t="s">
        <v>588</v>
      </c>
      <c r="R2" s="11">
        <v>-38.61721</v>
      </c>
      <c r="S2" s="11">
        <v>145.542877</v>
      </c>
      <c r="T2" s="11">
        <v>1</v>
      </c>
      <c r="U2" s="11">
        <v>3</v>
      </c>
      <c r="V2" s="11" t="s">
        <v>588</v>
      </c>
      <c r="W2" s="11" t="s">
        <v>588</v>
      </c>
      <c r="X2" s="11">
        <v>1</v>
      </c>
      <c r="Y2" s="11">
        <v>1</v>
      </c>
      <c r="Z2" s="11" t="s">
        <v>41</v>
      </c>
      <c r="AA2" s="13">
        <v>45574</v>
      </c>
      <c r="AB2" s="11">
        <v>9</v>
      </c>
      <c r="AC2" s="11">
        <v>10</v>
      </c>
      <c r="AD2" s="11">
        <v>2024</v>
      </c>
      <c r="AE2" s="13" t="s">
        <v>2726</v>
      </c>
      <c r="AF2" s="11" t="s">
        <v>29</v>
      </c>
      <c r="AG2" s="13">
        <v>45574</v>
      </c>
      <c r="AH2" s="11">
        <v>9</v>
      </c>
      <c r="AI2" s="11">
        <v>10</v>
      </c>
      <c r="AJ2" s="11">
        <v>2024</v>
      </c>
      <c r="AK2" s="13" t="s">
        <v>2726</v>
      </c>
      <c r="AL2" s="11" t="s">
        <v>29</v>
      </c>
      <c r="AM2" s="11" t="s">
        <v>20</v>
      </c>
      <c r="AN2" s="11" t="s">
        <v>588</v>
      </c>
      <c r="AO2" s="11" t="s">
        <v>11</v>
      </c>
      <c r="AP2" s="11" t="s">
        <v>588</v>
      </c>
      <c r="AQ2" s="11" t="s">
        <v>588</v>
      </c>
      <c r="AR2" s="11" t="s">
        <v>588</v>
      </c>
      <c r="AS2" s="11" t="s">
        <v>588</v>
      </c>
      <c r="AT2" s="11" t="s">
        <v>588</v>
      </c>
      <c r="AU2" s="7" t="s">
        <v>588</v>
      </c>
      <c r="AV2" s="11" t="s">
        <v>588</v>
      </c>
      <c r="AW2" s="11" t="s">
        <v>588</v>
      </c>
      <c r="AX2" s="11" t="s">
        <v>588</v>
      </c>
      <c r="AY2" s="11" t="s">
        <v>588</v>
      </c>
      <c r="AZ2" s="11" t="s">
        <v>588</v>
      </c>
      <c r="BA2" s="7" t="s">
        <v>588</v>
      </c>
      <c r="BB2" s="11" t="s">
        <v>588</v>
      </c>
      <c r="BC2" s="11" t="s">
        <v>588</v>
      </c>
      <c r="BD2" s="11" t="s">
        <v>588</v>
      </c>
      <c r="BE2" s="11" t="s">
        <v>588</v>
      </c>
      <c r="BF2" s="11" t="s">
        <v>588</v>
      </c>
      <c r="BG2" s="7" t="s">
        <v>588</v>
      </c>
      <c r="BH2" s="11" t="s">
        <v>588</v>
      </c>
      <c r="BI2" s="11" t="s">
        <v>588</v>
      </c>
      <c r="BJ2" s="11" t="s">
        <v>588</v>
      </c>
      <c r="BK2" s="11" t="s">
        <v>588</v>
      </c>
      <c r="BL2" s="11" t="s">
        <v>588</v>
      </c>
      <c r="BM2" s="11" t="s">
        <v>588</v>
      </c>
      <c r="BN2" s="11" t="s">
        <v>588</v>
      </c>
      <c r="BO2" s="11" t="s">
        <v>588</v>
      </c>
      <c r="BP2" s="11" t="s">
        <v>588</v>
      </c>
      <c r="BQ2" s="11" t="s">
        <v>588</v>
      </c>
      <c r="BR2" s="11" t="s">
        <v>588</v>
      </c>
      <c r="BS2" s="11" t="s">
        <v>41</v>
      </c>
      <c r="BT2" s="11" t="s">
        <v>42</v>
      </c>
      <c r="BU2" s="11" t="s">
        <v>42</v>
      </c>
      <c r="BV2" s="11" t="s">
        <v>588</v>
      </c>
      <c r="BW2" s="11" t="s">
        <v>588</v>
      </c>
      <c r="BX2" s="11" t="s">
        <v>588</v>
      </c>
      <c r="BY2" s="11" t="s">
        <v>588</v>
      </c>
      <c r="BZ2" s="11" t="s">
        <v>588</v>
      </c>
      <c r="CA2" s="11" t="s">
        <v>237</v>
      </c>
      <c r="CB2" s="11" t="s">
        <v>588</v>
      </c>
    </row>
    <row r="3" spans="1:80" x14ac:dyDescent="0.25">
      <c r="A3" s="11">
        <v>202425</v>
      </c>
      <c r="B3" s="11" t="s">
        <v>233</v>
      </c>
      <c r="C3" s="11" t="s">
        <v>577</v>
      </c>
      <c r="D3" s="11" t="s">
        <v>234</v>
      </c>
      <c r="E3" s="11" t="s">
        <v>235</v>
      </c>
      <c r="F3" s="11">
        <v>2</v>
      </c>
      <c r="G3" s="11" t="s">
        <v>238</v>
      </c>
      <c r="H3" s="11" t="s">
        <v>2727</v>
      </c>
      <c r="I3" s="13">
        <v>45649</v>
      </c>
      <c r="J3" s="11">
        <v>23</v>
      </c>
      <c r="K3" s="11">
        <v>12</v>
      </c>
      <c r="L3" s="11">
        <v>2024</v>
      </c>
      <c r="M3" s="11" t="s">
        <v>2728</v>
      </c>
      <c r="N3" s="11" t="s">
        <v>7</v>
      </c>
      <c r="O3" s="11" t="s">
        <v>10</v>
      </c>
      <c r="P3" s="11" t="s">
        <v>588</v>
      </c>
      <c r="Q3" s="11" t="s">
        <v>588</v>
      </c>
      <c r="R3" s="11">
        <v>-38.61721</v>
      </c>
      <c r="S3" s="11">
        <v>145.542877</v>
      </c>
      <c r="T3" s="11">
        <v>3</v>
      </c>
      <c r="U3" s="11">
        <v>3</v>
      </c>
      <c r="V3" s="11" t="s">
        <v>588</v>
      </c>
      <c r="W3" s="11" t="s">
        <v>588</v>
      </c>
      <c r="X3" s="11">
        <v>2</v>
      </c>
      <c r="Y3" s="11">
        <v>2</v>
      </c>
      <c r="Z3" s="11" t="s">
        <v>41</v>
      </c>
      <c r="AA3" s="13">
        <v>45649</v>
      </c>
      <c r="AB3" s="11">
        <v>23</v>
      </c>
      <c r="AC3" s="11">
        <v>12</v>
      </c>
      <c r="AD3" s="11">
        <v>2024</v>
      </c>
      <c r="AE3" s="13" t="s">
        <v>2728</v>
      </c>
      <c r="AF3" s="11" t="s">
        <v>7</v>
      </c>
      <c r="AG3" s="13">
        <v>45661</v>
      </c>
      <c r="AH3" s="11">
        <v>4</v>
      </c>
      <c r="AI3" s="11">
        <v>1</v>
      </c>
      <c r="AJ3" s="11">
        <v>2025</v>
      </c>
      <c r="AK3" s="13" t="s">
        <v>2729</v>
      </c>
      <c r="AL3" s="11" t="s">
        <v>12</v>
      </c>
      <c r="AM3" s="11" t="s">
        <v>20</v>
      </c>
      <c r="AN3" s="11" t="s">
        <v>588</v>
      </c>
      <c r="AO3" s="11" t="s">
        <v>32</v>
      </c>
      <c r="AP3" s="11" t="s">
        <v>588</v>
      </c>
      <c r="AQ3" s="11" t="s">
        <v>588</v>
      </c>
      <c r="AR3" s="11" t="s">
        <v>588</v>
      </c>
      <c r="AS3" s="11" t="s">
        <v>588</v>
      </c>
      <c r="AT3" s="11" t="s">
        <v>588</v>
      </c>
      <c r="AU3" s="7" t="s">
        <v>588</v>
      </c>
      <c r="AV3" s="11" t="s">
        <v>588</v>
      </c>
      <c r="AW3" s="11" t="s">
        <v>588</v>
      </c>
      <c r="AX3" s="11" t="s">
        <v>588</v>
      </c>
      <c r="AY3" s="11" t="s">
        <v>588</v>
      </c>
      <c r="AZ3" s="11" t="s">
        <v>588</v>
      </c>
      <c r="BA3" s="7" t="s">
        <v>588</v>
      </c>
      <c r="BB3" s="11" t="s">
        <v>588</v>
      </c>
      <c r="BC3" s="11" t="s">
        <v>588</v>
      </c>
      <c r="BD3" s="11" t="s">
        <v>588</v>
      </c>
      <c r="BE3" s="11" t="s">
        <v>588</v>
      </c>
      <c r="BF3" s="11" t="s">
        <v>588</v>
      </c>
      <c r="BG3" s="7" t="s">
        <v>588</v>
      </c>
      <c r="BH3" s="11" t="s">
        <v>588</v>
      </c>
      <c r="BI3" s="11" t="s">
        <v>588</v>
      </c>
      <c r="BJ3" s="11" t="s">
        <v>588</v>
      </c>
      <c r="BK3" s="11" t="s">
        <v>588</v>
      </c>
      <c r="BL3" s="11" t="s">
        <v>588</v>
      </c>
      <c r="BM3" s="11" t="s">
        <v>588</v>
      </c>
      <c r="BN3" s="11" t="s">
        <v>588</v>
      </c>
      <c r="BO3" s="11" t="s">
        <v>588</v>
      </c>
      <c r="BP3" s="11" t="s">
        <v>588</v>
      </c>
      <c r="BQ3" s="11" t="s">
        <v>588</v>
      </c>
      <c r="BR3" s="11" t="s">
        <v>588</v>
      </c>
      <c r="BS3" s="11" t="s">
        <v>41</v>
      </c>
      <c r="BT3" s="11" t="s">
        <v>42</v>
      </c>
      <c r="BU3" s="11" t="s">
        <v>42</v>
      </c>
      <c r="BV3" s="11" t="s">
        <v>588</v>
      </c>
      <c r="BW3" s="11" t="s">
        <v>588</v>
      </c>
      <c r="BX3" s="11" t="s">
        <v>588</v>
      </c>
      <c r="BY3" s="11" t="s">
        <v>588</v>
      </c>
      <c r="BZ3" s="11" t="s">
        <v>588</v>
      </c>
      <c r="CA3" s="11" t="s">
        <v>237</v>
      </c>
      <c r="CB3" s="11" t="s">
        <v>588</v>
      </c>
    </row>
    <row r="4" spans="1:80" x14ac:dyDescent="0.25">
      <c r="A4" s="11">
        <v>202425</v>
      </c>
      <c r="B4" s="11" t="s">
        <v>239</v>
      </c>
      <c r="C4" s="11" t="s">
        <v>380</v>
      </c>
      <c r="D4" s="11" t="s">
        <v>240</v>
      </c>
      <c r="E4" s="11" t="s">
        <v>16</v>
      </c>
      <c r="F4" s="11">
        <v>1</v>
      </c>
      <c r="G4" s="11" t="s">
        <v>241</v>
      </c>
      <c r="H4" s="11" t="s">
        <v>2730</v>
      </c>
      <c r="I4" s="13">
        <v>45685</v>
      </c>
      <c r="J4" s="11">
        <v>28</v>
      </c>
      <c r="K4" s="11">
        <v>1</v>
      </c>
      <c r="L4" s="11">
        <v>2025</v>
      </c>
      <c r="M4" s="11" t="s">
        <v>2731</v>
      </c>
      <c r="N4" s="11" t="s">
        <v>12</v>
      </c>
      <c r="O4" s="11" t="s">
        <v>10</v>
      </c>
      <c r="P4" s="11">
        <v>-38.622605</v>
      </c>
      <c r="Q4" s="11">
        <v>145.54615799999999</v>
      </c>
      <c r="R4" s="11" t="s">
        <v>588</v>
      </c>
      <c r="S4" s="11" t="s">
        <v>588</v>
      </c>
      <c r="T4" s="11">
        <v>3</v>
      </c>
      <c r="U4" s="11">
        <v>3</v>
      </c>
      <c r="V4" s="11" t="s">
        <v>588</v>
      </c>
      <c r="W4" s="11" t="s">
        <v>588</v>
      </c>
      <c r="X4" s="11">
        <v>3</v>
      </c>
      <c r="Y4" s="11">
        <v>3</v>
      </c>
      <c r="Z4" s="11" t="s">
        <v>41</v>
      </c>
      <c r="AA4" s="13">
        <v>45685</v>
      </c>
      <c r="AB4" s="11">
        <v>28</v>
      </c>
      <c r="AC4" s="11">
        <v>1</v>
      </c>
      <c r="AD4" s="11">
        <v>2025</v>
      </c>
      <c r="AE4" s="13" t="s">
        <v>2731</v>
      </c>
      <c r="AF4" s="11" t="s">
        <v>12</v>
      </c>
      <c r="AG4" s="13">
        <v>45708</v>
      </c>
      <c r="AH4" s="11">
        <v>20</v>
      </c>
      <c r="AI4" s="11">
        <v>2</v>
      </c>
      <c r="AJ4" s="11">
        <v>2025</v>
      </c>
      <c r="AK4" s="13" t="s">
        <v>2732</v>
      </c>
      <c r="AL4" s="11" t="s">
        <v>21</v>
      </c>
      <c r="AM4" s="11" t="s">
        <v>20</v>
      </c>
      <c r="AN4" s="11" t="s">
        <v>588</v>
      </c>
      <c r="AO4" s="11" t="s">
        <v>20</v>
      </c>
      <c r="AP4" s="11" t="s">
        <v>588</v>
      </c>
      <c r="AQ4" s="11" t="s">
        <v>588</v>
      </c>
      <c r="AR4" s="11" t="s">
        <v>588</v>
      </c>
      <c r="AS4" s="11" t="s">
        <v>588</v>
      </c>
      <c r="AT4" s="11" t="s">
        <v>588</v>
      </c>
      <c r="AU4" s="7" t="s">
        <v>588</v>
      </c>
      <c r="AV4" s="11" t="s">
        <v>588</v>
      </c>
      <c r="AW4" s="11" t="s">
        <v>588</v>
      </c>
      <c r="AX4" s="11" t="s">
        <v>588</v>
      </c>
      <c r="AY4" s="11" t="s">
        <v>588</v>
      </c>
      <c r="AZ4" s="11" t="s">
        <v>588</v>
      </c>
      <c r="BA4" s="7" t="s">
        <v>588</v>
      </c>
      <c r="BB4" s="11" t="s">
        <v>588</v>
      </c>
      <c r="BC4" s="11" t="s">
        <v>588</v>
      </c>
      <c r="BD4" s="11" t="s">
        <v>588</v>
      </c>
      <c r="BE4" s="11" t="s">
        <v>588</v>
      </c>
      <c r="BF4" s="11" t="s">
        <v>588</v>
      </c>
      <c r="BG4" s="7" t="s">
        <v>588</v>
      </c>
      <c r="BH4" s="11" t="s">
        <v>588</v>
      </c>
      <c r="BI4" s="11" t="s">
        <v>588</v>
      </c>
      <c r="BJ4" s="11" t="s">
        <v>588</v>
      </c>
      <c r="BK4" s="11" t="s">
        <v>588</v>
      </c>
      <c r="BL4" s="11" t="s">
        <v>588</v>
      </c>
      <c r="BM4" s="11" t="s">
        <v>588</v>
      </c>
      <c r="BN4" s="11" t="s">
        <v>588</v>
      </c>
      <c r="BO4" s="11" t="s">
        <v>588</v>
      </c>
      <c r="BP4" s="11" t="s">
        <v>588</v>
      </c>
      <c r="BQ4" s="11" t="s">
        <v>588</v>
      </c>
      <c r="BR4" s="11" t="s">
        <v>588</v>
      </c>
      <c r="BS4" s="11" t="s">
        <v>41</v>
      </c>
      <c r="BT4" s="11" t="s">
        <v>42</v>
      </c>
      <c r="BU4" s="11" t="s">
        <v>42</v>
      </c>
      <c r="BV4" s="11" t="s">
        <v>588</v>
      </c>
      <c r="BW4" s="11" t="s">
        <v>588</v>
      </c>
      <c r="BX4" s="11" t="s">
        <v>588</v>
      </c>
      <c r="BY4" s="11" t="s">
        <v>588</v>
      </c>
      <c r="BZ4" s="11" t="s">
        <v>588</v>
      </c>
      <c r="CA4" s="11" t="s">
        <v>588</v>
      </c>
      <c r="CB4" s="11" t="s">
        <v>588</v>
      </c>
    </row>
    <row r="5" spans="1:80" x14ac:dyDescent="0.25">
      <c r="A5" s="11">
        <v>202425</v>
      </c>
      <c r="B5" s="11" t="s">
        <v>242</v>
      </c>
      <c r="C5" s="11" t="s">
        <v>242</v>
      </c>
      <c r="D5" s="11" t="s">
        <v>243</v>
      </c>
      <c r="E5" s="11" t="s">
        <v>244</v>
      </c>
      <c r="F5" s="11">
        <v>1</v>
      </c>
      <c r="G5" s="11" t="s">
        <v>245</v>
      </c>
      <c r="H5" s="11" t="s">
        <v>2733</v>
      </c>
      <c r="I5" s="13">
        <v>45665</v>
      </c>
      <c r="J5" s="11">
        <v>8</v>
      </c>
      <c r="K5" s="11">
        <v>1</v>
      </c>
      <c r="L5" s="11">
        <v>2025</v>
      </c>
      <c r="M5" s="11" t="s">
        <v>2734</v>
      </c>
      <c r="N5" s="11" t="s">
        <v>12</v>
      </c>
      <c r="O5" s="11" t="s">
        <v>10</v>
      </c>
      <c r="P5" s="11">
        <v>-38.610394999999997</v>
      </c>
      <c r="Q5" s="11">
        <v>145.53733800000001</v>
      </c>
      <c r="R5" s="11" t="s">
        <v>588</v>
      </c>
      <c r="S5" s="11" t="s">
        <v>588</v>
      </c>
      <c r="T5" s="11">
        <v>3</v>
      </c>
      <c r="U5" s="11">
        <v>3</v>
      </c>
      <c r="V5" s="11" t="s">
        <v>588</v>
      </c>
      <c r="W5" s="11" t="s">
        <v>588</v>
      </c>
      <c r="X5" s="11">
        <v>2</v>
      </c>
      <c r="Y5" s="11">
        <v>2</v>
      </c>
      <c r="Z5" s="11" t="s">
        <v>41</v>
      </c>
      <c r="AA5" s="13">
        <v>45665</v>
      </c>
      <c r="AB5" s="11">
        <v>8</v>
      </c>
      <c r="AC5" s="11">
        <v>1</v>
      </c>
      <c r="AD5" s="11">
        <v>2025</v>
      </c>
      <c r="AE5" s="13" t="s">
        <v>2734</v>
      </c>
      <c r="AF5" s="11" t="s">
        <v>12</v>
      </c>
      <c r="AG5" s="13">
        <v>45675</v>
      </c>
      <c r="AH5" s="11">
        <v>18</v>
      </c>
      <c r="AI5" s="11">
        <v>1</v>
      </c>
      <c r="AJ5" s="11">
        <v>2025</v>
      </c>
      <c r="AK5" s="13" t="s">
        <v>2735</v>
      </c>
      <c r="AL5" s="11" t="s">
        <v>12</v>
      </c>
      <c r="AM5" s="11" t="s">
        <v>20</v>
      </c>
      <c r="AN5" s="11" t="s">
        <v>588</v>
      </c>
      <c r="AO5" s="11" t="s">
        <v>20</v>
      </c>
      <c r="AP5" s="11" t="s">
        <v>588</v>
      </c>
      <c r="AQ5" s="11" t="s">
        <v>588</v>
      </c>
      <c r="AR5" s="11" t="s">
        <v>588</v>
      </c>
      <c r="AS5" s="11" t="s">
        <v>588</v>
      </c>
      <c r="AT5" s="11" t="s">
        <v>588</v>
      </c>
      <c r="AU5" s="7" t="s">
        <v>588</v>
      </c>
      <c r="AV5" s="11" t="s">
        <v>588</v>
      </c>
      <c r="AW5" s="11" t="s">
        <v>588</v>
      </c>
      <c r="AX5" s="11" t="s">
        <v>588</v>
      </c>
      <c r="AY5" s="11" t="s">
        <v>588</v>
      </c>
      <c r="AZ5" s="11" t="s">
        <v>588</v>
      </c>
      <c r="BA5" s="7" t="s">
        <v>588</v>
      </c>
      <c r="BB5" s="11" t="s">
        <v>588</v>
      </c>
      <c r="BC5" s="11" t="s">
        <v>588</v>
      </c>
      <c r="BD5" s="11" t="s">
        <v>588</v>
      </c>
      <c r="BE5" s="11" t="s">
        <v>588</v>
      </c>
      <c r="BF5" s="11" t="s">
        <v>588</v>
      </c>
      <c r="BG5" s="7" t="s">
        <v>588</v>
      </c>
      <c r="BH5" s="11" t="s">
        <v>588</v>
      </c>
      <c r="BI5" s="11" t="s">
        <v>588</v>
      </c>
      <c r="BJ5" s="11" t="s">
        <v>588</v>
      </c>
      <c r="BK5" s="11" t="s">
        <v>588</v>
      </c>
      <c r="BL5" s="11" t="s">
        <v>588</v>
      </c>
      <c r="BM5" s="11" t="s">
        <v>588</v>
      </c>
      <c r="BN5" s="11" t="s">
        <v>588</v>
      </c>
      <c r="BO5" s="11" t="s">
        <v>588</v>
      </c>
      <c r="BP5" s="11" t="s">
        <v>588</v>
      </c>
      <c r="BQ5" s="11" t="s">
        <v>588</v>
      </c>
      <c r="BR5" s="11" t="s">
        <v>588</v>
      </c>
      <c r="BS5" s="11" t="s">
        <v>41</v>
      </c>
      <c r="BT5" s="11" t="s">
        <v>42</v>
      </c>
      <c r="BU5" s="11" t="s">
        <v>42</v>
      </c>
      <c r="BV5" s="11" t="s">
        <v>588</v>
      </c>
      <c r="BW5" s="11" t="s">
        <v>588</v>
      </c>
      <c r="BX5" s="11" t="s">
        <v>588</v>
      </c>
      <c r="BY5" s="11" t="s">
        <v>588</v>
      </c>
      <c r="BZ5" s="11" t="s">
        <v>588</v>
      </c>
      <c r="CA5" s="11" t="s">
        <v>588</v>
      </c>
      <c r="CB5" s="11" t="s">
        <v>588</v>
      </c>
    </row>
    <row r="6" spans="1:80" x14ac:dyDescent="0.25">
      <c r="A6" s="11">
        <v>202425</v>
      </c>
      <c r="B6" s="11" t="s">
        <v>242</v>
      </c>
      <c r="C6" s="11" t="s">
        <v>242</v>
      </c>
      <c r="D6" s="11" t="s">
        <v>243</v>
      </c>
      <c r="E6" s="11" t="s">
        <v>244</v>
      </c>
      <c r="F6" s="11">
        <v>2</v>
      </c>
      <c r="G6" s="11" t="s">
        <v>246</v>
      </c>
      <c r="H6" s="11" t="s">
        <v>2736</v>
      </c>
      <c r="I6" s="13">
        <v>45685</v>
      </c>
      <c r="J6" s="11">
        <v>28</v>
      </c>
      <c r="K6" s="11">
        <v>1</v>
      </c>
      <c r="L6" s="11">
        <v>2025</v>
      </c>
      <c r="M6" s="11" t="s">
        <v>2731</v>
      </c>
      <c r="N6" s="11" t="s">
        <v>12</v>
      </c>
      <c r="O6" s="11" t="s">
        <v>10</v>
      </c>
      <c r="P6" s="11">
        <v>-38.610430000000001</v>
      </c>
      <c r="Q6" s="11">
        <v>145.53709000000001</v>
      </c>
      <c r="R6" s="11" t="s">
        <v>588</v>
      </c>
      <c r="S6" s="11" t="s">
        <v>588</v>
      </c>
      <c r="T6" s="11">
        <v>2</v>
      </c>
      <c r="U6" s="11">
        <v>3</v>
      </c>
      <c r="V6" s="11" t="s">
        <v>588</v>
      </c>
      <c r="W6" s="11" t="s">
        <v>588</v>
      </c>
      <c r="X6" s="11">
        <v>3</v>
      </c>
      <c r="Y6" s="11">
        <v>3</v>
      </c>
      <c r="Z6" s="11" t="s">
        <v>41</v>
      </c>
      <c r="AA6" s="13">
        <v>45685</v>
      </c>
      <c r="AB6" s="11">
        <v>28</v>
      </c>
      <c r="AC6" s="11">
        <v>1</v>
      </c>
      <c r="AD6" s="11">
        <v>2025</v>
      </c>
      <c r="AE6" s="13" t="s">
        <v>2731</v>
      </c>
      <c r="AF6" s="11" t="s">
        <v>12</v>
      </c>
      <c r="AG6" s="13">
        <v>45693</v>
      </c>
      <c r="AH6" s="11">
        <v>5</v>
      </c>
      <c r="AI6" s="11">
        <v>2</v>
      </c>
      <c r="AJ6" s="11">
        <v>2025</v>
      </c>
      <c r="AK6" s="13" t="s">
        <v>2737</v>
      </c>
      <c r="AL6" s="11" t="s">
        <v>21</v>
      </c>
      <c r="AM6" s="11" t="s">
        <v>20</v>
      </c>
      <c r="AN6" s="11" t="s">
        <v>588</v>
      </c>
      <c r="AO6" s="11" t="s">
        <v>11</v>
      </c>
      <c r="AP6" s="11" t="s">
        <v>588</v>
      </c>
      <c r="AQ6" s="11" t="s">
        <v>588</v>
      </c>
      <c r="AR6" s="11" t="s">
        <v>588</v>
      </c>
      <c r="AS6" s="11" t="s">
        <v>588</v>
      </c>
      <c r="AT6" s="11" t="s">
        <v>588</v>
      </c>
      <c r="AU6" s="7" t="s">
        <v>588</v>
      </c>
      <c r="AV6" s="11" t="s">
        <v>588</v>
      </c>
      <c r="AW6" s="11" t="s">
        <v>588</v>
      </c>
      <c r="AX6" s="11" t="s">
        <v>588</v>
      </c>
      <c r="AY6" s="11" t="s">
        <v>588</v>
      </c>
      <c r="AZ6" s="11" t="s">
        <v>588</v>
      </c>
      <c r="BA6" s="7" t="s">
        <v>588</v>
      </c>
      <c r="BB6" s="11" t="s">
        <v>588</v>
      </c>
      <c r="BC6" s="11" t="s">
        <v>588</v>
      </c>
      <c r="BD6" s="11" t="s">
        <v>588</v>
      </c>
      <c r="BE6" s="11" t="s">
        <v>588</v>
      </c>
      <c r="BF6" s="11" t="s">
        <v>588</v>
      </c>
      <c r="BG6" s="7" t="s">
        <v>588</v>
      </c>
      <c r="BH6" s="11" t="s">
        <v>588</v>
      </c>
      <c r="BI6" s="11" t="s">
        <v>588</v>
      </c>
      <c r="BJ6" s="11" t="s">
        <v>588</v>
      </c>
      <c r="BK6" s="11" t="s">
        <v>588</v>
      </c>
      <c r="BL6" s="11" t="s">
        <v>588</v>
      </c>
      <c r="BM6" s="11" t="s">
        <v>588</v>
      </c>
      <c r="BN6" s="11" t="s">
        <v>588</v>
      </c>
      <c r="BO6" s="11" t="s">
        <v>588</v>
      </c>
      <c r="BP6" s="11" t="s">
        <v>588</v>
      </c>
      <c r="BQ6" s="11" t="s">
        <v>588</v>
      </c>
      <c r="BR6" s="11" t="s">
        <v>588</v>
      </c>
      <c r="BS6" s="11" t="s">
        <v>41</v>
      </c>
      <c r="BT6" s="11" t="s">
        <v>42</v>
      </c>
      <c r="BU6" s="11" t="s">
        <v>42</v>
      </c>
      <c r="BV6" s="11" t="s">
        <v>588</v>
      </c>
      <c r="BW6" s="11" t="s">
        <v>588</v>
      </c>
      <c r="BX6" s="11" t="s">
        <v>588</v>
      </c>
      <c r="BY6" s="11" t="s">
        <v>588</v>
      </c>
      <c r="BZ6" s="11" t="s">
        <v>588</v>
      </c>
      <c r="CA6" s="11" t="s">
        <v>588</v>
      </c>
      <c r="CB6" s="11" t="s">
        <v>588</v>
      </c>
    </row>
    <row r="7" spans="1:80" x14ac:dyDescent="0.25">
      <c r="A7" s="11">
        <v>202425</v>
      </c>
      <c r="B7" s="11" t="s">
        <v>247</v>
      </c>
      <c r="C7" s="11" t="s">
        <v>247</v>
      </c>
      <c r="D7" s="11" t="s">
        <v>248</v>
      </c>
      <c r="E7" s="11" t="s">
        <v>249</v>
      </c>
      <c r="F7" s="11">
        <v>1</v>
      </c>
      <c r="G7" s="11" t="s">
        <v>250</v>
      </c>
      <c r="H7" s="11" t="s">
        <v>2738</v>
      </c>
      <c r="I7" s="13">
        <v>45637</v>
      </c>
      <c r="J7" s="11">
        <v>11</v>
      </c>
      <c r="K7" s="11">
        <v>12</v>
      </c>
      <c r="L7" s="11">
        <v>2024</v>
      </c>
      <c r="M7" s="11" t="s">
        <v>2739</v>
      </c>
      <c r="N7" s="11" t="s">
        <v>7</v>
      </c>
      <c r="O7" s="11" t="s">
        <v>51</v>
      </c>
      <c r="P7" s="11">
        <v>-38.606974999999998</v>
      </c>
      <c r="Q7" s="11">
        <v>145.53405799999999</v>
      </c>
      <c r="R7" s="11" t="s">
        <v>588</v>
      </c>
      <c r="S7" s="11" t="s">
        <v>588</v>
      </c>
      <c r="T7" s="11">
        <v>3</v>
      </c>
      <c r="U7" s="11">
        <v>3</v>
      </c>
      <c r="V7" s="11" t="s">
        <v>588</v>
      </c>
      <c r="W7" s="11" t="s">
        <v>588</v>
      </c>
      <c r="X7" s="11">
        <v>3</v>
      </c>
      <c r="Y7" s="11">
        <v>3</v>
      </c>
      <c r="Z7" s="11" t="s">
        <v>41</v>
      </c>
      <c r="AA7" s="13">
        <v>45649</v>
      </c>
      <c r="AB7" s="11">
        <v>23</v>
      </c>
      <c r="AC7" s="11">
        <v>12</v>
      </c>
      <c r="AD7" s="11">
        <v>2024</v>
      </c>
      <c r="AE7" s="13" t="s">
        <v>2728</v>
      </c>
      <c r="AF7" s="11" t="s">
        <v>7</v>
      </c>
      <c r="AG7" s="13">
        <v>45658</v>
      </c>
      <c r="AH7" s="11">
        <v>1</v>
      </c>
      <c r="AI7" s="11">
        <v>1</v>
      </c>
      <c r="AJ7" s="11">
        <v>2025</v>
      </c>
      <c r="AK7" s="13" t="s">
        <v>2740</v>
      </c>
      <c r="AL7" s="11" t="s">
        <v>12</v>
      </c>
      <c r="AM7" s="11" t="s">
        <v>20</v>
      </c>
      <c r="AN7" s="11" t="s">
        <v>588</v>
      </c>
      <c r="AO7" s="11" t="s">
        <v>20</v>
      </c>
      <c r="AP7" s="11" t="s">
        <v>588</v>
      </c>
      <c r="AQ7" s="11" t="s">
        <v>588</v>
      </c>
      <c r="AR7" s="11" t="s">
        <v>588</v>
      </c>
      <c r="AS7" s="11" t="s">
        <v>588</v>
      </c>
      <c r="AT7" s="11" t="s">
        <v>588</v>
      </c>
      <c r="AU7" s="7" t="s">
        <v>588</v>
      </c>
      <c r="AV7" s="11" t="s">
        <v>588</v>
      </c>
      <c r="AW7" s="11" t="s">
        <v>588</v>
      </c>
      <c r="AX7" s="11" t="s">
        <v>588</v>
      </c>
      <c r="AY7" s="11" t="s">
        <v>588</v>
      </c>
      <c r="AZ7" s="11" t="s">
        <v>588</v>
      </c>
      <c r="BA7" s="7" t="s">
        <v>588</v>
      </c>
      <c r="BB7" s="11" t="s">
        <v>588</v>
      </c>
      <c r="BC7" s="11" t="s">
        <v>588</v>
      </c>
      <c r="BD7" s="11" t="s">
        <v>588</v>
      </c>
      <c r="BE7" s="11" t="s">
        <v>588</v>
      </c>
      <c r="BF7" s="11" t="s">
        <v>588</v>
      </c>
      <c r="BG7" s="7" t="s">
        <v>588</v>
      </c>
      <c r="BH7" s="11" t="s">
        <v>588</v>
      </c>
      <c r="BI7" s="11" t="s">
        <v>588</v>
      </c>
      <c r="BJ7" s="11" t="s">
        <v>588</v>
      </c>
      <c r="BK7" s="11" t="s">
        <v>588</v>
      </c>
      <c r="BL7" s="11" t="s">
        <v>588</v>
      </c>
      <c r="BM7" s="11" t="s">
        <v>588</v>
      </c>
      <c r="BN7" s="11" t="s">
        <v>588</v>
      </c>
      <c r="BO7" s="11" t="s">
        <v>588</v>
      </c>
      <c r="BP7" s="11" t="s">
        <v>588</v>
      </c>
      <c r="BQ7" s="11" t="s">
        <v>588</v>
      </c>
      <c r="BR7" s="11" t="s">
        <v>588</v>
      </c>
      <c r="BS7" s="11" t="s">
        <v>41</v>
      </c>
      <c r="BT7" s="11" t="s">
        <v>42</v>
      </c>
      <c r="BU7" s="11" t="s">
        <v>42</v>
      </c>
      <c r="BV7" s="11" t="s">
        <v>588</v>
      </c>
      <c r="BW7" s="11" t="s">
        <v>588</v>
      </c>
      <c r="BX7" s="11" t="s">
        <v>588</v>
      </c>
      <c r="BY7" s="11" t="s">
        <v>588</v>
      </c>
      <c r="BZ7" s="11" t="s">
        <v>588</v>
      </c>
      <c r="CA7" s="11" t="s">
        <v>588</v>
      </c>
      <c r="CB7" s="11" t="s">
        <v>588</v>
      </c>
    </row>
    <row r="8" spans="1:80" x14ac:dyDescent="0.25">
      <c r="A8" s="11">
        <v>202425</v>
      </c>
      <c r="B8" s="11" t="s">
        <v>247</v>
      </c>
      <c r="C8" s="11" t="s">
        <v>247</v>
      </c>
      <c r="D8" s="11" t="s">
        <v>248</v>
      </c>
      <c r="E8" s="11" t="s">
        <v>249</v>
      </c>
      <c r="F8" s="11">
        <v>2</v>
      </c>
      <c r="G8" s="11" t="s">
        <v>251</v>
      </c>
      <c r="H8" s="11" t="s">
        <v>2741</v>
      </c>
      <c r="I8" s="13">
        <v>45665</v>
      </c>
      <c r="J8" s="11">
        <v>8</v>
      </c>
      <c r="K8" s="11">
        <v>1</v>
      </c>
      <c r="L8" s="11">
        <v>2025</v>
      </c>
      <c r="M8" s="11" t="s">
        <v>2734</v>
      </c>
      <c r="N8" s="11" t="s">
        <v>12</v>
      </c>
      <c r="O8" s="11" t="s">
        <v>10</v>
      </c>
      <c r="P8" s="11">
        <v>-38.606658000000003</v>
      </c>
      <c r="Q8" s="11">
        <v>145.533705</v>
      </c>
      <c r="R8" s="11" t="s">
        <v>588</v>
      </c>
      <c r="S8" s="11" t="s">
        <v>588</v>
      </c>
      <c r="T8" s="11">
        <v>2</v>
      </c>
      <c r="U8" s="11">
        <v>2</v>
      </c>
      <c r="V8" s="11" t="s">
        <v>588</v>
      </c>
      <c r="W8" s="11" t="s">
        <v>588</v>
      </c>
      <c r="X8" s="11">
        <v>5</v>
      </c>
      <c r="Y8" s="11">
        <v>5</v>
      </c>
      <c r="Z8" s="11" t="s">
        <v>41</v>
      </c>
      <c r="AA8" s="13">
        <v>45693</v>
      </c>
      <c r="AB8" s="11">
        <v>5</v>
      </c>
      <c r="AC8" s="11">
        <v>2</v>
      </c>
      <c r="AD8" s="11">
        <v>2025</v>
      </c>
      <c r="AE8" s="13" t="s">
        <v>2737</v>
      </c>
      <c r="AF8" s="11" t="s">
        <v>21</v>
      </c>
      <c r="AG8" s="13">
        <v>45705</v>
      </c>
      <c r="AH8" s="11">
        <v>17</v>
      </c>
      <c r="AI8" s="11">
        <v>2</v>
      </c>
      <c r="AJ8" s="11">
        <v>2025</v>
      </c>
      <c r="AK8" s="13" t="s">
        <v>2742</v>
      </c>
      <c r="AL8" s="11" t="s">
        <v>21</v>
      </c>
      <c r="AM8" s="11" t="s">
        <v>20</v>
      </c>
      <c r="AN8" s="11" t="s">
        <v>588</v>
      </c>
      <c r="AO8" s="11" t="s">
        <v>20</v>
      </c>
      <c r="AP8" s="11" t="s">
        <v>588</v>
      </c>
      <c r="AQ8" s="11" t="s">
        <v>588</v>
      </c>
      <c r="AR8" s="11" t="s">
        <v>588</v>
      </c>
      <c r="AS8" s="11" t="s">
        <v>588</v>
      </c>
      <c r="AT8" s="11" t="s">
        <v>588</v>
      </c>
      <c r="AU8" s="7" t="s">
        <v>588</v>
      </c>
      <c r="AV8" s="11" t="s">
        <v>588</v>
      </c>
      <c r="AW8" s="11" t="s">
        <v>588</v>
      </c>
      <c r="AX8" s="11" t="s">
        <v>588</v>
      </c>
      <c r="AY8" s="11" t="s">
        <v>588</v>
      </c>
      <c r="AZ8" s="11" t="s">
        <v>588</v>
      </c>
      <c r="BA8" s="7" t="s">
        <v>588</v>
      </c>
      <c r="BB8" s="11" t="s">
        <v>588</v>
      </c>
      <c r="BC8" s="11" t="s">
        <v>588</v>
      </c>
      <c r="BD8" s="11" t="s">
        <v>588</v>
      </c>
      <c r="BE8" s="11" t="s">
        <v>588</v>
      </c>
      <c r="BF8" s="11" t="s">
        <v>588</v>
      </c>
      <c r="BG8" s="7" t="s">
        <v>588</v>
      </c>
      <c r="BH8" s="11" t="s">
        <v>588</v>
      </c>
      <c r="BI8" s="11" t="s">
        <v>588</v>
      </c>
      <c r="BJ8" s="11" t="s">
        <v>588</v>
      </c>
      <c r="BK8" s="11" t="s">
        <v>588</v>
      </c>
      <c r="BL8" s="11" t="s">
        <v>588</v>
      </c>
      <c r="BM8" s="11" t="s">
        <v>588</v>
      </c>
      <c r="BN8" s="11" t="s">
        <v>588</v>
      </c>
      <c r="BO8" s="11" t="s">
        <v>588</v>
      </c>
      <c r="BP8" s="11" t="s">
        <v>588</v>
      </c>
      <c r="BQ8" s="11" t="s">
        <v>588</v>
      </c>
      <c r="BR8" s="11" t="s">
        <v>588</v>
      </c>
      <c r="BS8" s="11" t="s">
        <v>41</v>
      </c>
      <c r="BT8" s="11" t="s">
        <v>42</v>
      </c>
      <c r="BU8" s="11" t="s">
        <v>42</v>
      </c>
      <c r="BV8" s="11" t="s">
        <v>588</v>
      </c>
      <c r="BW8" s="11" t="s">
        <v>588</v>
      </c>
      <c r="BX8" s="11" t="s">
        <v>588</v>
      </c>
      <c r="BY8" s="11" t="s">
        <v>588</v>
      </c>
      <c r="BZ8" s="11" t="s">
        <v>588</v>
      </c>
      <c r="CA8" s="11" t="s">
        <v>588</v>
      </c>
      <c r="CB8" s="11" t="s">
        <v>588</v>
      </c>
    </row>
    <row r="9" spans="1:80" x14ac:dyDescent="0.25">
      <c r="A9" s="11">
        <v>202425</v>
      </c>
      <c r="B9" s="11" t="s">
        <v>247</v>
      </c>
      <c r="C9" s="11" t="s">
        <v>247</v>
      </c>
      <c r="D9" s="11" t="s">
        <v>248</v>
      </c>
      <c r="E9" s="11" t="s">
        <v>249</v>
      </c>
      <c r="F9" s="11">
        <v>3</v>
      </c>
      <c r="G9" s="11" t="s">
        <v>252</v>
      </c>
      <c r="H9" s="11" t="s">
        <v>2743</v>
      </c>
      <c r="I9" s="13">
        <v>45705</v>
      </c>
      <c r="J9" s="11">
        <v>17</v>
      </c>
      <c r="K9" s="11">
        <v>2</v>
      </c>
      <c r="L9" s="11">
        <v>2025</v>
      </c>
      <c r="M9" s="11" t="s">
        <v>2742</v>
      </c>
      <c r="N9" s="11" t="s">
        <v>21</v>
      </c>
      <c r="O9" s="11" t="s">
        <v>10</v>
      </c>
      <c r="P9" s="11">
        <v>-38.609520000000003</v>
      </c>
      <c r="Q9" s="11">
        <v>145.536452</v>
      </c>
      <c r="R9" s="11" t="s">
        <v>588</v>
      </c>
      <c r="S9" s="11" t="s">
        <v>588</v>
      </c>
      <c r="T9" s="11">
        <v>1</v>
      </c>
      <c r="U9" s="11">
        <v>3</v>
      </c>
      <c r="V9" s="11" t="s">
        <v>588</v>
      </c>
      <c r="W9" s="11" t="s">
        <v>588</v>
      </c>
      <c r="X9" s="11">
        <v>2</v>
      </c>
      <c r="Y9" s="11">
        <v>2</v>
      </c>
      <c r="Z9" s="11" t="s">
        <v>41</v>
      </c>
      <c r="AA9" s="13">
        <v>45705</v>
      </c>
      <c r="AB9" s="11">
        <v>17</v>
      </c>
      <c r="AC9" s="11">
        <v>2</v>
      </c>
      <c r="AD9" s="11">
        <v>2025</v>
      </c>
      <c r="AE9" s="13" t="s">
        <v>2742</v>
      </c>
      <c r="AF9" s="11" t="s">
        <v>21</v>
      </c>
      <c r="AG9" s="13">
        <v>45716</v>
      </c>
      <c r="AH9" s="11">
        <v>28</v>
      </c>
      <c r="AI9" s="11">
        <v>2</v>
      </c>
      <c r="AJ9" s="11">
        <v>2025</v>
      </c>
      <c r="AK9" s="13" t="s">
        <v>2744</v>
      </c>
      <c r="AL9" s="11" t="s">
        <v>21</v>
      </c>
      <c r="AM9" s="11" t="s">
        <v>20</v>
      </c>
      <c r="AN9" s="11" t="s">
        <v>588</v>
      </c>
      <c r="AO9" s="11" t="s">
        <v>20</v>
      </c>
      <c r="AP9" s="11" t="s">
        <v>588</v>
      </c>
      <c r="AQ9" s="11" t="s">
        <v>588</v>
      </c>
      <c r="AR9" s="11" t="s">
        <v>588</v>
      </c>
      <c r="AS9" s="11" t="s">
        <v>588</v>
      </c>
      <c r="AT9" s="11" t="s">
        <v>588</v>
      </c>
      <c r="AU9" s="7" t="s">
        <v>588</v>
      </c>
      <c r="AV9" s="11" t="s">
        <v>588</v>
      </c>
      <c r="AW9" s="11" t="s">
        <v>588</v>
      </c>
      <c r="AX9" s="11" t="s">
        <v>588</v>
      </c>
      <c r="AY9" s="11" t="s">
        <v>588</v>
      </c>
      <c r="AZ9" s="11" t="s">
        <v>588</v>
      </c>
      <c r="BA9" s="7" t="s">
        <v>588</v>
      </c>
      <c r="BB9" s="11" t="s">
        <v>588</v>
      </c>
      <c r="BC9" s="11" t="s">
        <v>588</v>
      </c>
      <c r="BD9" s="11" t="s">
        <v>588</v>
      </c>
      <c r="BE9" s="11" t="s">
        <v>588</v>
      </c>
      <c r="BF9" s="11" t="s">
        <v>588</v>
      </c>
      <c r="BG9" s="7" t="s">
        <v>588</v>
      </c>
      <c r="BH9" s="11" t="s">
        <v>588</v>
      </c>
      <c r="BI9" s="11" t="s">
        <v>588</v>
      </c>
      <c r="BJ9" s="11" t="s">
        <v>588</v>
      </c>
      <c r="BK9" s="11" t="s">
        <v>588</v>
      </c>
      <c r="BL9" s="11" t="s">
        <v>588</v>
      </c>
      <c r="BM9" s="11" t="s">
        <v>588</v>
      </c>
      <c r="BN9" s="11" t="s">
        <v>588</v>
      </c>
      <c r="BO9" s="11" t="s">
        <v>588</v>
      </c>
      <c r="BP9" s="11" t="s">
        <v>588</v>
      </c>
      <c r="BQ9" s="11" t="s">
        <v>588</v>
      </c>
      <c r="BR9" s="11" t="s">
        <v>588</v>
      </c>
      <c r="BS9" s="11" t="s">
        <v>41</v>
      </c>
      <c r="BT9" s="11" t="s">
        <v>42</v>
      </c>
      <c r="BU9" s="11" t="s">
        <v>42</v>
      </c>
      <c r="BV9" s="11" t="s">
        <v>588</v>
      </c>
      <c r="BW9" s="11" t="s">
        <v>588</v>
      </c>
      <c r="BX9" s="11" t="s">
        <v>588</v>
      </c>
      <c r="BY9" s="11" t="s">
        <v>588</v>
      </c>
      <c r="BZ9" s="11" t="s">
        <v>588</v>
      </c>
      <c r="CA9" s="11" t="s">
        <v>588</v>
      </c>
      <c r="CB9" s="11" t="s">
        <v>588</v>
      </c>
    </row>
    <row r="10" spans="1:80" x14ac:dyDescent="0.25">
      <c r="A10" s="11">
        <v>202425</v>
      </c>
      <c r="B10" s="11" t="s">
        <v>57</v>
      </c>
      <c r="C10" s="11" t="s">
        <v>57</v>
      </c>
      <c r="D10" s="11" t="s">
        <v>84</v>
      </c>
      <c r="E10" s="11" t="s">
        <v>16</v>
      </c>
      <c r="F10" s="11">
        <v>1</v>
      </c>
      <c r="G10" s="11" t="s">
        <v>253</v>
      </c>
      <c r="H10" s="11" t="s">
        <v>2745</v>
      </c>
      <c r="I10" s="13">
        <v>45622</v>
      </c>
      <c r="J10" s="11">
        <v>26</v>
      </c>
      <c r="K10" s="11">
        <v>11</v>
      </c>
      <c r="L10" s="11">
        <v>2024</v>
      </c>
      <c r="M10" s="11" t="s">
        <v>2746</v>
      </c>
      <c r="N10" s="11" t="s">
        <v>17</v>
      </c>
      <c r="O10" s="11" t="s">
        <v>36</v>
      </c>
      <c r="P10" s="11">
        <v>-38.675561000000002</v>
      </c>
      <c r="Q10" s="11">
        <v>145.60329999999999</v>
      </c>
      <c r="R10" s="11" t="s">
        <v>588</v>
      </c>
      <c r="S10" s="11" t="s">
        <v>588</v>
      </c>
      <c r="T10" s="11">
        <v>1</v>
      </c>
      <c r="U10" s="11">
        <v>1</v>
      </c>
      <c r="V10" s="11" t="s">
        <v>588</v>
      </c>
      <c r="W10" s="11" t="s">
        <v>588</v>
      </c>
      <c r="X10" s="11">
        <v>12</v>
      </c>
      <c r="Y10" s="11">
        <v>10</v>
      </c>
      <c r="Z10" s="11" t="s">
        <v>8</v>
      </c>
      <c r="AA10" s="13">
        <v>45647</v>
      </c>
      <c r="AB10" s="11">
        <v>21</v>
      </c>
      <c r="AC10" s="11">
        <v>12</v>
      </c>
      <c r="AD10" s="11">
        <v>2024</v>
      </c>
      <c r="AE10" s="13" t="s">
        <v>2747</v>
      </c>
      <c r="AF10" s="11" t="s">
        <v>588</v>
      </c>
      <c r="AG10" s="11" t="s">
        <v>588</v>
      </c>
      <c r="AH10" s="11" t="s">
        <v>588</v>
      </c>
      <c r="AI10" s="11" t="s">
        <v>588</v>
      </c>
      <c r="AJ10" s="11" t="s">
        <v>588</v>
      </c>
      <c r="AK10" s="13" t="s">
        <v>588</v>
      </c>
      <c r="AL10" s="11" t="s">
        <v>588</v>
      </c>
      <c r="AM10" s="11" t="s">
        <v>588</v>
      </c>
      <c r="AN10" s="11" t="s">
        <v>588</v>
      </c>
      <c r="AO10" s="11" t="s">
        <v>588</v>
      </c>
      <c r="AP10" s="13">
        <v>45653</v>
      </c>
      <c r="AQ10" s="11" t="s">
        <v>7</v>
      </c>
      <c r="AR10" s="11" t="s">
        <v>195</v>
      </c>
      <c r="AS10" s="11">
        <v>1</v>
      </c>
      <c r="AT10" s="11">
        <v>1</v>
      </c>
      <c r="AU10" s="7">
        <v>45670</v>
      </c>
      <c r="AV10" s="13">
        <v>45671</v>
      </c>
      <c r="AW10" s="11" t="s">
        <v>12</v>
      </c>
      <c r="AX10" s="11" t="s">
        <v>20</v>
      </c>
      <c r="AY10" s="11" t="s">
        <v>588</v>
      </c>
      <c r="AZ10" s="11" t="s">
        <v>20</v>
      </c>
      <c r="BA10" s="7" t="s">
        <v>588</v>
      </c>
      <c r="BB10" s="11" t="s">
        <v>588</v>
      </c>
      <c r="BC10" s="11" t="s">
        <v>588</v>
      </c>
      <c r="BD10" s="11" t="s">
        <v>588</v>
      </c>
      <c r="BE10" s="11" t="s">
        <v>588</v>
      </c>
      <c r="BF10" s="11" t="s">
        <v>588</v>
      </c>
      <c r="BG10" s="7" t="s">
        <v>588</v>
      </c>
      <c r="BH10" s="11" t="s">
        <v>588</v>
      </c>
      <c r="BI10" s="11" t="s">
        <v>588</v>
      </c>
      <c r="BJ10" s="11" t="s">
        <v>588</v>
      </c>
      <c r="BK10" s="11" t="s">
        <v>588</v>
      </c>
      <c r="BL10" s="11" t="s">
        <v>588</v>
      </c>
      <c r="BM10" s="11">
        <v>13</v>
      </c>
      <c r="BN10" s="11">
        <v>12</v>
      </c>
      <c r="BO10" s="11" t="s">
        <v>41</v>
      </c>
      <c r="BP10" s="11" t="s">
        <v>588</v>
      </c>
      <c r="BQ10" s="11" t="s">
        <v>588</v>
      </c>
      <c r="BR10" s="11" t="s">
        <v>588</v>
      </c>
      <c r="BS10" s="11" t="s">
        <v>8</v>
      </c>
      <c r="BT10" s="11" t="s">
        <v>112</v>
      </c>
      <c r="BU10" s="11" t="s">
        <v>112</v>
      </c>
      <c r="BV10" s="13">
        <v>45625</v>
      </c>
      <c r="BW10" s="11" t="s">
        <v>8</v>
      </c>
      <c r="BX10" s="11" t="s">
        <v>116</v>
      </c>
      <c r="BY10" s="11" t="s">
        <v>116</v>
      </c>
      <c r="BZ10" s="13">
        <v>45653</v>
      </c>
      <c r="CA10" s="11" t="s">
        <v>588</v>
      </c>
      <c r="CB10" s="11" t="s">
        <v>588</v>
      </c>
    </row>
    <row r="11" spans="1:80" x14ac:dyDescent="0.25">
      <c r="A11" s="11">
        <v>202425</v>
      </c>
      <c r="B11" s="11" t="s">
        <v>57</v>
      </c>
      <c r="C11" s="11" t="s">
        <v>57</v>
      </c>
      <c r="D11" s="11" t="s">
        <v>84</v>
      </c>
      <c r="E11" s="11" t="s">
        <v>16</v>
      </c>
      <c r="F11" s="11">
        <v>2</v>
      </c>
      <c r="G11" s="11" t="s">
        <v>254</v>
      </c>
      <c r="H11" s="11" t="s">
        <v>2748</v>
      </c>
      <c r="I11" s="13">
        <v>45681</v>
      </c>
      <c r="J11" s="11">
        <v>24</v>
      </c>
      <c r="K11" s="11">
        <v>1</v>
      </c>
      <c r="L11" s="11">
        <v>2025</v>
      </c>
      <c r="M11" s="11" t="s">
        <v>2749</v>
      </c>
      <c r="N11" s="11" t="s">
        <v>12</v>
      </c>
      <c r="O11" s="11" t="s">
        <v>36</v>
      </c>
      <c r="P11" s="11">
        <v>-38.675621999999997</v>
      </c>
      <c r="Q11" s="11">
        <v>145.603239</v>
      </c>
      <c r="R11" s="11" t="s">
        <v>588</v>
      </c>
      <c r="S11" s="11" t="s">
        <v>588</v>
      </c>
      <c r="T11" s="11">
        <v>2</v>
      </c>
      <c r="U11" s="11">
        <v>2</v>
      </c>
      <c r="V11" s="11" t="s">
        <v>588</v>
      </c>
      <c r="W11" s="11" t="s">
        <v>588</v>
      </c>
      <c r="X11" s="11">
        <v>17</v>
      </c>
      <c r="Y11" s="11">
        <v>15</v>
      </c>
      <c r="Z11" s="11" t="s">
        <v>8</v>
      </c>
      <c r="AA11" s="13">
        <v>45712</v>
      </c>
      <c r="AB11" s="11">
        <v>24</v>
      </c>
      <c r="AC11" s="11">
        <v>2</v>
      </c>
      <c r="AD11" s="11">
        <v>2025</v>
      </c>
      <c r="AE11" s="13" t="s">
        <v>2750</v>
      </c>
      <c r="AF11" s="11" t="s">
        <v>588</v>
      </c>
      <c r="AG11" s="11" t="s">
        <v>588</v>
      </c>
      <c r="AH11" s="11" t="s">
        <v>588</v>
      </c>
      <c r="AI11" s="11" t="s">
        <v>588</v>
      </c>
      <c r="AJ11" s="11" t="s">
        <v>588</v>
      </c>
      <c r="AK11" s="13" t="s">
        <v>588</v>
      </c>
      <c r="AL11" s="11" t="s">
        <v>588</v>
      </c>
      <c r="AM11" s="11" t="s">
        <v>588</v>
      </c>
      <c r="AN11" s="11" t="s">
        <v>588</v>
      </c>
      <c r="AO11" s="11" t="s">
        <v>588</v>
      </c>
      <c r="AP11" s="13">
        <v>45713</v>
      </c>
      <c r="AQ11" s="11" t="s">
        <v>21</v>
      </c>
      <c r="AR11" s="11" t="s">
        <v>195</v>
      </c>
      <c r="AS11" s="11">
        <v>1</v>
      </c>
      <c r="AT11" s="11">
        <v>1</v>
      </c>
      <c r="AU11" s="7">
        <v>45715</v>
      </c>
      <c r="AV11" s="13">
        <v>45716</v>
      </c>
      <c r="AW11" s="11" t="s">
        <v>21</v>
      </c>
      <c r="AX11" s="11" t="s">
        <v>20</v>
      </c>
      <c r="AY11" s="11" t="s">
        <v>588</v>
      </c>
      <c r="AZ11" s="11" t="s">
        <v>20</v>
      </c>
      <c r="BA11" s="7" t="s">
        <v>588</v>
      </c>
      <c r="BB11" s="11" t="s">
        <v>588</v>
      </c>
      <c r="BC11" s="11" t="s">
        <v>588</v>
      </c>
      <c r="BD11" s="11" t="s">
        <v>588</v>
      </c>
      <c r="BE11" s="11" t="s">
        <v>588</v>
      </c>
      <c r="BF11" s="11" t="s">
        <v>588</v>
      </c>
      <c r="BG11" s="7" t="s">
        <v>588</v>
      </c>
      <c r="BH11" s="11" t="s">
        <v>588</v>
      </c>
      <c r="BI11" s="11" t="s">
        <v>588</v>
      </c>
      <c r="BJ11" s="11" t="s">
        <v>588</v>
      </c>
      <c r="BK11" s="11" t="s">
        <v>588</v>
      </c>
      <c r="BL11" s="11" t="s">
        <v>588</v>
      </c>
      <c r="BM11" s="11">
        <v>8</v>
      </c>
      <c r="BN11" s="11">
        <v>6</v>
      </c>
      <c r="BO11" s="11" t="s">
        <v>41</v>
      </c>
      <c r="BP11" s="11" t="s">
        <v>588</v>
      </c>
      <c r="BQ11" s="11" t="s">
        <v>588</v>
      </c>
      <c r="BR11" s="11" t="s">
        <v>588</v>
      </c>
      <c r="BS11" s="11" t="s">
        <v>8</v>
      </c>
      <c r="BT11" s="11" t="s">
        <v>112</v>
      </c>
      <c r="BU11" s="11" t="s">
        <v>112</v>
      </c>
      <c r="BV11" s="13">
        <v>45681</v>
      </c>
      <c r="BW11" s="11" t="s">
        <v>8</v>
      </c>
      <c r="BX11" s="11" t="s">
        <v>112</v>
      </c>
      <c r="BY11" s="11" t="s">
        <v>112</v>
      </c>
      <c r="BZ11" s="13">
        <v>45713</v>
      </c>
      <c r="CA11" s="11" t="s">
        <v>255</v>
      </c>
      <c r="CB11" s="11" t="s">
        <v>588</v>
      </c>
    </row>
    <row r="12" spans="1:80" x14ac:dyDescent="0.25">
      <c r="A12" s="11">
        <v>202425</v>
      </c>
      <c r="B12" s="11" t="s">
        <v>23</v>
      </c>
      <c r="C12" s="11" t="s">
        <v>23</v>
      </c>
      <c r="D12" s="11" t="s">
        <v>61</v>
      </c>
      <c r="E12" s="11" t="s">
        <v>256</v>
      </c>
      <c r="F12" s="11">
        <v>1</v>
      </c>
      <c r="G12" s="11" t="s">
        <v>257</v>
      </c>
      <c r="H12" s="11" t="s">
        <v>2751</v>
      </c>
      <c r="I12" s="13">
        <v>45616</v>
      </c>
      <c r="J12" s="11">
        <v>20</v>
      </c>
      <c r="K12" s="11">
        <v>11</v>
      </c>
      <c r="L12" s="11">
        <v>2024</v>
      </c>
      <c r="M12" s="11" t="s">
        <v>2752</v>
      </c>
      <c r="N12" s="11" t="s">
        <v>17</v>
      </c>
      <c r="O12" s="11" t="s">
        <v>19</v>
      </c>
      <c r="P12" s="11" t="s">
        <v>588</v>
      </c>
      <c r="Q12" s="11" t="s">
        <v>588</v>
      </c>
      <c r="R12" s="11">
        <v>-38.673771000000002</v>
      </c>
      <c r="S12" s="11">
        <v>145.62200899999999</v>
      </c>
      <c r="T12" s="11">
        <v>1</v>
      </c>
      <c r="U12" s="11">
        <v>1</v>
      </c>
      <c r="V12" s="11" t="s">
        <v>588</v>
      </c>
      <c r="W12" s="11" t="s">
        <v>588</v>
      </c>
      <c r="X12" s="11">
        <v>2</v>
      </c>
      <c r="Y12" s="11">
        <v>2</v>
      </c>
      <c r="Z12" s="11" t="s">
        <v>41</v>
      </c>
      <c r="AA12" s="13">
        <v>45616</v>
      </c>
      <c r="AB12" s="11">
        <v>20</v>
      </c>
      <c r="AC12" s="11">
        <v>11</v>
      </c>
      <c r="AD12" s="11">
        <v>2024</v>
      </c>
      <c r="AE12" s="13" t="s">
        <v>2752</v>
      </c>
      <c r="AF12" s="11" t="s">
        <v>17</v>
      </c>
      <c r="AG12" s="13">
        <v>45617</v>
      </c>
      <c r="AH12" s="11">
        <v>21</v>
      </c>
      <c r="AI12" s="11">
        <v>11</v>
      </c>
      <c r="AJ12" s="11">
        <v>2024</v>
      </c>
      <c r="AK12" s="13" t="s">
        <v>2753</v>
      </c>
      <c r="AL12" s="11" t="s">
        <v>17</v>
      </c>
      <c r="AM12" s="11" t="s">
        <v>20</v>
      </c>
      <c r="AN12" s="11" t="s">
        <v>588</v>
      </c>
      <c r="AO12" s="11" t="s">
        <v>32</v>
      </c>
      <c r="AP12" s="11" t="s">
        <v>588</v>
      </c>
      <c r="AQ12" s="11" t="s">
        <v>588</v>
      </c>
      <c r="AR12" s="11" t="s">
        <v>588</v>
      </c>
      <c r="AS12" s="11" t="s">
        <v>588</v>
      </c>
      <c r="AT12" s="11" t="s">
        <v>588</v>
      </c>
      <c r="AU12" s="7" t="s">
        <v>588</v>
      </c>
      <c r="AV12" s="11" t="s">
        <v>588</v>
      </c>
      <c r="AW12" s="11" t="s">
        <v>588</v>
      </c>
      <c r="AX12" s="11" t="s">
        <v>588</v>
      </c>
      <c r="AY12" s="11" t="s">
        <v>588</v>
      </c>
      <c r="AZ12" s="11" t="s">
        <v>588</v>
      </c>
      <c r="BA12" s="7" t="s">
        <v>588</v>
      </c>
      <c r="BB12" s="11" t="s">
        <v>588</v>
      </c>
      <c r="BC12" s="11" t="s">
        <v>588</v>
      </c>
      <c r="BD12" s="11" t="s">
        <v>588</v>
      </c>
      <c r="BE12" s="11" t="s">
        <v>588</v>
      </c>
      <c r="BF12" s="11" t="s">
        <v>588</v>
      </c>
      <c r="BG12" s="7" t="s">
        <v>588</v>
      </c>
      <c r="BH12" s="11" t="s">
        <v>588</v>
      </c>
      <c r="BI12" s="11" t="s">
        <v>588</v>
      </c>
      <c r="BJ12" s="11" t="s">
        <v>588</v>
      </c>
      <c r="BK12" s="11" t="s">
        <v>588</v>
      </c>
      <c r="BL12" s="11" t="s">
        <v>588</v>
      </c>
      <c r="BM12" s="11" t="s">
        <v>588</v>
      </c>
      <c r="BN12" s="11" t="s">
        <v>588</v>
      </c>
      <c r="BO12" s="11" t="s">
        <v>588</v>
      </c>
      <c r="BP12" s="11" t="s">
        <v>588</v>
      </c>
      <c r="BQ12" s="11" t="s">
        <v>588</v>
      </c>
      <c r="BR12" s="11" t="s">
        <v>588</v>
      </c>
      <c r="BS12" s="11" t="s">
        <v>8</v>
      </c>
      <c r="BT12" s="11" t="s">
        <v>65</v>
      </c>
      <c r="BU12" s="11" t="s">
        <v>65</v>
      </c>
      <c r="BV12" s="13">
        <v>45616</v>
      </c>
      <c r="BW12" s="11" t="s">
        <v>588</v>
      </c>
      <c r="BX12" s="11" t="s">
        <v>588</v>
      </c>
      <c r="BY12" s="11" t="s">
        <v>588</v>
      </c>
      <c r="BZ12" s="11" t="s">
        <v>588</v>
      </c>
      <c r="CA12" s="11" t="s">
        <v>588</v>
      </c>
      <c r="CB12" s="11" t="s">
        <v>588</v>
      </c>
    </row>
    <row r="13" spans="1:80" x14ac:dyDescent="0.25">
      <c r="A13" s="11">
        <v>202425</v>
      </c>
      <c r="B13" s="11" t="s">
        <v>23</v>
      </c>
      <c r="C13" s="11" t="s">
        <v>23</v>
      </c>
      <c r="D13" s="11" t="s">
        <v>61</v>
      </c>
      <c r="E13" s="11" t="s">
        <v>256</v>
      </c>
      <c r="F13" s="11">
        <v>2</v>
      </c>
      <c r="G13" s="11" t="s">
        <v>258</v>
      </c>
      <c r="H13" s="11" t="s">
        <v>2754</v>
      </c>
      <c r="I13" s="13">
        <v>45622</v>
      </c>
      <c r="J13" s="11">
        <v>26</v>
      </c>
      <c r="K13" s="11">
        <v>11</v>
      </c>
      <c r="L13" s="11">
        <v>2024</v>
      </c>
      <c r="M13" s="11" t="s">
        <v>2746</v>
      </c>
      <c r="N13" s="11" t="s">
        <v>17</v>
      </c>
      <c r="O13" s="11" t="s">
        <v>19</v>
      </c>
      <c r="P13" s="11">
        <v>-38.674219999999998</v>
      </c>
      <c r="Q13" s="11">
        <v>145.62133</v>
      </c>
      <c r="R13" s="11" t="s">
        <v>588</v>
      </c>
      <c r="S13" s="11" t="s">
        <v>588</v>
      </c>
      <c r="T13" s="11">
        <v>2</v>
      </c>
      <c r="U13" s="11">
        <v>2</v>
      </c>
      <c r="V13" s="11" t="s">
        <v>588</v>
      </c>
      <c r="W13" s="11" t="s">
        <v>588</v>
      </c>
      <c r="X13" s="11">
        <v>11</v>
      </c>
      <c r="Y13" s="11">
        <v>10</v>
      </c>
      <c r="Z13" s="11" t="s">
        <v>8</v>
      </c>
      <c r="AA13" s="13">
        <v>45646</v>
      </c>
      <c r="AB13" s="11">
        <v>20</v>
      </c>
      <c r="AC13" s="11">
        <v>12</v>
      </c>
      <c r="AD13" s="11">
        <v>2024</v>
      </c>
      <c r="AE13" s="13" t="s">
        <v>2755</v>
      </c>
      <c r="AF13" s="11" t="s">
        <v>588</v>
      </c>
      <c r="AG13" s="11" t="s">
        <v>588</v>
      </c>
      <c r="AH13" s="11" t="s">
        <v>588</v>
      </c>
      <c r="AI13" s="11" t="s">
        <v>588</v>
      </c>
      <c r="AJ13" s="11" t="s">
        <v>588</v>
      </c>
      <c r="AK13" s="13" t="s">
        <v>588</v>
      </c>
      <c r="AL13" s="11" t="s">
        <v>588</v>
      </c>
      <c r="AM13" s="11" t="s">
        <v>588</v>
      </c>
      <c r="AN13" s="11" t="s">
        <v>588</v>
      </c>
      <c r="AO13" s="11" t="s">
        <v>588</v>
      </c>
      <c r="AP13" s="13">
        <v>45648</v>
      </c>
      <c r="AQ13" s="11" t="s">
        <v>7</v>
      </c>
      <c r="AR13" s="11" t="s">
        <v>195</v>
      </c>
      <c r="AS13" s="11">
        <v>2</v>
      </c>
      <c r="AT13" s="11">
        <v>2</v>
      </c>
      <c r="AU13" s="7">
        <v>45656</v>
      </c>
      <c r="AV13" s="13">
        <v>45657</v>
      </c>
      <c r="AW13" s="11" t="s">
        <v>7</v>
      </c>
      <c r="AX13" s="11" t="s">
        <v>20</v>
      </c>
      <c r="AY13" s="11" t="s">
        <v>588</v>
      </c>
      <c r="AZ13" s="11" t="s">
        <v>20</v>
      </c>
      <c r="BA13" s="7">
        <v>45671</v>
      </c>
      <c r="BB13" s="13">
        <v>45671</v>
      </c>
      <c r="BC13" s="11" t="s">
        <v>12</v>
      </c>
      <c r="BD13" s="11" t="s">
        <v>20</v>
      </c>
      <c r="BE13" s="11" t="s">
        <v>588</v>
      </c>
      <c r="BF13" s="11" t="s">
        <v>259</v>
      </c>
      <c r="BG13" s="7" t="s">
        <v>588</v>
      </c>
      <c r="BH13" s="11" t="s">
        <v>588</v>
      </c>
      <c r="BI13" s="11" t="s">
        <v>588</v>
      </c>
      <c r="BJ13" s="11" t="s">
        <v>588</v>
      </c>
      <c r="BK13" s="11" t="s">
        <v>588</v>
      </c>
      <c r="BL13" s="11" t="s">
        <v>588</v>
      </c>
      <c r="BM13" s="11">
        <v>22</v>
      </c>
      <c r="BN13" s="11">
        <v>19</v>
      </c>
      <c r="BO13" s="11" t="s">
        <v>41</v>
      </c>
      <c r="BP13" s="11" t="s">
        <v>588</v>
      </c>
      <c r="BQ13" s="11" t="s">
        <v>588</v>
      </c>
      <c r="BR13" s="11" t="s">
        <v>588</v>
      </c>
      <c r="BS13" s="11" t="s">
        <v>8</v>
      </c>
      <c r="BT13" s="11" t="s">
        <v>112</v>
      </c>
      <c r="BU13" s="11" t="s">
        <v>112</v>
      </c>
      <c r="BV13" s="13">
        <v>45623</v>
      </c>
      <c r="BW13" s="11" t="s">
        <v>8</v>
      </c>
      <c r="BX13" s="11" t="s">
        <v>113</v>
      </c>
      <c r="BY13" s="11" t="s">
        <v>113</v>
      </c>
      <c r="BZ13" s="13">
        <v>45648</v>
      </c>
      <c r="CA13" s="11" t="s">
        <v>260</v>
      </c>
      <c r="CB13" s="11" t="s">
        <v>588</v>
      </c>
    </row>
    <row r="14" spans="1:80" x14ac:dyDescent="0.25">
      <c r="A14" s="11">
        <v>202425</v>
      </c>
      <c r="B14" s="11" t="s">
        <v>14</v>
      </c>
      <c r="C14" s="11" t="s">
        <v>14</v>
      </c>
      <c r="D14" s="11" t="s">
        <v>82</v>
      </c>
      <c r="E14" s="11" t="s">
        <v>261</v>
      </c>
      <c r="F14" s="11">
        <v>1</v>
      </c>
      <c r="G14" s="11" t="s">
        <v>262</v>
      </c>
      <c r="H14" s="11" t="s">
        <v>2756</v>
      </c>
      <c r="I14" s="13">
        <v>45629</v>
      </c>
      <c r="J14" s="11">
        <v>3</v>
      </c>
      <c r="K14" s="11">
        <v>12</v>
      </c>
      <c r="L14" s="11">
        <v>2024</v>
      </c>
      <c r="M14" s="11" t="s">
        <v>2757</v>
      </c>
      <c r="N14" s="11" t="s">
        <v>7</v>
      </c>
      <c r="O14" s="11" t="s">
        <v>19</v>
      </c>
      <c r="P14" s="11">
        <v>-38.659469999999999</v>
      </c>
      <c r="Q14" s="11">
        <v>145.58077299999999</v>
      </c>
      <c r="R14" s="11" t="s">
        <v>588</v>
      </c>
      <c r="S14" s="11" t="s">
        <v>588</v>
      </c>
      <c r="T14" s="11">
        <v>3</v>
      </c>
      <c r="U14" s="11">
        <v>3</v>
      </c>
      <c r="V14" s="11" t="s">
        <v>588</v>
      </c>
      <c r="W14" s="11" t="s">
        <v>588</v>
      </c>
      <c r="X14" s="11">
        <v>6</v>
      </c>
      <c r="Y14" s="11">
        <v>4</v>
      </c>
      <c r="Z14" s="11" t="s">
        <v>41</v>
      </c>
      <c r="AA14" s="13">
        <v>45633</v>
      </c>
      <c r="AB14" s="11">
        <v>7</v>
      </c>
      <c r="AC14" s="11">
        <v>12</v>
      </c>
      <c r="AD14" s="11">
        <v>2024</v>
      </c>
      <c r="AE14" s="13" t="s">
        <v>2758</v>
      </c>
      <c r="AF14" s="11" t="s">
        <v>7</v>
      </c>
      <c r="AG14" s="13">
        <v>45639</v>
      </c>
      <c r="AH14" s="11">
        <v>13</v>
      </c>
      <c r="AI14" s="11">
        <v>12</v>
      </c>
      <c r="AJ14" s="11">
        <v>2024</v>
      </c>
      <c r="AK14" s="13" t="s">
        <v>2759</v>
      </c>
      <c r="AL14" s="11" t="s">
        <v>7</v>
      </c>
      <c r="AM14" s="11" t="s">
        <v>20</v>
      </c>
      <c r="AN14" s="11" t="s">
        <v>588</v>
      </c>
      <c r="AO14" s="11" t="s">
        <v>93</v>
      </c>
      <c r="AP14" s="11" t="s">
        <v>588</v>
      </c>
      <c r="AQ14" s="11" t="s">
        <v>588</v>
      </c>
      <c r="AR14" s="11" t="s">
        <v>588</v>
      </c>
      <c r="AS14" s="11" t="s">
        <v>588</v>
      </c>
      <c r="AT14" s="11" t="s">
        <v>588</v>
      </c>
      <c r="AU14" s="7" t="s">
        <v>588</v>
      </c>
      <c r="AV14" s="11" t="s">
        <v>588</v>
      </c>
      <c r="AW14" s="11" t="s">
        <v>588</v>
      </c>
      <c r="AX14" s="11" t="s">
        <v>588</v>
      </c>
      <c r="AY14" s="11" t="s">
        <v>588</v>
      </c>
      <c r="AZ14" s="11" t="s">
        <v>588</v>
      </c>
      <c r="BA14" s="7" t="s">
        <v>588</v>
      </c>
      <c r="BB14" s="11" t="s">
        <v>588</v>
      </c>
      <c r="BC14" s="11" t="s">
        <v>588</v>
      </c>
      <c r="BD14" s="11" t="s">
        <v>588</v>
      </c>
      <c r="BE14" s="11" t="s">
        <v>588</v>
      </c>
      <c r="BF14" s="11" t="s">
        <v>588</v>
      </c>
      <c r="BG14" s="7" t="s">
        <v>588</v>
      </c>
      <c r="BH14" s="11" t="s">
        <v>588</v>
      </c>
      <c r="BI14" s="11" t="s">
        <v>588</v>
      </c>
      <c r="BJ14" s="11" t="s">
        <v>588</v>
      </c>
      <c r="BK14" s="11" t="s">
        <v>588</v>
      </c>
      <c r="BL14" s="11" t="s">
        <v>588</v>
      </c>
      <c r="BM14" s="11" t="s">
        <v>588</v>
      </c>
      <c r="BN14" s="11" t="s">
        <v>588</v>
      </c>
      <c r="BO14" s="11" t="s">
        <v>588</v>
      </c>
      <c r="BP14" s="11" t="s">
        <v>588</v>
      </c>
      <c r="BQ14" s="11" t="s">
        <v>588</v>
      </c>
      <c r="BR14" s="11" t="s">
        <v>588</v>
      </c>
      <c r="BS14" s="11" t="s">
        <v>8</v>
      </c>
      <c r="BT14" s="11" t="s">
        <v>9</v>
      </c>
      <c r="BU14" s="11" t="s">
        <v>9</v>
      </c>
      <c r="BV14" s="13">
        <v>45629</v>
      </c>
      <c r="BW14" s="11" t="s">
        <v>588</v>
      </c>
      <c r="BX14" s="11" t="s">
        <v>588</v>
      </c>
      <c r="BY14" s="11" t="s">
        <v>588</v>
      </c>
      <c r="BZ14" s="11" t="s">
        <v>588</v>
      </c>
      <c r="CA14" s="11" t="s">
        <v>588</v>
      </c>
      <c r="CB14" s="11" t="s">
        <v>588</v>
      </c>
    </row>
    <row r="15" spans="1:80" x14ac:dyDescent="0.25">
      <c r="A15" s="11">
        <v>202425</v>
      </c>
      <c r="B15" s="11" t="s">
        <v>14</v>
      </c>
      <c r="C15" s="11" t="s">
        <v>14</v>
      </c>
      <c r="D15" s="11" t="s">
        <v>82</v>
      </c>
      <c r="E15" s="11" t="s">
        <v>261</v>
      </c>
      <c r="F15" s="11">
        <v>2</v>
      </c>
      <c r="G15" s="11" t="s">
        <v>263</v>
      </c>
      <c r="H15" s="11" t="s">
        <v>2760</v>
      </c>
      <c r="I15" s="13">
        <v>45645</v>
      </c>
      <c r="J15" s="11">
        <v>19</v>
      </c>
      <c r="K15" s="11">
        <v>12</v>
      </c>
      <c r="L15" s="11">
        <v>2024</v>
      </c>
      <c r="M15" s="11" t="s">
        <v>2761</v>
      </c>
      <c r="N15" s="11" t="s">
        <v>7</v>
      </c>
      <c r="O15" s="11" t="s">
        <v>19</v>
      </c>
      <c r="P15" s="11">
        <v>-38.659619999999997</v>
      </c>
      <c r="Q15" s="11">
        <v>145.5812</v>
      </c>
      <c r="R15" s="11" t="s">
        <v>588</v>
      </c>
      <c r="S15" s="11" t="s">
        <v>588</v>
      </c>
      <c r="T15" s="11">
        <v>2</v>
      </c>
      <c r="U15" s="11">
        <v>2</v>
      </c>
      <c r="V15" s="11" t="s">
        <v>588</v>
      </c>
      <c r="W15" s="11" t="s">
        <v>588</v>
      </c>
      <c r="X15" s="11">
        <v>3</v>
      </c>
      <c r="Y15" s="11">
        <v>3</v>
      </c>
      <c r="Z15" s="11" t="s">
        <v>41</v>
      </c>
      <c r="AA15" s="13">
        <v>45648</v>
      </c>
      <c r="AB15" s="11">
        <v>22</v>
      </c>
      <c r="AC15" s="11">
        <v>12</v>
      </c>
      <c r="AD15" s="11">
        <v>2024</v>
      </c>
      <c r="AE15" s="13" t="s">
        <v>2762</v>
      </c>
      <c r="AF15" s="11" t="s">
        <v>7</v>
      </c>
      <c r="AG15" s="13">
        <v>45654</v>
      </c>
      <c r="AH15" s="11">
        <v>28</v>
      </c>
      <c r="AI15" s="11">
        <v>12</v>
      </c>
      <c r="AJ15" s="11">
        <v>2024</v>
      </c>
      <c r="AK15" s="13" t="s">
        <v>2763</v>
      </c>
      <c r="AL15" s="11" t="s">
        <v>7</v>
      </c>
      <c r="AM15" s="11" t="s">
        <v>20</v>
      </c>
      <c r="AN15" s="11" t="s">
        <v>588</v>
      </c>
      <c r="AO15" s="11" t="s">
        <v>32</v>
      </c>
      <c r="AP15" s="11" t="s">
        <v>588</v>
      </c>
      <c r="AQ15" s="11" t="s">
        <v>588</v>
      </c>
      <c r="AR15" s="11" t="s">
        <v>588</v>
      </c>
      <c r="AS15" s="11" t="s">
        <v>588</v>
      </c>
      <c r="AT15" s="11" t="s">
        <v>588</v>
      </c>
      <c r="AU15" s="7" t="s">
        <v>588</v>
      </c>
      <c r="AV15" s="11" t="s">
        <v>588</v>
      </c>
      <c r="AW15" s="11" t="s">
        <v>588</v>
      </c>
      <c r="AX15" s="11" t="s">
        <v>588</v>
      </c>
      <c r="AY15" s="11" t="s">
        <v>588</v>
      </c>
      <c r="AZ15" s="11" t="s">
        <v>588</v>
      </c>
      <c r="BA15" s="7" t="s">
        <v>588</v>
      </c>
      <c r="BB15" s="11" t="s">
        <v>588</v>
      </c>
      <c r="BC15" s="11" t="s">
        <v>588</v>
      </c>
      <c r="BD15" s="11" t="s">
        <v>588</v>
      </c>
      <c r="BE15" s="11" t="s">
        <v>588</v>
      </c>
      <c r="BF15" s="11" t="s">
        <v>588</v>
      </c>
      <c r="BG15" s="7" t="s">
        <v>588</v>
      </c>
      <c r="BH15" s="11" t="s">
        <v>588</v>
      </c>
      <c r="BI15" s="11" t="s">
        <v>588</v>
      </c>
      <c r="BJ15" s="11" t="s">
        <v>588</v>
      </c>
      <c r="BK15" s="11" t="s">
        <v>588</v>
      </c>
      <c r="BL15" s="11" t="s">
        <v>588</v>
      </c>
      <c r="BM15" s="11" t="s">
        <v>588</v>
      </c>
      <c r="BN15" s="11" t="s">
        <v>588</v>
      </c>
      <c r="BO15" s="11" t="s">
        <v>588</v>
      </c>
      <c r="BP15" s="11" t="s">
        <v>588</v>
      </c>
      <c r="BQ15" s="11" t="s">
        <v>588</v>
      </c>
      <c r="BR15" s="11" t="s">
        <v>588</v>
      </c>
      <c r="BS15" s="11" t="s">
        <v>8</v>
      </c>
      <c r="BT15" s="11" t="s">
        <v>112</v>
      </c>
      <c r="BU15" s="11" t="s">
        <v>112</v>
      </c>
      <c r="BV15" s="13">
        <v>45645</v>
      </c>
      <c r="BW15" s="11" t="s">
        <v>588</v>
      </c>
      <c r="BX15" s="11" t="s">
        <v>588</v>
      </c>
      <c r="BY15" s="11" t="s">
        <v>588</v>
      </c>
      <c r="BZ15" s="11" t="s">
        <v>588</v>
      </c>
      <c r="CA15" s="11" t="s">
        <v>588</v>
      </c>
      <c r="CB15" s="11" t="s">
        <v>588</v>
      </c>
    </row>
    <row r="16" spans="1:80" x14ac:dyDescent="0.25">
      <c r="A16" s="11">
        <v>202425</v>
      </c>
      <c r="B16" s="11" t="s">
        <v>14</v>
      </c>
      <c r="C16" s="11" t="s">
        <v>14</v>
      </c>
      <c r="D16" s="11" t="s">
        <v>82</v>
      </c>
      <c r="E16" s="11" t="s">
        <v>261</v>
      </c>
      <c r="F16" s="11">
        <v>3</v>
      </c>
      <c r="G16" s="11" t="s">
        <v>264</v>
      </c>
      <c r="H16" s="11" t="s">
        <v>2764</v>
      </c>
      <c r="I16" s="13">
        <v>45661</v>
      </c>
      <c r="J16" s="11">
        <v>4</v>
      </c>
      <c r="K16" s="11">
        <v>1</v>
      </c>
      <c r="L16" s="11">
        <v>2025</v>
      </c>
      <c r="M16" s="11" t="s">
        <v>2729</v>
      </c>
      <c r="N16" s="11" t="s">
        <v>12</v>
      </c>
      <c r="O16" s="11" t="s">
        <v>19</v>
      </c>
      <c r="P16" s="11">
        <v>-38.659537</v>
      </c>
      <c r="Q16" s="11">
        <v>145.58113399999999</v>
      </c>
      <c r="R16" s="11" t="s">
        <v>588</v>
      </c>
      <c r="S16" s="11" t="s">
        <v>588</v>
      </c>
      <c r="T16" s="11">
        <v>2</v>
      </c>
      <c r="U16" s="11">
        <v>2</v>
      </c>
      <c r="V16" s="11" t="s">
        <v>588</v>
      </c>
      <c r="W16" s="11" t="s">
        <v>588</v>
      </c>
      <c r="X16" s="11">
        <v>7</v>
      </c>
      <c r="Y16" s="11">
        <v>6</v>
      </c>
      <c r="Z16" s="11" t="s">
        <v>41</v>
      </c>
      <c r="AA16" s="13">
        <v>45666</v>
      </c>
      <c r="AB16" s="11">
        <v>9</v>
      </c>
      <c r="AC16" s="11">
        <v>1</v>
      </c>
      <c r="AD16" s="11">
        <v>2025</v>
      </c>
      <c r="AE16" s="13" t="s">
        <v>2765</v>
      </c>
      <c r="AF16" s="11" t="s">
        <v>12</v>
      </c>
      <c r="AG16" s="13">
        <v>45669</v>
      </c>
      <c r="AH16" s="11">
        <v>12</v>
      </c>
      <c r="AI16" s="11">
        <v>1</v>
      </c>
      <c r="AJ16" s="11">
        <v>2025</v>
      </c>
      <c r="AK16" s="13" t="s">
        <v>2766</v>
      </c>
      <c r="AL16" s="11" t="s">
        <v>12</v>
      </c>
      <c r="AM16" s="11" t="s">
        <v>20</v>
      </c>
      <c r="AN16" s="11" t="s">
        <v>588</v>
      </c>
      <c r="AO16" s="11" t="s">
        <v>32</v>
      </c>
      <c r="AP16" s="11" t="s">
        <v>588</v>
      </c>
      <c r="AQ16" s="11" t="s">
        <v>588</v>
      </c>
      <c r="AR16" s="11" t="s">
        <v>588</v>
      </c>
      <c r="AS16" s="11" t="s">
        <v>588</v>
      </c>
      <c r="AT16" s="11" t="s">
        <v>588</v>
      </c>
      <c r="AU16" s="7" t="s">
        <v>588</v>
      </c>
      <c r="AV16" s="11" t="s">
        <v>588</v>
      </c>
      <c r="AW16" s="11" t="s">
        <v>588</v>
      </c>
      <c r="AX16" s="11" t="s">
        <v>588</v>
      </c>
      <c r="AY16" s="11" t="s">
        <v>588</v>
      </c>
      <c r="AZ16" s="11" t="s">
        <v>588</v>
      </c>
      <c r="BA16" s="7" t="s">
        <v>588</v>
      </c>
      <c r="BB16" s="11" t="s">
        <v>588</v>
      </c>
      <c r="BC16" s="11" t="s">
        <v>588</v>
      </c>
      <c r="BD16" s="11" t="s">
        <v>588</v>
      </c>
      <c r="BE16" s="11" t="s">
        <v>588</v>
      </c>
      <c r="BF16" s="11" t="s">
        <v>588</v>
      </c>
      <c r="BG16" s="7" t="s">
        <v>588</v>
      </c>
      <c r="BH16" s="11" t="s">
        <v>588</v>
      </c>
      <c r="BI16" s="11" t="s">
        <v>588</v>
      </c>
      <c r="BJ16" s="11" t="s">
        <v>588</v>
      </c>
      <c r="BK16" s="11" t="s">
        <v>588</v>
      </c>
      <c r="BL16" s="11" t="s">
        <v>588</v>
      </c>
      <c r="BM16" s="11" t="s">
        <v>588</v>
      </c>
      <c r="BN16" s="11" t="s">
        <v>588</v>
      </c>
      <c r="BO16" s="11" t="s">
        <v>588</v>
      </c>
      <c r="BP16" s="11" t="s">
        <v>588</v>
      </c>
      <c r="BQ16" s="11" t="s">
        <v>588</v>
      </c>
      <c r="BR16" s="11" t="s">
        <v>588</v>
      </c>
      <c r="BS16" s="11" t="s">
        <v>8</v>
      </c>
      <c r="BT16" s="11" t="s">
        <v>112</v>
      </c>
      <c r="BU16" s="11" t="s">
        <v>112</v>
      </c>
      <c r="BV16" s="13">
        <v>45661</v>
      </c>
      <c r="BW16" s="11" t="s">
        <v>588</v>
      </c>
      <c r="BX16" s="11" t="s">
        <v>588</v>
      </c>
      <c r="BY16" s="11" t="s">
        <v>588</v>
      </c>
      <c r="BZ16" s="11" t="s">
        <v>588</v>
      </c>
      <c r="CA16" s="11" t="s">
        <v>588</v>
      </c>
      <c r="CB16" s="11" t="s">
        <v>588</v>
      </c>
    </row>
    <row r="17" spans="1:80" x14ac:dyDescent="0.25">
      <c r="A17" s="11">
        <v>202425</v>
      </c>
      <c r="B17" s="11" t="s">
        <v>265</v>
      </c>
      <c r="C17" s="11" t="s">
        <v>265</v>
      </c>
      <c r="D17" s="11" t="s">
        <v>266</v>
      </c>
      <c r="E17" s="11" t="s">
        <v>267</v>
      </c>
      <c r="F17" s="11">
        <v>1</v>
      </c>
      <c r="G17" s="11" t="s">
        <v>268</v>
      </c>
      <c r="H17" s="11" t="s">
        <v>2767</v>
      </c>
      <c r="I17" s="13">
        <v>45657</v>
      </c>
      <c r="J17" s="11">
        <v>31</v>
      </c>
      <c r="K17" s="11">
        <v>12</v>
      </c>
      <c r="L17" s="11">
        <v>2024</v>
      </c>
      <c r="M17" s="11" t="s">
        <v>2768</v>
      </c>
      <c r="N17" s="11" t="s">
        <v>7</v>
      </c>
      <c r="O17" s="11" t="s">
        <v>51</v>
      </c>
      <c r="P17" s="11" t="s">
        <v>588</v>
      </c>
      <c r="Q17" s="11" t="s">
        <v>588</v>
      </c>
      <c r="R17" s="11">
        <v>-38.646042000000001</v>
      </c>
      <c r="S17" s="11">
        <v>145.55928</v>
      </c>
      <c r="T17" s="11">
        <v>3</v>
      </c>
      <c r="U17" s="11">
        <v>3</v>
      </c>
      <c r="V17" s="11" t="s">
        <v>588</v>
      </c>
      <c r="W17" s="11" t="s">
        <v>588</v>
      </c>
      <c r="X17" s="11">
        <v>2</v>
      </c>
      <c r="Y17" s="11">
        <v>2</v>
      </c>
      <c r="Z17" s="11" t="s">
        <v>41</v>
      </c>
      <c r="AA17" s="13">
        <v>45657</v>
      </c>
      <c r="AB17" s="11">
        <v>31</v>
      </c>
      <c r="AC17" s="11">
        <v>12</v>
      </c>
      <c r="AD17" s="11">
        <v>2024</v>
      </c>
      <c r="AE17" s="13" t="s">
        <v>2768</v>
      </c>
      <c r="AF17" s="11" t="s">
        <v>7</v>
      </c>
      <c r="AG17" s="13">
        <v>45662</v>
      </c>
      <c r="AH17" s="11">
        <v>5</v>
      </c>
      <c r="AI17" s="11">
        <v>1</v>
      </c>
      <c r="AJ17" s="11">
        <v>2025</v>
      </c>
      <c r="AK17" s="13" t="s">
        <v>2769</v>
      </c>
      <c r="AL17" s="11" t="s">
        <v>12</v>
      </c>
      <c r="AM17" s="11" t="s">
        <v>20</v>
      </c>
      <c r="AN17" s="11" t="s">
        <v>588</v>
      </c>
      <c r="AO17" s="11" t="s">
        <v>32</v>
      </c>
      <c r="AP17" s="11" t="s">
        <v>588</v>
      </c>
      <c r="AQ17" s="11" t="s">
        <v>588</v>
      </c>
      <c r="AR17" s="11" t="s">
        <v>588</v>
      </c>
      <c r="AS17" s="11" t="s">
        <v>588</v>
      </c>
      <c r="AT17" s="11" t="s">
        <v>588</v>
      </c>
      <c r="AU17" s="7" t="s">
        <v>588</v>
      </c>
      <c r="AV17" s="11" t="s">
        <v>588</v>
      </c>
      <c r="AW17" s="11" t="s">
        <v>588</v>
      </c>
      <c r="AX17" s="11" t="s">
        <v>588</v>
      </c>
      <c r="AY17" s="11" t="s">
        <v>588</v>
      </c>
      <c r="AZ17" s="11" t="s">
        <v>588</v>
      </c>
      <c r="BA17" s="7" t="s">
        <v>588</v>
      </c>
      <c r="BB17" s="11" t="s">
        <v>588</v>
      </c>
      <c r="BC17" s="11" t="s">
        <v>588</v>
      </c>
      <c r="BD17" s="11" t="s">
        <v>588</v>
      </c>
      <c r="BE17" s="11" t="s">
        <v>588</v>
      </c>
      <c r="BF17" s="11" t="s">
        <v>588</v>
      </c>
      <c r="BG17" s="7" t="s">
        <v>588</v>
      </c>
      <c r="BH17" s="11" t="s">
        <v>588</v>
      </c>
      <c r="BI17" s="11" t="s">
        <v>588</v>
      </c>
      <c r="BJ17" s="11" t="s">
        <v>588</v>
      </c>
      <c r="BK17" s="11" t="s">
        <v>588</v>
      </c>
      <c r="BL17" s="11" t="s">
        <v>588</v>
      </c>
      <c r="BM17" s="11" t="s">
        <v>588</v>
      </c>
      <c r="BN17" s="11" t="s">
        <v>588</v>
      </c>
      <c r="BO17" s="11" t="s">
        <v>588</v>
      </c>
      <c r="BP17" s="11" t="s">
        <v>588</v>
      </c>
      <c r="BQ17" s="11" t="s">
        <v>588</v>
      </c>
      <c r="BR17" s="11" t="s">
        <v>588</v>
      </c>
      <c r="BS17" s="11" t="s">
        <v>8</v>
      </c>
      <c r="BT17" s="11" t="s">
        <v>90</v>
      </c>
      <c r="BU17" s="11" t="s">
        <v>90</v>
      </c>
      <c r="BV17" s="13">
        <v>45657</v>
      </c>
      <c r="BW17" s="11" t="s">
        <v>588</v>
      </c>
      <c r="BX17" s="11" t="s">
        <v>588</v>
      </c>
      <c r="BY17" s="11" t="s">
        <v>588</v>
      </c>
      <c r="BZ17" s="11" t="s">
        <v>588</v>
      </c>
      <c r="CA17" s="11" t="s">
        <v>588</v>
      </c>
      <c r="CB17" s="11" t="s">
        <v>588</v>
      </c>
    </row>
    <row r="18" spans="1:80" x14ac:dyDescent="0.25">
      <c r="A18" s="11">
        <v>202425</v>
      </c>
      <c r="B18" s="11" t="s">
        <v>269</v>
      </c>
      <c r="C18" s="11" t="s">
        <v>269</v>
      </c>
      <c r="D18" s="11" t="s">
        <v>270</v>
      </c>
      <c r="E18" s="11" t="s">
        <v>16</v>
      </c>
      <c r="F18" s="11">
        <v>1</v>
      </c>
      <c r="G18" s="11" t="s">
        <v>271</v>
      </c>
      <c r="H18" s="11" t="s">
        <v>2770</v>
      </c>
      <c r="I18" s="13">
        <v>45598</v>
      </c>
      <c r="J18" s="11">
        <v>2</v>
      </c>
      <c r="K18" s="11">
        <v>11</v>
      </c>
      <c r="L18" s="11">
        <v>2024</v>
      </c>
      <c r="M18" s="11" t="s">
        <v>2771</v>
      </c>
      <c r="N18" s="11" t="s">
        <v>17</v>
      </c>
      <c r="O18" s="11" t="s">
        <v>51</v>
      </c>
      <c r="P18" s="11" t="s">
        <v>588</v>
      </c>
      <c r="Q18" s="11" t="s">
        <v>588</v>
      </c>
      <c r="R18" s="11">
        <v>-38.631790000000002</v>
      </c>
      <c r="S18" s="11">
        <v>145.550781</v>
      </c>
      <c r="T18" s="11">
        <v>3</v>
      </c>
      <c r="U18" s="11">
        <v>3</v>
      </c>
      <c r="V18" s="11" t="s">
        <v>588</v>
      </c>
      <c r="W18" s="11" t="s">
        <v>588</v>
      </c>
      <c r="X18" s="11">
        <v>2</v>
      </c>
      <c r="Y18" s="11">
        <v>2</v>
      </c>
      <c r="Z18" s="11" t="s">
        <v>41</v>
      </c>
      <c r="AA18" s="13">
        <v>45598</v>
      </c>
      <c r="AB18" s="11">
        <v>2</v>
      </c>
      <c r="AC18" s="11">
        <v>11</v>
      </c>
      <c r="AD18" s="11">
        <v>2024</v>
      </c>
      <c r="AE18" s="13" t="s">
        <v>2771</v>
      </c>
      <c r="AF18" s="11" t="s">
        <v>17</v>
      </c>
      <c r="AG18" s="13">
        <v>45601</v>
      </c>
      <c r="AH18" s="11">
        <v>5</v>
      </c>
      <c r="AI18" s="11">
        <v>11</v>
      </c>
      <c r="AJ18" s="11">
        <v>2024</v>
      </c>
      <c r="AK18" s="13" t="s">
        <v>2772</v>
      </c>
      <c r="AL18" s="11" t="s">
        <v>17</v>
      </c>
      <c r="AM18" s="11" t="s">
        <v>20</v>
      </c>
      <c r="AN18" s="11" t="s">
        <v>588</v>
      </c>
      <c r="AO18" s="11" t="s">
        <v>48</v>
      </c>
      <c r="AP18" s="11" t="s">
        <v>588</v>
      </c>
      <c r="AQ18" s="11" t="s">
        <v>588</v>
      </c>
      <c r="AR18" s="11" t="s">
        <v>588</v>
      </c>
      <c r="AS18" s="11" t="s">
        <v>588</v>
      </c>
      <c r="AT18" s="11" t="s">
        <v>588</v>
      </c>
      <c r="AU18" s="7" t="s">
        <v>588</v>
      </c>
      <c r="AV18" s="11" t="s">
        <v>588</v>
      </c>
      <c r="AW18" s="11" t="s">
        <v>588</v>
      </c>
      <c r="AX18" s="11" t="s">
        <v>588</v>
      </c>
      <c r="AY18" s="11" t="s">
        <v>588</v>
      </c>
      <c r="AZ18" s="11" t="s">
        <v>588</v>
      </c>
      <c r="BA18" s="7" t="s">
        <v>588</v>
      </c>
      <c r="BB18" s="11" t="s">
        <v>588</v>
      </c>
      <c r="BC18" s="11" t="s">
        <v>588</v>
      </c>
      <c r="BD18" s="11" t="s">
        <v>588</v>
      </c>
      <c r="BE18" s="11" t="s">
        <v>588</v>
      </c>
      <c r="BF18" s="11" t="s">
        <v>588</v>
      </c>
      <c r="BG18" s="7" t="s">
        <v>588</v>
      </c>
      <c r="BH18" s="11" t="s">
        <v>588</v>
      </c>
      <c r="BI18" s="11" t="s">
        <v>588</v>
      </c>
      <c r="BJ18" s="11" t="s">
        <v>588</v>
      </c>
      <c r="BK18" s="11" t="s">
        <v>588</v>
      </c>
      <c r="BL18" s="11" t="s">
        <v>588</v>
      </c>
      <c r="BM18" s="11" t="s">
        <v>588</v>
      </c>
      <c r="BN18" s="11" t="s">
        <v>588</v>
      </c>
      <c r="BO18" s="11" t="s">
        <v>588</v>
      </c>
      <c r="BP18" s="11" t="s">
        <v>588</v>
      </c>
      <c r="BQ18" s="11" t="s">
        <v>588</v>
      </c>
      <c r="BR18" s="11" t="s">
        <v>588</v>
      </c>
      <c r="BS18" s="11" t="s">
        <v>8</v>
      </c>
      <c r="BT18" s="11" t="s">
        <v>13</v>
      </c>
      <c r="BU18" s="11" t="s">
        <v>13</v>
      </c>
      <c r="BV18" s="13">
        <v>45598</v>
      </c>
      <c r="BW18" s="11" t="s">
        <v>588</v>
      </c>
      <c r="BX18" s="11" t="s">
        <v>588</v>
      </c>
      <c r="BY18" s="11" t="s">
        <v>588</v>
      </c>
      <c r="BZ18" s="11" t="s">
        <v>588</v>
      </c>
      <c r="CA18" s="11" t="s">
        <v>588</v>
      </c>
      <c r="CB18" s="11" t="s">
        <v>588</v>
      </c>
    </row>
    <row r="19" spans="1:80" x14ac:dyDescent="0.25">
      <c r="A19" s="11">
        <v>202425</v>
      </c>
      <c r="B19" s="11" t="s">
        <v>269</v>
      </c>
      <c r="C19" s="11" t="s">
        <v>269</v>
      </c>
      <c r="D19" s="11" t="s">
        <v>270</v>
      </c>
      <c r="E19" s="11" t="s">
        <v>16</v>
      </c>
      <c r="F19" s="11">
        <v>2</v>
      </c>
      <c r="G19" s="11" t="s">
        <v>272</v>
      </c>
      <c r="H19" s="11" t="s">
        <v>2773</v>
      </c>
      <c r="I19" s="13">
        <v>45659</v>
      </c>
      <c r="J19" s="11">
        <v>2</v>
      </c>
      <c r="K19" s="11">
        <v>1</v>
      </c>
      <c r="L19" s="11">
        <v>2025</v>
      </c>
      <c r="M19" s="11" t="s">
        <v>2774</v>
      </c>
      <c r="N19" s="11" t="s">
        <v>12</v>
      </c>
      <c r="O19" s="11" t="s">
        <v>36</v>
      </c>
      <c r="P19" s="11" t="s">
        <v>588</v>
      </c>
      <c r="Q19" s="11" t="s">
        <v>588</v>
      </c>
      <c r="R19" s="11">
        <v>-38.631790000000002</v>
      </c>
      <c r="S19" s="11">
        <v>145.550781</v>
      </c>
      <c r="T19" s="11">
        <v>2</v>
      </c>
      <c r="U19" s="11">
        <v>2</v>
      </c>
      <c r="V19" s="11" t="s">
        <v>588</v>
      </c>
      <c r="W19" s="11" t="s">
        <v>588</v>
      </c>
      <c r="X19" s="11">
        <v>4</v>
      </c>
      <c r="Y19" s="11">
        <v>4</v>
      </c>
      <c r="Z19" s="11" t="s">
        <v>8</v>
      </c>
      <c r="AA19" s="13">
        <v>45677</v>
      </c>
      <c r="AB19" s="11">
        <v>20</v>
      </c>
      <c r="AC19" s="11">
        <v>1</v>
      </c>
      <c r="AD19" s="11">
        <v>2025</v>
      </c>
      <c r="AE19" s="13" t="s">
        <v>2775</v>
      </c>
      <c r="AF19" s="11" t="s">
        <v>588</v>
      </c>
      <c r="AG19" s="11" t="s">
        <v>588</v>
      </c>
      <c r="AH19" s="11" t="s">
        <v>588</v>
      </c>
      <c r="AI19" s="11" t="s">
        <v>588</v>
      </c>
      <c r="AJ19" s="11" t="s">
        <v>588</v>
      </c>
      <c r="AK19" s="13" t="s">
        <v>588</v>
      </c>
      <c r="AL19" s="11" t="s">
        <v>588</v>
      </c>
      <c r="AM19" s="11" t="s">
        <v>588</v>
      </c>
      <c r="AN19" s="11" t="s">
        <v>588</v>
      </c>
      <c r="AO19" s="11" t="s">
        <v>588</v>
      </c>
      <c r="AP19" s="13">
        <v>45681</v>
      </c>
      <c r="AQ19" s="11" t="s">
        <v>12</v>
      </c>
      <c r="AR19" s="11" t="s">
        <v>195</v>
      </c>
      <c r="AS19" s="11">
        <v>2</v>
      </c>
      <c r="AT19" s="11">
        <v>2</v>
      </c>
      <c r="AU19" s="7" t="s">
        <v>588</v>
      </c>
      <c r="AV19" s="11" t="s">
        <v>588</v>
      </c>
      <c r="AW19" s="11" t="s">
        <v>588</v>
      </c>
      <c r="AX19" s="11" t="s">
        <v>588</v>
      </c>
      <c r="AY19" s="11" t="s">
        <v>588</v>
      </c>
      <c r="AZ19" s="11" t="s">
        <v>588</v>
      </c>
      <c r="BA19" s="7" t="s">
        <v>588</v>
      </c>
      <c r="BB19" s="11" t="s">
        <v>588</v>
      </c>
      <c r="BC19" s="11" t="s">
        <v>588</v>
      </c>
      <c r="BD19" s="11" t="s">
        <v>588</v>
      </c>
      <c r="BE19" s="11" t="s">
        <v>588</v>
      </c>
      <c r="BF19" s="11" t="s">
        <v>588</v>
      </c>
      <c r="BG19" s="7" t="s">
        <v>588</v>
      </c>
      <c r="BH19" s="11" t="s">
        <v>588</v>
      </c>
      <c r="BI19" s="11" t="s">
        <v>588</v>
      </c>
      <c r="BJ19" s="11" t="s">
        <v>588</v>
      </c>
      <c r="BK19" s="11" t="s">
        <v>588</v>
      </c>
      <c r="BL19" s="11" t="s">
        <v>588</v>
      </c>
      <c r="BM19" s="11">
        <v>13</v>
      </c>
      <c r="BN19" s="11">
        <v>13</v>
      </c>
      <c r="BO19" s="11" t="s">
        <v>8</v>
      </c>
      <c r="BP19" s="11">
        <v>2</v>
      </c>
      <c r="BQ19" s="13">
        <v>45716</v>
      </c>
      <c r="BR19" s="11" t="s">
        <v>21</v>
      </c>
      <c r="BS19" s="11" t="s">
        <v>8</v>
      </c>
      <c r="BT19" s="11" t="s">
        <v>9</v>
      </c>
      <c r="BU19" s="11" t="s">
        <v>9</v>
      </c>
      <c r="BV19" s="13">
        <v>45659</v>
      </c>
      <c r="BW19" s="11" t="s">
        <v>8</v>
      </c>
      <c r="BX19" s="11" t="s">
        <v>273</v>
      </c>
      <c r="BY19" s="11" t="s">
        <v>273</v>
      </c>
      <c r="BZ19" s="13">
        <v>45681</v>
      </c>
      <c r="CA19" s="11" t="s">
        <v>588</v>
      </c>
      <c r="CB19" s="11" t="s">
        <v>588</v>
      </c>
    </row>
    <row r="20" spans="1:80" x14ac:dyDescent="0.25">
      <c r="A20" s="11">
        <v>202425</v>
      </c>
      <c r="B20" s="11" t="s">
        <v>274</v>
      </c>
      <c r="C20" s="11" t="s">
        <v>274</v>
      </c>
      <c r="D20" s="11" t="s">
        <v>275</v>
      </c>
      <c r="E20" s="11" t="s">
        <v>276</v>
      </c>
      <c r="F20" s="11">
        <v>1</v>
      </c>
      <c r="G20" s="11" t="s">
        <v>277</v>
      </c>
      <c r="H20" s="11" t="s">
        <v>2776</v>
      </c>
      <c r="I20" s="13">
        <v>45672</v>
      </c>
      <c r="J20" s="11">
        <v>15</v>
      </c>
      <c r="K20" s="11">
        <v>1</v>
      </c>
      <c r="L20" s="11">
        <v>2025</v>
      </c>
      <c r="M20" s="11" t="s">
        <v>2777</v>
      </c>
      <c r="N20" s="11" t="s">
        <v>12</v>
      </c>
      <c r="O20" s="11" t="s">
        <v>10</v>
      </c>
      <c r="P20" s="11" t="s">
        <v>588</v>
      </c>
      <c r="Q20" s="11" t="s">
        <v>588</v>
      </c>
      <c r="R20" s="11">
        <v>-38.640934000000001</v>
      </c>
      <c r="S20" s="11">
        <v>145.55595400000001</v>
      </c>
      <c r="T20" s="11">
        <v>2</v>
      </c>
      <c r="U20" s="11">
        <v>3</v>
      </c>
      <c r="V20" s="11" t="s">
        <v>588</v>
      </c>
      <c r="W20" s="11" t="s">
        <v>588</v>
      </c>
      <c r="X20" s="11">
        <v>3</v>
      </c>
      <c r="Y20" s="11">
        <v>3</v>
      </c>
      <c r="Z20" s="11" t="s">
        <v>41</v>
      </c>
      <c r="AA20" s="13">
        <v>45681</v>
      </c>
      <c r="AB20" s="11">
        <v>24</v>
      </c>
      <c r="AC20" s="11">
        <v>1</v>
      </c>
      <c r="AD20" s="11">
        <v>2025</v>
      </c>
      <c r="AE20" s="13" t="s">
        <v>2749</v>
      </c>
      <c r="AF20" s="11" t="s">
        <v>12</v>
      </c>
      <c r="AG20" s="13">
        <v>45684</v>
      </c>
      <c r="AH20" s="11">
        <v>27</v>
      </c>
      <c r="AI20" s="11">
        <v>1</v>
      </c>
      <c r="AJ20" s="11">
        <v>2025</v>
      </c>
      <c r="AK20" s="13" t="s">
        <v>2778</v>
      </c>
      <c r="AL20" s="11" t="s">
        <v>12</v>
      </c>
      <c r="AM20" s="11" t="s">
        <v>20</v>
      </c>
      <c r="AN20" s="11" t="s">
        <v>588</v>
      </c>
      <c r="AO20" s="11" t="s">
        <v>81</v>
      </c>
      <c r="AP20" s="11" t="s">
        <v>588</v>
      </c>
      <c r="AQ20" s="11" t="s">
        <v>588</v>
      </c>
      <c r="AR20" s="11" t="s">
        <v>588</v>
      </c>
      <c r="AS20" s="11" t="s">
        <v>588</v>
      </c>
      <c r="AT20" s="11" t="s">
        <v>588</v>
      </c>
      <c r="AU20" s="7" t="s">
        <v>588</v>
      </c>
      <c r="AV20" s="11" t="s">
        <v>588</v>
      </c>
      <c r="AW20" s="11" t="s">
        <v>588</v>
      </c>
      <c r="AX20" s="11" t="s">
        <v>588</v>
      </c>
      <c r="AY20" s="11" t="s">
        <v>588</v>
      </c>
      <c r="AZ20" s="11" t="s">
        <v>588</v>
      </c>
      <c r="BA20" s="7" t="s">
        <v>588</v>
      </c>
      <c r="BB20" s="11" t="s">
        <v>588</v>
      </c>
      <c r="BC20" s="11" t="s">
        <v>588</v>
      </c>
      <c r="BD20" s="11" t="s">
        <v>588</v>
      </c>
      <c r="BE20" s="11" t="s">
        <v>588</v>
      </c>
      <c r="BF20" s="11" t="s">
        <v>588</v>
      </c>
      <c r="BG20" s="7" t="s">
        <v>588</v>
      </c>
      <c r="BH20" s="11" t="s">
        <v>588</v>
      </c>
      <c r="BI20" s="11" t="s">
        <v>588</v>
      </c>
      <c r="BJ20" s="11" t="s">
        <v>588</v>
      </c>
      <c r="BK20" s="11" t="s">
        <v>588</v>
      </c>
      <c r="BL20" s="11" t="s">
        <v>588</v>
      </c>
      <c r="BM20" s="11" t="s">
        <v>588</v>
      </c>
      <c r="BN20" s="11" t="s">
        <v>588</v>
      </c>
      <c r="BO20" s="11" t="s">
        <v>588</v>
      </c>
      <c r="BP20" s="11" t="s">
        <v>588</v>
      </c>
      <c r="BQ20" s="11" t="s">
        <v>588</v>
      </c>
      <c r="BR20" s="11" t="s">
        <v>588</v>
      </c>
      <c r="BS20" s="11" t="s">
        <v>8</v>
      </c>
      <c r="BT20" s="11" t="s">
        <v>9</v>
      </c>
      <c r="BU20" s="11" t="s">
        <v>9</v>
      </c>
      <c r="BV20" s="13">
        <v>45672</v>
      </c>
      <c r="BW20" s="11" t="s">
        <v>588</v>
      </c>
      <c r="BX20" s="11" t="s">
        <v>588</v>
      </c>
      <c r="BY20" s="11" t="s">
        <v>588</v>
      </c>
      <c r="BZ20" s="11" t="s">
        <v>588</v>
      </c>
      <c r="CA20" s="11" t="s">
        <v>588</v>
      </c>
      <c r="CB20" s="11" t="s">
        <v>588</v>
      </c>
    </row>
    <row r="21" spans="1:80" x14ac:dyDescent="0.25">
      <c r="A21" s="11">
        <v>202425</v>
      </c>
      <c r="B21" s="11" t="s">
        <v>274</v>
      </c>
      <c r="C21" s="11" t="s">
        <v>274</v>
      </c>
      <c r="D21" s="11" t="s">
        <v>275</v>
      </c>
      <c r="E21" s="11" t="s">
        <v>276</v>
      </c>
      <c r="F21" s="11">
        <v>2</v>
      </c>
      <c r="G21" s="11" t="s">
        <v>278</v>
      </c>
      <c r="H21" s="11" t="s">
        <v>2779</v>
      </c>
      <c r="I21" s="13">
        <v>45699</v>
      </c>
      <c r="J21" s="11">
        <v>11</v>
      </c>
      <c r="K21" s="11">
        <v>2</v>
      </c>
      <c r="L21" s="11">
        <v>2025</v>
      </c>
      <c r="M21" s="11" t="s">
        <v>2780</v>
      </c>
      <c r="N21" s="11" t="s">
        <v>21</v>
      </c>
      <c r="O21" s="11" t="s">
        <v>10</v>
      </c>
      <c r="P21" s="11">
        <v>-38.637577999999998</v>
      </c>
      <c r="Q21" s="11">
        <v>145.55362</v>
      </c>
      <c r="R21" s="11" t="s">
        <v>588</v>
      </c>
      <c r="S21" s="11" t="s">
        <v>588</v>
      </c>
      <c r="T21" s="11">
        <v>2</v>
      </c>
      <c r="U21" s="11">
        <v>2</v>
      </c>
      <c r="V21" s="11" t="s">
        <v>588</v>
      </c>
      <c r="W21" s="11" t="s">
        <v>588</v>
      </c>
      <c r="X21" s="11">
        <v>8</v>
      </c>
      <c r="Y21" s="11">
        <v>8</v>
      </c>
      <c r="Z21" s="11" t="s">
        <v>8</v>
      </c>
      <c r="AA21" s="13">
        <v>45724</v>
      </c>
      <c r="AB21" s="11">
        <v>8</v>
      </c>
      <c r="AC21" s="11">
        <v>3</v>
      </c>
      <c r="AD21" s="11">
        <v>2025</v>
      </c>
      <c r="AE21" s="13" t="s">
        <v>2781</v>
      </c>
      <c r="AF21" s="11" t="s">
        <v>588</v>
      </c>
      <c r="AG21" s="11" t="s">
        <v>588</v>
      </c>
      <c r="AH21" s="11" t="s">
        <v>588</v>
      </c>
      <c r="AI21" s="11" t="s">
        <v>588</v>
      </c>
      <c r="AJ21" s="11" t="s">
        <v>588</v>
      </c>
      <c r="AK21" s="13" t="s">
        <v>588</v>
      </c>
      <c r="AL21" s="11" t="s">
        <v>588</v>
      </c>
      <c r="AM21" s="11" t="s">
        <v>588</v>
      </c>
      <c r="AN21" s="11" t="s">
        <v>588</v>
      </c>
      <c r="AO21" s="11" t="s">
        <v>588</v>
      </c>
      <c r="AP21" s="13">
        <v>45726</v>
      </c>
      <c r="AQ21" s="11" t="s">
        <v>22</v>
      </c>
      <c r="AR21" s="11" t="s">
        <v>195</v>
      </c>
      <c r="AS21" s="11">
        <v>2</v>
      </c>
      <c r="AT21" s="11">
        <v>2</v>
      </c>
      <c r="AU21" s="7">
        <v>45726</v>
      </c>
      <c r="AV21" s="13">
        <v>45728</v>
      </c>
      <c r="AW21" s="11" t="s">
        <v>22</v>
      </c>
      <c r="AX21" s="11" t="s">
        <v>20</v>
      </c>
      <c r="AY21" s="11" t="s">
        <v>588</v>
      </c>
      <c r="AZ21" s="11" t="s">
        <v>20</v>
      </c>
      <c r="BA21" s="7">
        <v>45726</v>
      </c>
      <c r="BB21" s="13">
        <v>45728</v>
      </c>
      <c r="BC21" s="11" t="s">
        <v>22</v>
      </c>
      <c r="BD21" s="11" t="s">
        <v>20</v>
      </c>
      <c r="BE21" s="11" t="s">
        <v>588</v>
      </c>
      <c r="BF21" s="11" t="s">
        <v>20</v>
      </c>
      <c r="BG21" s="7" t="s">
        <v>588</v>
      </c>
      <c r="BH21" s="11" t="s">
        <v>588</v>
      </c>
      <c r="BI21" s="11" t="s">
        <v>588</v>
      </c>
      <c r="BJ21" s="11" t="s">
        <v>588</v>
      </c>
      <c r="BK21" s="11" t="s">
        <v>588</v>
      </c>
      <c r="BL21" s="11" t="s">
        <v>588</v>
      </c>
      <c r="BM21" s="11">
        <v>3</v>
      </c>
      <c r="BN21" s="11">
        <v>3</v>
      </c>
      <c r="BO21" s="11" t="s">
        <v>41</v>
      </c>
      <c r="BP21" s="11" t="s">
        <v>588</v>
      </c>
      <c r="BQ21" s="11" t="s">
        <v>588</v>
      </c>
      <c r="BR21" s="11" t="s">
        <v>588</v>
      </c>
      <c r="BS21" s="11" t="s">
        <v>8</v>
      </c>
      <c r="BT21" s="11" t="s">
        <v>112</v>
      </c>
      <c r="BU21" s="11" t="s">
        <v>112</v>
      </c>
      <c r="BV21" s="13">
        <v>45699</v>
      </c>
      <c r="BW21" s="11" t="s">
        <v>8</v>
      </c>
      <c r="BX21" s="11" t="s">
        <v>116</v>
      </c>
      <c r="BY21" s="11" t="s">
        <v>116</v>
      </c>
      <c r="BZ21" s="13">
        <v>45726</v>
      </c>
      <c r="CA21" s="11" t="s">
        <v>279</v>
      </c>
      <c r="CB21" s="11" t="s">
        <v>588</v>
      </c>
    </row>
    <row r="22" spans="1:80" x14ac:dyDescent="0.25">
      <c r="A22" s="11">
        <v>202425</v>
      </c>
      <c r="B22" s="11" t="s">
        <v>280</v>
      </c>
      <c r="C22" s="11" t="s">
        <v>280</v>
      </c>
      <c r="D22" s="11" t="s">
        <v>281</v>
      </c>
      <c r="E22" s="11" t="s">
        <v>16</v>
      </c>
      <c r="F22" s="11">
        <v>1</v>
      </c>
      <c r="G22" s="11" t="s">
        <v>282</v>
      </c>
      <c r="H22" s="11" t="s">
        <v>2782</v>
      </c>
      <c r="I22" s="13">
        <v>45619</v>
      </c>
      <c r="J22" s="11">
        <v>23</v>
      </c>
      <c r="K22" s="11">
        <v>11</v>
      </c>
      <c r="L22" s="11">
        <v>2024</v>
      </c>
      <c r="M22" s="11" t="s">
        <v>2783</v>
      </c>
      <c r="N22" s="11" t="s">
        <v>17</v>
      </c>
      <c r="O22" s="11" t="s">
        <v>10</v>
      </c>
      <c r="P22" s="11">
        <v>-38.6295</v>
      </c>
      <c r="Q22" s="11">
        <v>145.54929999999999</v>
      </c>
      <c r="R22" s="11" t="s">
        <v>588</v>
      </c>
      <c r="S22" s="11" t="s">
        <v>588</v>
      </c>
      <c r="T22" s="11">
        <v>1</v>
      </c>
      <c r="U22" s="11">
        <v>3</v>
      </c>
      <c r="V22" s="11" t="s">
        <v>588</v>
      </c>
      <c r="W22" s="11" t="s">
        <v>588</v>
      </c>
      <c r="X22" s="11">
        <v>2</v>
      </c>
      <c r="Y22" s="11">
        <v>2</v>
      </c>
      <c r="Z22" s="11" t="s">
        <v>41</v>
      </c>
      <c r="AA22" s="13">
        <v>45619</v>
      </c>
      <c r="AB22" s="11">
        <v>23</v>
      </c>
      <c r="AC22" s="11">
        <v>11</v>
      </c>
      <c r="AD22" s="11">
        <v>2024</v>
      </c>
      <c r="AE22" s="13" t="s">
        <v>2783</v>
      </c>
      <c r="AF22" s="11" t="s">
        <v>17</v>
      </c>
      <c r="AG22" s="13">
        <v>45637</v>
      </c>
      <c r="AH22" s="11">
        <v>11</v>
      </c>
      <c r="AI22" s="11">
        <v>12</v>
      </c>
      <c r="AJ22" s="11">
        <v>2024</v>
      </c>
      <c r="AK22" s="13" t="s">
        <v>2739</v>
      </c>
      <c r="AL22" s="11" t="s">
        <v>7</v>
      </c>
      <c r="AM22" s="11" t="s">
        <v>20</v>
      </c>
      <c r="AN22" s="11" t="s">
        <v>588</v>
      </c>
      <c r="AO22" s="11" t="s">
        <v>20</v>
      </c>
      <c r="AP22" s="11" t="s">
        <v>588</v>
      </c>
      <c r="AQ22" s="11" t="s">
        <v>588</v>
      </c>
      <c r="AR22" s="11" t="s">
        <v>588</v>
      </c>
      <c r="AS22" s="11" t="s">
        <v>588</v>
      </c>
      <c r="AT22" s="11" t="s">
        <v>588</v>
      </c>
      <c r="AU22" s="7" t="s">
        <v>588</v>
      </c>
      <c r="AV22" s="11" t="s">
        <v>588</v>
      </c>
      <c r="AW22" s="11" t="s">
        <v>588</v>
      </c>
      <c r="AX22" s="11" t="s">
        <v>588</v>
      </c>
      <c r="AY22" s="11" t="s">
        <v>588</v>
      </c>
      <c r="AZ22" s="11" t="s">
        <v>588</v>
      </c>
      <c r="BA22" s="7" t="s">
        <v>588</v>
      </c>
      <c r="BB22" s="11" t="s">
        <v>588</v>
      </c>
      <c r="BC22" s="11" t="s">
        <v>588</v>
      </c>
      <c r="BD22" s="11" t="s">
        <v>588</v>
      </c>
      <c r="BE22" s="11" t="s">
        <v>588</v>
      </c>
      <c r="BF22" s="11" t="s">
        <v>588</v>
      </c>
      <c r="BG22" s="7" t="s">
        <v>588</v>
      </c>
      <c r="BH22" s="11" t="s">
        <v>588</v>
      </c>
      <c r="BI22" s="11" t="s">
        <v>588</v>
      </c>
      <c r="BJ22" s="11" t="s">
        <v>588</v>
      </c>
      <c r="BK22" s="11" t="s">
        <v>588</v>
      </c>
      <c r="BL22" s="11" t="s">
        <v>588</v>
      </c>
      <c r="BM22" s="11" t="s">
        <v>588</v>
      </c>
      <c r="BN22" s="11" t="s">
        <v>588</v>
      </c>
      <c r="BO22" s="11" t="s">
        <v>588</v>
      </c>
      <c r="BP22" s="11" t="s">
        <v>588</v>
      </c>
      <c r="BQ22" s="11" t="s">
        <v>588</v>
      </c>
      <c r="BR22" s="11" t="s">
        <v>588</v>
      </c>
      <c r="BS22" s="11" t="s">
        <v>41</v>
      </c>
      <c r="BT22" s="11" t="s">
        <v>42</v>
      </c>
      <c r="BU22" s="11" t="s">
        <v>42</v>
      </c>
      <c r="BV22" s="11" t="s">
        <v>588</v>
      </c>
      <c r="BW22" s="11" t="s">
        <v>588</v>
      </c>
      <c r="BX22" s="11" t="s">
        <v>588</v>
      </c>
      <c r="BY22" s="11" t="s">
        <v>588</v>
      </c>
      <c r="BZ22" s="11" t="s">
        <v>588</v>
      </c>
      <c r="CA22" s="11" t="s">
        <v>588</v>
      </c>
      <c r="CB22" s="11" t="s">
        <v>588</v>
      </c>
    </row>
    <row r="23" spans="1:80" x14ac:dyDescent="0.25">
      <c r="A23" s="11">
        <v>202425</v>
      </c>
      <c r="B23" s="11" t="s">
        <v>280</v>
      </c>
      <c r="C23" s="11" t="s">
        <v>280</v>
      </c>
      <c r="D23" s="11" t="s">
        <v>281</v>
      </c>
      <c r="E23" s="11" t="s">
        <v>16</v>
      </c>
      <c r="F23" s="11">
        <v>2</v>
      </c>
      <c r="G23" s="11" t="s">
        <v>283</v>
      </c>
      <c r="H23" s="11" t="s">
        <v>2784</v>
      </c>
      <c r="I23" s="13">
        <v>45637</v>
      </c>
      <c r="J23" s="11">
        <v>11</v>
      </c>
      <c r="K23" s="11">
        <v>12</v>
      </c>
      <c r="L23" s="11">
        <v>2024</v>
      </c>
      <c r="M23" s="11" t="s">
        <v>2739</v>
      </c>
      <c r="N23" s="11" t="s">
        <v>7</v>
      </c>
      <c r="O23" s="11" t="s">
        <v>10</v>
      </c>
      <c r="P23" s="11">
        <v>-38.606974999999998</v>
      </c>
      <c r="Q23" s="11">
        <v>145.53405799999999</v>
      </c>
      <c r="R23" s="11" t="s">
        <v>588</v>
      </c>
      <c r="S23" s="11" t="s">
        <v>588</v>
      </c>
      <c r="T23" s="11">
        <v>3</v>
      </c>
      <c r="U23" s="11">
        <v>3</v>
      </c>
      <c r="V23" s="11" t="s">
        <v>588</v>
      </c>
      <c r="W23" s="11" t="s">
        <v>588</v>
      </c>
      <c r="X23" s="11">
        <v>2</v>
      </c>
      <c r="Y23" s="11">
        <v>2</v>
      </c>
      <c r="Z23" s="11" t="s">
        <v>41</v>
      </c>
      <c r="AA23" s="13">
        <v>45637</v>
      </c>
      <c r="AB23" s="11">
        <v>11</v>
      </c>
      <c r="AC23" s="11">
        <v>12</v>
      </c>
      <c r="AD23" s="11">
        <v>2024</v>
      </c>
      <c r="AE23" s="13" t="s">
        <v>2739</v>
      </c>
      <c r="AF23" s="11" t="s">
        <v>7</v>
      </c>
      <c r="AG23" s="13">
        <v>45644</v>
      </c>
      <c r="AH23" s="11">
        <v>18</v>
      </c>
      <c r="AI23" s="11">
        <v>12</v>
      </c>
      <c r="AJ23" s="11">
        <v>2024</v>
      </c>
      <c r="AK23" s="13" t="s">
        <v>2785</v>
      </c>
      <c r="AL23" s="11" t="s">
        <v>7</v>
      </c>
      <c r="AM23" s="11" t="s">
        <v>20</v>
      </c>
      <c r="AN23" s="11" t="s">
        <v>588</v>
      </c>
      <c r="AO23" s="11" t="s">
        <v>11</v>
      </c>
      <c r="AP23" s="11" t="s">
        <v>588</v>
      </c>
      <c r="AQ23" s="11" t="s">
        <v>588</v>
      </c>
      <c r="AR23" s="11" t="s">
        <v>588</v>
      </c>
      <c r="AS23" s="11" t="s">
        <v>588</v>
      </c>
      <c r="AT23" s="11" t="s">
        <v>588</v>
      </c>
      <c r="AU23" s="7" t="s">
        <v>588</v>
      </c>
      <c r="AV23" s="11" t="s">
        <v>588</v>
      </c>
      <c r="AW23" s="11" t="s">
        <v>588</v>
      </c>
      <c r="AX23" s="11" t="s">
        <v>588</v>
      </c>
      <c r="AY23" s="11" t="s">
        <v>588</v>
      </c>
      <c r="AZ23" s="11" t="s">
        <v>588</v>
      </c>
      <c r="BA23" s="7" t="s">
        <v>588</v>
      </c>
      <c r="BB23" s="11" t="s">
        <v>588</v>
      </c>
      <c r="BC23" s="11" t="s">
        <v>588</v>
      </c>
      <c r="BD23" s="11" t="s">
        <v>588</v>
      </c>
      <c r="BE23" s="11" t="s">
        <v>588</v>
      </c>
      <c r="BF23" s="11" t="s">
        <v>588</v>
      </c>
      <c r="BG23" s="7" t="s">
        <v>588</v>
      </c>
      <c r="BH23" s="11" t="s">
        <v>588</v>
      </c>
      <c r="BI23" s="11" t="s">
        <v>588</v>
      </c>
      <c r="BJ23" s="11" t="s">
        <v>588</v>
      </c>
      <c r="BK23" s="11" t="s">
        <v>588</v>
      </c>
      <c r="BL23" s="11" t="s">
        <v>588</v>
      </c>
      <c r="BM23" s="11" t="s">
        <v>588</v>
      </c>
      <c r="BN23" s="11" t="s">
        <v>588</v>
      </c>
      <c r="BO23" s="11" t="s">
        <v>588</v>
      </c>
      <c r="BP23" s="11" t="s">
        <v>588</v>
      </c>
      <c r="BQ23" s="11" t="s">
        <v>588</v>
      </c>
      <c r="BR23" s="11" t="s">
        <v>588</v>
      </c>
      <c r="BS23" s="11" t="s">
        <v>41</v>
      </c>
      <c r="BT23" s="11" t="s">
        <v>42</v>
      </c>
      <c r="BU23" s="11" t="s">
        <v>42</v>
      </c>
      <c r="BV23" s="11" t="s">
        <v>588</v>
      </c>
      <c r="BW23" s="11" t="s">
        <v>588</v>
      </c>
      <c r="BX23" s="11" t="s">
        <v>588</v>
      </c>
      <c r="BY23" s="11" t="s">
        <v>588</v>
      </c>
      <c r="BZ23" s="11" t="s">
        <v>588</v>
      </c>
      <c r="CA23" s="11" t="s">
        <v>588</v>
      </c>
      <c r="CB23" s="11" t="s">
        <v>588</v>
      </c>
    </row>
    <row r="24" spans="1:80" x14ac:dyDescent="0.25">
      <c r="A24" s="11">
        <v>202425</v>
      </c>
      <c r="B24" s="11" t="s">
        <v>284</v>
      </c>
      <c r="C24" s="11" t="s">
        <v>284</v>
      </c>
      <c r="D24" s="11" t="s">
        <v>285</v>
      </c>
      <c r="E24" s="11" t="s">
        <v>286</v>
      </c>
      <c r="F24" s="11">
        <v>1</v>
      </c>
      <c r="G24" s="11" t="s">
        <v>287</v>
      </c>
      <c r="H24" s="11" t="s">
        <v>2786</v>
      </c>
      <c r="I24" s="13">
        <v>45632</v>
      </c>
      <c r="J24" s="11">
        <v>6</v>
      </c>
      <c r="K24" s="11">
        <v>12</v>
      </c>
      <c r="L24" s="11">
        <v>2024</v>
      </c>
      <c r="M24" s="11" t="s">
        <v>2787</v>
      </c>
      <c r="N24" s="11" t="s">
        <v>7</v>
      </c>
      <c r="O24" s="11" t="s">
        <v>51</v>
      </c>
      <c r="P24" s="11">
        <v>-38.58943</v>
      </c>
      <c r="Q24" s="11">
        <v>145.51795000000001</v>
      </c>
      <c r="R24" s="11" t="s">
        <v>588</v>
      </c>
      <c r="S24" s="11" t="s">
        <v>588</v>
      </c>
      <c r="T24" s="11">
        <v>2</v>
      </c>
      <c r="U24" s="11">
        <v>2</v>
      </c>
      <c r="V24" s="11" t="s">
        <v>588</v>
      </c>
      <c r="W24" s="11" t="s">
        <v>588</v>
      </c>
      <c r="X24" s="11">
        <v>5</v>
      </c>
      <c r="Y24" s="11">
        <v>5</v>
      </c>
      <c r="Z24" s="11" t="s">
        <v>41</v>
      </c>
      <c r="AA24" s="13">
        <v>45639</v>
      </c>
      <c r="AB24" s="11">
        <v>13</v>
      </c>
      <c r="AC24" s="11">
        <v>12</v>
      </c>
      <c r="AD24" s="11">
        <v>2024</v>
      </c>
      <c r="AE24" s="13" t="s">
        <v>2759</v>
      </c>
      <c r="AF24" s="11" t="s">
        <v>7</v>
      </c>
      <c r="AG24" s="13">
        <v>45644</v>
      </c>
      <c r="AH24" s="11">
        <v>18</v>
      </c>
      <c r="AI24" s="11">
        <v>12</v>
      </c>
      <c r="AJ24" s="11">
        <v>2024</v>
      </c>
      <c r="AK24" s="13" t="s">
        <v>2785</v>
      </c>
      <c r="AL24" s="11" t="s">
        <v>7</v>
      </c>
      <c r="AM24" s="11" t="s">
        <v>20</v>
      </c>
      <c r="AN24" s="11" t="s">
        <v>588</v>
      </c>
      <c r="AO24" s="11" t="s">
        <v>32</v>
      </c>
      <c r="AP24" s="11" t="s">
        <v>588</v>
      </c>
      <c r="AQ24" s="11" t="s">
        <v>588</v>
      </c>
      <c r="AR24" s="11" t="s">
        <v>588</v>
      </c>
      <c r="AS24" s="11" t="s">
        <v>588</v>
      </c>
      <c r="AT24" s="11" t="s">
        <v>588</v>
      </c>
      <c r="AU24" s="7" t="s">
        <v>588</v>
      </c>
      <c r="AV24" s="11" t="s">
        <v>588</v>
      </c>
      <c r="AW24" s="11" t="s">
        <v>588</v>
      </c>
      <c r="AX24" s="11" t="s">
        <v>588</v>
      </c>
      <c r="AY24" s="11" t="s">
        <v>588</v>
      </c>
      <c r="AZ24" s="11" t="s">
        <v>588</v>
      </c>
      <c r="BA24" s="7" t="s">
        <v>588</v>
      </c>
      <c r="BB24" s="11" t="s">
        <v>588</v>
      </c>
      <c r="BC24" s="11" t="s">
        <v>588</v>
      </c>
      <c r="BD24" s="11" t="s">
        <v>588</v>
      </c>
      <c r="BE24" s="11" t="s">
        <v>588</v>
      </c>
      <c r="BF24" s="11" t="s">
        <v>588</v>
      </c>
      <c r="BG24" s="7" t="s">
        <v>588</v>
      </c>
      <c r="BH24" s="11" t="s">
        <v>588</v>
      </c>
      <c r="BI24" s="11" t="s">
        <v>588</v>
      </c>
      <c r="BJ24" s="11" t="s">
        <v>588</v>
      </c>
      <c r="BK24" s="11" t="s">
        <v>588</v>
      </c>
      <c r="BL24" s="11" t="s">
        <v>588</v>
      </c>
      <c r="BM24" s="11" t="s">
        <v>588</v>
      </c>
      <c r="BN24" s="11" t="s">
        <v>588</v>
      </c>
      <c r="BO24" s="11" t="s">
        <v>588</v>
      </c>
      <c r="BP24" s="11" t="s">
        <v>588</v>
      </c>
      <c r="BQ24" s="11" t="s">
        <v>588</v>
      </c>
      <c r="BR24" s="11" t="s">
        <v>588</v>
      </c>
      <c r="BS24" s="11" t="s">
        <v>8</v>
      </c>
      <c r="BT24" s="11" t="s">
        <v>90</v>
      </c>
      <c r="BU24" s="11" t="s">
        <v>90</v>
      </c>
      <c r="BV24" s="13">
        <v>45637</v>
      </c>
      <c r="BW24" s="11" t="s">
        <v>588</v>
      </c>
      <c r="BX24" s="11" t="s">
        <v>588</v>
      </c>
      <c r="BY24" s="11" t="s">
        <v>588</v>
      </c>
      <c r="BZ24" s="11" t="s">
        <v>588</v>
      </c>
      <c r="CA24" s="11" t="s">
        <v>588</v>
      </c>
      <c r="CB24" s="11" t="s">
        <v>588</v>
      </c>
    </row>
    <row r="25" spans="1:80" x14ac:dyDescent="0.25">
      <c r="A25" s="11">
        <v>202425</v>
      </c>
      <c r="B25" s="11" t="s">
        <v>284</v>
      </c>
      <c r="C25" s="11" t="s">
        <v>284</v>
      </c>
      <c r="D25" s="11" t="s">
        <v>285</v>
      </c>
      <c r="E25" s="11" t="s">
        <v>286</v>
      </c>
      <c r="F25" s="11">
        <v>2</v>
      </c>
      <c r="G25" s="11" t="s">
        <v>288</v>
      </c>
      <c r="H25" s="11" t="s">
        <v>2788</v>
      </c>
      <c r="I25" s="13">
        <v>45650</v>
      </c>
      <c r="J25" s="11">
        <v>24</v>
      </c>
      <c r="K25" s="11">
        <v>12</v>
      </c>
      <c r="L25" s="11">
        <v>2024</v>
      </c>
      <c r="M25" s="11" t="s">
        <v>2789</v>
      </c>
      <c r="N25" s="11" t="s">
        <v>7</v>
      </c>
      <c r="O25" s="11" t="s">
        <v>51</v>
      </c>
      <c r="P25" s="11" t="s">
        <v>588</v>
      </c>
      <c r="Q25" s="11" t="s">
        <v>588</v>
      </c>
      <c r="R25" s="11">
        <v>-38.589874000000002</v>
      </c>
      <c r="S25" s="11">
        <v>145.51754800000001</v>
      </c>
      <c r="T25" s="11">
        <v>1</v>
      </c>
      <c r="U25" s="11">
        <v>3</v>
      </c>
      <c r="V25" s="11" t="s">
        <v>588</v>
      </c>
      <c r="W25" s="11" t="s">
        <v>588</v>
      </c>
      <c r="X25" s="11">
        <v>2</v>
      </c>
      <c r="Y25" s="11">
        <v>2</v>
      </c>
      <c r="Z25" s="11" t="s">
        <v>41</v>
      </c>
      <c r="AA25" s="13">
        <v>45650</v>
      </c>
      <c r="AB25" s="11">
        <v>24</v>
      </c>
      <c r="AC25" s="11">
        <v>12</v>
      </c>
      <c r="AD25" s="11">
        <v>2024</v>
      </c>
      <c r="AE25" s="13" t="s">
        <v>2789</v>
      </c>
      <c r="AF25" s="11" t="s">
        <v>7</v>
      </c>
      <c r="AG25" s="13">
        <v>45657</v>
      </c>
      <c r="AH25" s="11">
        <v>31</v>
      </c>
      <c r="AI25" s="11">
        <v>12</v>
      </c>
      <c r="AJ25" s="11">
        <v>2024</v>
      </c>
      <c r="AK25" s="13" t="s">
        <v>2768</v>
      </c>
      <c r="AL25" s="11" t="s">
        <v>7</v>
      </c>
      <c r="AM25" s="11" t="s">
        <v>20</v>
      </c>
      <c r="AN25" s="11" t="s">
        <v>588</v>
      </c>
      <c r="AO25" s="11" t="s">
        <v>32</v>
      </c>
      <c r="AP25" s="11" t="s">
        <v>588</v>
      </c>
      <c r="AQ25" s="11" t="s">
        <v>588</v>
      </c>
      <c r="AR25" s="11" t="s">
        <v>588</v>
      </c>
      <c r="AS25" s="11" t="s">
        <v>588</v>
      </c>
      <c r="AT25" s="11" t="s">
        <v>588</v>
      </c>
      <c r="AU25" s="7" t="s">
        <v>588</v>
      </c>
      <c r="AV25" s="11" t="s">
        <v>588</v>
      </c>
      <c r="AW25" s="11" t="s">
        <v>588</v>
      </c>
      <c r="AX25" s="11" t="s">
        <v>588</v>
      </c>
      <c r="AY25" s="11" t="s">
        <v>588</v>
      </c>
      <c r="AZ25" s="11" t="s">
        <v>588</v>
      </c>
      <c r="BA25" s="7" t="s">
        <v>588</v>
      </c>
      <c r="BB25" s="11" t="s">
        <v>588</v>
      </c>
      <c r="BC25" s="11" t="s">
        <v>588</v>
      </c>
      <c r="BD25" s="11" t="s">
        <v>588</v>
      </c>
      <c r="BE25" s="11" t="s">
        <v>588</v>
      </c>
      <c r="BF25" s="11" t="s">
        <v>588</v>
      </c>
      <c r="BG25" s="7" t="s">
        <v>588</v>
      </c>
      <c r="BH25" s="11" t="s">
        <v>588</v>
      </c>
      <c r="BI25" s="11" t="s">
        <v>588</v>
      </c>
      <c r="BJ25" s="11" t="s">
        <v>588</v>
      </c>
      <c r="BK25" s="11" t="s">
        <v>588</v>
      </c>
      <c r="BL25" s="11" t="s">
        <v>588</v>
      </c>
      <c r="BM25" s="11" t="s">
        <v>588</v>
      </c>
      <c r="BN25" s="11" t="s">
        <v>588</v>
      </c>
      <c r="BO25" s="11" t="s">
        <v>588</v>
      </c>
      <c r="BP25" s="11" t="s">
        <v>588</v>
      </c>
      <c r="BQ25" s="11" t="s">
        <v>588</v>
      </c>
      <c r="BR25" s="11" t="s">
        <v>588</v>
      </c>
      <c r="BS25" s="11" t="s">
        <v>8</v>
      </c>
      <c r="BT25" s="11" t="s">
        <v>90</v>
      </c>
      <c r="BU25" s="11" t="s">
        <v>90</v>
      </c>
      <c r="BV25" s="13">
        <v>45650</v>
      </c>
      <c r="BW25" s="11" t="s">
        <v>588</v>
      </c>
      <c r="BX25" s="11" t="s">
        <v>588</v>
      </c>
      <c r="BY25" s="11" t="s">
        <v>588</v>
      </c>
      <c r="BZ25" s="11" t="s">
        <v>588</v>
      </c>
      <c r="CA25" s="11" t="s">
        <v>588</v>
      </c>
      <c r="CB25" s="11" t="s">
        <v>588</v>
      </c>
    </row>
    <row r="26" spans="1:80" x14ac:dyDescent="0.25">
      <c r="A26" s="11">
        <v>202425</v>
      </c>
      <c r="B26" s="11" t="s">
        <v>284</v>
      </c>
      <c r="C26" s="11" t="s">
        <v>284</v>
      </c>
      <c r="D26" s="11" t="s">
        <v>285</v>
      </c>
      <c r="E26" s="11" t="s">
        <v>286</v>
      </c>
      <c r="F26" s="11">
        <v>3</v>
      </c>
      <c r="G26" s="11" t="s">
        <v>289</v>
      </c>
      <c r="H26" s="11" t="s">
        <v>2790</v>
      </c>
      <c r="I26" s="13">
        <v>45671</v>
      </c>
      <c r="J26" s="11">
        <v>14</v>
      </c>
      <c r="K26" s="11">
        <v>1</v>
      </c>
      <c r="L26" s="11">
        <v>2025</v>
      </c>
      <c r="M26" s="11" t="s">
        <v>2791</v>
      </c>
      <c r="N26" s="11" t="s">
        <v>12</v>
      </c>
      <c r="O26" s="11" t="s">
        <v>51</v>
      </c>
      <c r="P26" s="11">
        <v>-38.590203000000002</v>
      </c>
      <c r="Q26" s="11">
        <v>145.51805300000001</v>
      </c>
      <c r="R26" s="11" t="s">
        <v>588</v>
      </c>
      <c r="S26" s="11" t="s">
        <v>588</v>
      </c>
      <c r="T26" s="11">
        <v>3</v>
      </c>
      <c r="U26" s="11">
        <v>3</v>
      </c>
      <c r="V26" s="11" t="s">
        <v>588</v>
      </c>
      <c r="W26" s="11" t="s">
        <v>588</v>
      </c>
      <c r="X26" s="11">
        <v>3</v>
      </c>
      <c r="Y26" s="11">
        <v>3</v>
      </c>
      <c r="Z26" s="11" t="s">
        <v>41</v>
      </c>
      <c r="AA26" s="13">
        <v>45671</v>
      </c>
      <c r="AB26" s="11">
        <v>14</v>
      </c>
      <c r="AC26" s="11">
        <v>1</v>
      </c>
      <c r="AD26" s="11">
        <v>2025</v>
      </c>
      <c r="AE26" s="13" t="s">
        <v>2791</v>
      </c>
      <c r="AF26" s="11" t="s">
        <v>12</v>
      </c>
      <c r="AG26" s="13">
        <v>45686</v>
      </c>
      <c r="AH26" s="11">
        <v>29</v>
      </c>
      <c r="AI26" s="11">
        <v>1</v>
      </c>
      <c r="AJ26" s="11">
        <v>2025</v>
      </c>
      <c r="AK26" s="13" t="s">
        <v>2792</v>
      </c>
      <c r="AL26" s="11" t="s">
        <v>12</v>
      </c>
      <c r="AM26" s="11" t="s">
        <v>20</v>
      </c>
      <c r="AN26" s="11" t="s">
        <v>588</v>
      </c>
      <c r="AO26" s="11" t="s">
        <v>32</v>
      </c>
      <c r="AP26" s="11" t="s">
        <v>588</v>
      </c>
      <c r="AQ26" s="11" t="s">
        <v>588</v>
      </c>
      <c r="AR26" s="11" t="s">
        <v>588</v>
      </c>
      <c r="AS26" s="11" t="s">
        <v>588</v>
      </c>
      <c r="AT26" s="11" t="s">
        <v>588</v>
      </c>
      <c r="AU26" s="7" t="s">
        <v>588</v>
      </c>
      <c r="AV26" s="11" t="s">
        <v>588</v>
      </c>
      <c r="AW26" s="11" t="s">
        <v>588</v>
      </c>
      <c r="AX26" s="11" t="s">
        <v>588</v>
      </c>
      <c r="AY26" s="11" t="s">
        <v>588</v>
      </c>
      <c r="AZ26" s="11" t="s">
        <v>588</v>
      </c>
      <c r="BA26" s="7" t="s">
        <v>588</v>
      </c>
      <c r="BB26" s="11" t="s">
        <v>588</v>
      </c>
      <c r="BC26" s="11" t="s">
        <v>588</v>
      </c>
      <c r="BD26" s="11" t="s">
        <v>588</v>
      </c>
      <c r="BE26" s="11" t="s">
        <v>588</v>
      </c>
      <c r="BF26" s="11" t="s">
        <v>588</v>
      </c>
      <c r="BG26" s="7" t="s">
        <v>588</v>
      </c>
      <c r="BH26" s="11" t="s">
        <v>588</v>
      </c>
      <c r="BI26" s="11" t="s">
        <v>588</v>
      </c>
      <c r="BJ26" s="11" t="s">
        <v>588</v>
      </c>
      <c r="BK26" s="11" t="s">
        <v>588</v>
      </c>
      <c r="BL26" s="11" t="s">
        <v>588</v>
      </c>
      <c r="BM26" s="11" t="s">
        <v>588</v>
      </c>
      <c r="BN26" s="11" t="s">
        <v>588</v>
      </c>
      <c r="BO26" s="11" t="s">
        <v>588</v>
      </c>
      <c r="BP26" s="11" t="s">
        <v>588</v>
      </c>
      <c r="BQ26" s="11" t="s">
        <v>588</v>
      </c>
      <c r="BR26" s="11" t="s">
        <v>588</v>
      </c>
      <c r="BS26" s="11" t="s">
        <v>41</v>
      </c>
      <c r="BT26" s="11" t="s">
        <v>42</v>
      </c>
      <c r="BU26" s="11" t="s">
        <v>42</v>
      </c>
      <c r="BV26" s="11" t="s">
        <v>588</v>
      </c>
      <c r="BW26" s="11" t="s">
        <v>588</v>
      </c>
      <c r="BX26" s="11" t="s">
        <v>588</v>
      </c>
      <c r="BY26" s="11" t="s">
        <v>588</v>
      </c>
      <c r="BZ26" s="11" t="s">
        <v>588</v>
      </c>
      <c r="CA26" s="11" t="s">
        <v>588</v>
      </c>
      <c r="CB26" s="11" t="s">
        <v>588</v>
      </c>
    </row>
    <row r="27" spans="1:80" x14ac:dyDescent="0.25">
      <c r="A27" s="11">
        <v>202425</v>
      </c>
      <c r="B27" s="11" t="s">
        <v>284</v>
      </c>
      <c r="C27" s="11" t="s">
        <v>284</v>
      </c>
      <c r="D27" s="11" t="s">
        <v>285</v>
      </c>
      <c r="E27" s="11" t="s">
        <v>286</v>
      </c>
      <c r="F27" s="11">
        <v>4</v>
      </c>
      <c r="G27" s="11" t="s">
        <v>290</v>
      </c>
      <c r="H27" s="11" t="s">
        <v>2793</v>
      </c>
      <c r="I27" s="13">
        <v>45702</v>
      </c>
      <c r="J27" s="11">
        <v>14</v>
      </c>
      <c r="K27" s="11">
        <v>2</v>
      </c>
      <c r="L27" s="11">
        <v>2025</v>
      </c>
      <c r="M27" s="11" t="s">
        <v>2794</v>
      </c>
      <c r="N27" s="11" t="s">
        <v>21</v>
      </c>
      <c r="O27" s="11" t="s">
        <v>10</v>
      </c>
      <c r="P27" s="11">
        <v>-38.588450000000002</v>
      </c>
      <c r="Q27" s="11">
        <v>145.51625200000001</v>
      </c>
      <c r="R27" s="11" t="s">
        <v>588</v>
      </c>
      <c r="S27" s="11" t="s">
        <v>588</v>
      </c>
      <c r="T27" s="11">
        <v>3</v>
      </c>
      <c r="U27" s="11">
        <v>3</v>
      </c>
      <c r="V27" s="11" t="s">
        <v>588</v>
      </c>
      <c r="W27" s="11" t="s">
        <v>588</v>
      </c>
      <c r="X27" s="11">
        <v>4</v>
      </c>
      <c r="Y27" s="11">
        <v>4</v>
      </c>
      <c r="Z27" s="11" t="s">
        <v>41</v>
      </c>
      <c r="AA27" s="13">
        <v>45710</v>
      </c>
      <c r="AB27" s="11">
        <v>22</v>
      </c>
      <c r="AC27" s="11">
        <v>2</v>
      </c>
      <c r="AD27" s="11">
        <v>2025</v>
      </c>
      <c r="AE27" s="13" t="s">
        <v>2795</v>
      </c>
      <c r="AF27" s="11" t="s">
        <v>21</v>
      </c>
      <c r="AG27" s="13">
        <v>45716</v>
      </c>
      <c r="AH27" s="11">
        <v>28</v>
      </c>
      <c r="AI27" s="11">
        <v>2</v>
      </c>
      <c r="AJ27" s="11">
        <v>2025</v>
      </c>
      <c r="AK27" s="13" t="s">
        <v>2744</v>
      </c>
      <c r="AL27" s="11" t="s">
        <v>21</v>
      </c>
      <c r="AM27" s="11" t="s">
        <v>20</v>
      </c>
      <c r="AN27" s="11" t="s">
        <v>588</v>
      </c>
      <c r="AO27" s="11" t="s">
        <v>20</v>
      </c>
      <c r="AP27" s="11" t="s">
        <v>588</v>
      </c>
      <c r="AQ27" s="11" t="s">
        <v>588</v>
      </c>
      <c r="AR27" s="11" t="s">
        <v>588</v>
      </c>
      <c r="AS27" s="11" t="s">
        <v>588</v>
      </c>
      <c r="AT27" s="11" t="s">
        <v>588</v>
      </c>
      <c r="AU27" s="7" t="s">
        <v>588</v>
      </c>
      <c r="AV27" s="11" t="s">
        <v>588</v>
      </c>
      <c r="AW27" s="11" t="s">
        <v>588</v>
      </c>
      <c r="AX27" s="11" t="s">
        <v>588</v>
      </c>
      <c r="AY27" s="11" t="s">
        <v>588</v>
      </c>
      <c r="AZ27" s="11" t="s">
        <v>588</v>
      </c>
      <c r="BA27" s="7" t="s">
        <v>588</v>
      </c>
      <c r="BB27" s="11" t="s">
        <v>588</v>
      </c>
      <c r="BC27" s="11" t="s">
        <v>588</v>
      </c>
      <c r="BD27" s="11" t="s">
        <v>588</v>
      </c>
      <c r="BE27" s="11" t="s">
        <v>588</v>
      </c>
      <c r="BF27" s="11" t="s">
        <v>588</v>
      </c>
      <c r="BG27" s="7" t="s">
        <v>588</v>
      </c>
      <c r="BH27" s="11" t="s">
        <v>588</v>
      </c>
      <c r="BI27" s="11" t="s">
        <v>588</v>
      </c>
      <c r="BJ27" s="11" t="s">
        <v>588</v>
      </c>
      <c r="BK27" s="11" t="s">
        <v>588</v>
      </c>
      <c r="BL27" s="11" t="s">
        <v>588</v>
      </c>
      <c r="BM27" s="11" t="s">
        <v>588</v>
      </c>
      <c r="BN27" s="11" t="s">
        <v>588</v>
      </c>
      <c r="BO27" s="11" t="s">
        <v>588</v>
      </c>
      <c r="BP27" s="11" t="s">
        <v>588</v>
      </c>
      <c r="BQ27" s="11" t="s">
        <v>588</v>
      </c>
      <c r="BR27" s="11" t="s">
        <v>588</v>
      </c>
      <c r="BS27" s="11" t="s">
        <v>41</v>
      </c>
      <c r="BT27" s="11" t="s">
        <v>42</v>
      </c>
      <c r="BU27" s="11" t="s">
        <v>42</v>
      </c>
      <c r="BV27" s="11" t="s">
        <v>588</v>
      </c>
      <c r="BW27" s="11" t="s">
        <v>588</v>
      </c>
      <c r="BX27" s="11" t="s">
        <v>588</v>
      </c>
      <c r="BY27" s="11" t="s">
        <v>588</v>
      </c>
      <c r="BZ27" s="11" t="s">
        <v>588</v>
      </c>
      <c r="CA27" s="11" t="s">
        <v>291</v>
      </c>
      <c r="CB27" s="11" t="s">
        <v>588</v>
      </c>
    </row>
    <row r="28" spans="1:80" x14ac:dyDescent="0.25">
      <c r="A28" s="11">
        <v>202425</v>
      </c>
      <c r="B28" s="11" t="s">
        <v>292</v>
      </c>
      <c r="C28" s="11" t="s">
        <v>400</v>
      </c>
      <c r="D28" s="11" t="s">
        <v>293</v>
      </c>
      <c r="E28" s="11" t="s">
        <v>16</v>
      </c>
      <c r="F28" s="11">
        <v>1</v>
      </c>
      <c r="G28" s="11" t="s">
        <v>294</v>
      </c>
      <c r="H28" s="11" t="s">
        <v>2796</v>
      </c>
      <c r="I28" s="13">
        <v>45635</v>
      </c>
      <c r="J28" s="11">
        <v>9</v>
      </c>
      <c r="K28" s="11">
        <v>12</v>
      </c>
      <c r="L28" s="11">
        <v>2024</v>
      </c>
      <c r="M28" s="11" t="s">
        <v>2797</v>
      </c>
      <c r="N28" s="11" t="s">
        <v>7</v>
      </c>
      <c r="O28" s="11" t="s">
        <v>10</v>
      </c>
      <c r="P28" s="11" t="s">
        <v>588</v>
      </c>
      <c r="Q28" s="11" t="s">
        <v>588</v>
      </c>
      <c r="R28" s="11">
        <v>-38.652340000000002</v>
      </c>
      <c r="S28" s="11">
        <v>145.563705</v>
      </c>
      <c r="T28" s="11">
        <v>1</v>
      </c>
      <c r="U28" s="11">
        <v>3</v>
      </c>
      <c r="V28" s="11" t="s">
        <v>588</v>
      </c>
      <c r="W28" s="11" t="s">
        <v>588</v>
      </c>
      <c r="X28" s="11">
        <v>2</v>
      </c>
      <c r="Y28" s="11">
        <v>2</v>
      </c>
      <c r="Z28" s="11" t="s">
        <v>41</v>
      </c>
      <c r="AA28" s="13">
        <v>45635</v>
      </c>
      <c r="AB28" s="11">
        <v>9</v>
      </c>
      <c r="AC28" s="11">
        <v>12</v>
      </c>
      <c r="AD28" s="11">
        <v>2024</v>
      </c>
      <c r="AE28" s="13" t="s">
        <v>2797</v>
      </c>
      <c r="AF28" s="11" t="s">
        <v>7</v>
      </c>
      <c r="AG28" s="13">
        <v>45642</v>
      </c>
      <c r="AH28" s="11">
        <v>16</v>
      </c>
      <c r="AI28" s="11">
        <v>12</v>
      </c>
      <c r="AJ28" s="11">
        <v>2024</v>
      </c>
      <c r="AK28" s="13" t="s">
        <v>2798</v>
      </c>
      <c r="AL28" s="11" t="s">
        <v>7</v>
      </c>
      <c r="AM28" s="11" t="s">
        <v>20</v>
      </c>
      <c r="AN28" s="11" t="s">
        <v>588</v>
      </c>
      <c r="AO28" s="11" t="s">
        <v>20</v>
      </c>
      <c r="AP28" s="11" t="s">
        <v>588</v>
      </c>
      <c r="AQ28" s="11" t="s">
        <v>588</v>
      </c>
      <c r="AR28" s="11" t="s">
        <v>588</v>
      </c>
      <c r="AS28" s="11" t="s">
        <v>588</v>
      </c>
      <c r="AT28" s="11" t="s">
        <v>588</v>
      </c>
      <c r="AU28" s="7" t="s">
        <v>588</v>
      </c>
      <c r="AV28" s="11" t="s">
        <v>588</v>
      </c>
      <c r="AW28" s="11" t="s">
        <v>588</v>
      </c>
      <c r="AX28" s="11" t="s">
        <v>588</v>
      </c>
      <c r="AY28" s="11" t="s">
        <v>588</v>
      </c>
      <c r="AZ28" s="11" t="s">
        <v>588</v>
      </c>
      <c r="BA28" s="7" t="s">
        <v>588</v>
      </c>
      <c r="BB28" s="11" t="s">
        <v>588</v>
      </c>
      <c r="BC28" s="11" t="s">
        <v>588</v>
      </c>
      <c r="BD28" s="11" t="s">
        <v>588</v>
      </c>
      <c r="BE28" s="11" t="s">
        <v>588</v>
      </c>
      <c r="BF28" s="11" t="s">
        <v>588</v>
      </c>
      <c r="BG28" s="7" t="s">
        <v>588</v>
      </c>
      <c r="BH28" s="11" t="s">
        <v>588</v>
      </c>
      <c r="BI28" s="11" t="s">
        <v>588</v>
      </c>
      <c r="BJ28" s="11" t="s">
        <v>588</v>
      </c>
      <c r="BK28" s="11" t="s">
        <v>588</v>
      </c>
      <c r="BL28" s="11" t="s">
        <v>588</v>
      </c>
      <c r="BM28" s="11" t="s">
        <v>588</v>
      </c>
      <c r="BN28" s="11" t="s">
        <v>588</v>
      </c>
      <c r="BO28" s="11" t="s">
        <v>588</v>
      </c>
      <c r="BP28" s="11" t="s">
        <v>588</v>
      </c>
      <c r="BQ28" s="11" t="s">
        <v>588</v>
      </c>
      <c r="BR28" s="11" t="s">
        <v>588</v>
      </c>
      <c r="BS28" s="11" t="s">
        <v>8</v>
      </c>
      <c r="BT28" s="11" t="s">
        <v>13</v>
      </c>
      <c r="BU28" s="11" t="s">
        <v>13</v>
      </c>
      <c r="BV28" s="13">
        <v>45635</v>
      </c>
      <c r="BW28" s="11" t="s">
        <v>588</v>
      </c>
      <c r="BX28" s="11" t="s">
        <v>588</v>
      </c>
      <c r="BY28" s="11" t="s">
        <v>588</v>
      </c>
      <c r="BZ28" s="11" t="s">
        <v>588</v>
      </c>
      <c r="CA28" s="11" t="s">
        <v>295</v>
      </c>
      <c r="CB28" s="11" t="s">
        <v>588</v>
      </c>
    </row>
    <row r="29" spans="1:80" x14ac:dyDescent="0.25">
      <c r="A29" s="11">
        <v>202425</v>
      </c>
      <c r="B29" s="11" t="s">
        <v>292</v>
      </c>
      <c r="C29" s="11" t="s">
        <v>400</v>
      </c>
      <c r="D29" s="11" t="s">
        <v>293</v>
      </c>
      <c r="E29" s="11" t="s">
        <v>16</v>
      </c>
      <c r="F29" s="11">
        <v>3</v>
      </c>
      <c r="G29" s="11" t="s">
        <v>299</v>
      </c>
      <c r="H29" s="11" t="s">
        <v>2799</v>
      </c>
      <c r="I29" s="13">
        <v>45657</v>
      </c>
      <c r="J29" s="11">
        <v>31</v>
      </c>
      <c r="K29" s="11">
        <v>12</v>
      </c>
      <c r="L29" s="11">
        <v>2024</v>
      </c>
      <c r="M29" s="11" t="s">
        <v>2768</v>
      </c>
      <c r="N29" s="11" t="s">
        <v>7</v>
      </c>
      <c r="O29" s="11" t="s">
        <v>10</v>
      </c>
      <c r="P29" s="11" t="s">
        <v>588</v>
      </c>
      <c r="Q29" s="11" t="s">
        <v>588</v>
      </c>
      <c r="R29" s="11">
        <v>-38.652340000000002</v>
      </c>
      <c r="S29" s="11">
        <v>145.563705</v>
      </c>
      <c r="T29" s="11">
        <v>2</v>
      </c>
      <c r="U29" s="11">
        <v>3</v>
      </c>
      <c r="V29" s="11" t="s">
        <v>588</v>
      </c>
      <c r="W29" s="11" t="s">
        <v>588</v>
      </c>
      <c r="X29" s="11">
        <v>2</v>
      </c>
      <c r="Y29" s="11">
        <v>2</v>
      </c>
      <c r="Z29" s="11" t="s">
        <v>41</v>
      </c>
      <c r="AA29" s="13">
        <v>45657</v>
      </c>
      <c r="AB29" s="11">
        <v>31</v>
      </c>
      <c r="AC29" s="11">
        <v>12</v>
      </c>
      <c r="AD29" s="11">
        <v>2024</v>
      </c>
      <c r="AE29" s="13" t="s">
        <v>2768</v>
      </c>
      <c r="AF29" s="11" t="s">
        <v>7</v>
      </c>
      <c r="AG29" s="13">
        <v>45662</v>
      </c>
      <c r="AH29" s="11">
        <v>5</v>
      </c>
      <c r="AI29" s="11">
        <v>1</v>
      </c>
      <c r="AJ29" s="11">
        <v>2025</v>
      </c>
      <c r="AK29" s="13" t="s">
        <v>2769</v>
      </c>
      <c r="AL29" s="11" t="s">
        <v>12</v>
      </c>
      <c r="AM29" s="11" t="s">
        <v>20</v>
      </c>
      <c r="AN29" s="11" t="s">
        <v>588</v>
      </c>
      <c r="AO29" s="11" t="s">
        <v>20</v>
      </c>
      <c r="AP29" s="11" t="s">
        <v>588</v>
      </c>
      <c r="AQ29" s="11" t="s">
        <v>588</v>
      </c>
      <c r="AR29" s="11" t="s">
        <v>588</v>
      </c>
      <c r="AS29" s="11" t="s">
        <v>588</v>
      </c>
      <c r="AT29" s="11" t="s">
        <v>588</v>
      </c>
      <c r="AU29" s="7" t="s">
        <v>588</v>
      </c>
      <c r="AV29" s="11" t="s">
        <v>588</v>
      </c>
      <c r="AW29" s="11" t="s">
        <v>588</v>
      </c>
      <c r="AX29" s="11" t="s">
        <v>588</v>
      </c>
      <c r="AY29" s="11" t="s">
        <v>588</v>
      </c>
      <c r="AZ29" s="11" t="s">
        <v>588</v>
      </c>
      <c r="BA29" s="7" t="s">
        <v>588</v>
      </c>
      <c r="BB29" s="11" t="s">
        <v>588</v>
      </c>
      <c r="BC29" s="11" t="s">
        <v>588</v>
      </c>
      <c r="BD29" s="11" t="s">
        <v>588</v>
      </c>
      <c r="BE29" s="11" t="s">
        <v>588</v>
      </c>
      <c r="BF29" s="11" t="s">
        <v>588</v>
      </c>
      <c r="BG29" s="7" t="s">
        <v>588</v>
      </c>
      <c r="BH29" s="11" t="s">
        <v>588</v>
      </c>
      <c r="BI29" s="11" t="s">
        <v>588</v>
      </c>
      <c r="BJ29" s="11" t="s">
        <v>588</v>
      </c>
      <c r="BK29" s="11" t="s">
        <v>588</v>
      </c>
      <c r="BL29" s="11" t="s">
        <v>588</v>
      </c>
      <c r="BM29" s="11" t="s">
        <v>588</v>
      </c>
      <c r="BN29" s="11" t="s">
        <v>588</v>
      </c>
      <c r="BO29" s="11" t="s">
        <v>588</v>
      </c>
      <c r="BP29" s="11" t="s">
        <v>588</v>
      </c>
      <c r="BQ29" s="11" t="s">
        <v>588</v>
      </c>
      <c r="BR29" s="11" t="s">
        <v>588</v>
      </c>
      <c r="BS29" s="11" t="s">
        <v>8</v>
      </c>
      <c r="BT29" s="11" t="s">
        <v>13</v>
      </c>
      <c r="BU29" s="11" t="s">
        <v>13</v>
      </c>
      <c r="BV29" s="13">
        <v>45657</v>
      </c>
      <c r="BW29" s="11" t="s">
        <v>588</v>
      </c>
      <c r="BX29" s="11" t="s">
        <v>588</v>
      </c>
      <c r="BY29" s="11" t="s">
        <v>588</v>
      </c>
      <c r="BZ29" s="11" t="s">
        <v>588</v>
      </c>
      <c r="CA29" s="11" t="s">
        <v>295</v>
      </c>
      <c r="CB29" s="11" t="s">
        <v>588</v>
      </c>
    </row>
    <row r="30" spans="1:80" x14ac:dyDescent="0.25">
      <c r="A30" s="11">
        <v>202425</v>
      </c>
      <c r="B30" s="11" t="s">
        <v>296</v>
      </c>
      <c r="C30" s="11" t="s">
        <v>400</v>
      </c>
      <c r="D30" s="11" t="s">
        <v>38</v>
      </c>
      <c r="E30" s="11" t="s">
        <v>16</v>
      </c>
      <c r="F30" s="11">
        <v>2</v>
      </c>
      <c r="G30" s="11" t="s">
        <v>297</v>
      </c>
      <c r="H30" s="11" t="s">
        <v>2800</v>
      </c>
      <c r="I30" s="13">
        <v>45642</v>
      </c>
      <c r="J30" s="11">
        <v>16</v>
      </c>
      <c r="K30" s="11">
        <v>12</v>
      </c>
      <c r="L30" s="11">
        <v>2024</v>
      </c>
      <c r="M30" s="11" t="s">
        <v>2798</v>
      </c>
      <c r="N30" s="11" t="s">
        <v>7</v>
      </c>
      <c r="O30" s="11" t="s">
        <v>10</v>
      </c>
      <c r="P30" s="11" t="s">
        <v>588</v>
      </c>
      <c r="Q30" s="11" t="s">
        <v>588</v>
      </c>
      <c r="R30" s="11">
        <v>-38.652340000000002</v>
      </c>
      <c r="S30" s="11">
        <v>145.563705</v>
      </c>
      <c r="T30" s="11">
        <v>3</v>
      </c>
      <c r="U30" s="11">
        <v>3</v>
      </c>
      <c r="V30" s="11" t="s">
        <v>588</v>
      </c>
      <c r="W30" s="11" t="s">
        <v>588</v>
      </c>
      <c r="X30" s="11">
        <v>3</v>
      </c>
      <c r="Y30" s="11">
        <v>3</v>
      </c>
      <c r="Z30" s="11" t="s">
        <v>41</v>
      </c>
      <c r="AA30" s="13">
        <v>45642</v>
      </c>
      <c r="AB30" s="11">
        <v>16</v>
      </c>
      <c r="AC30" s="11">
        <v>12</v>
      </c>
      <c r="AD30" s="11">
        <v>2024</v>
      </c>
      <c r="AE30" s="13" t="s">
        <v>2798</v>
      </c>
      <c r="AF30" s="11" t="s">
        <v>7</v>
      </c>
      <c r="AG30" s="13">
        <v>45657</v>
      </c>
      <c r="AH30" s="11">
        <v>31</v>
      </c>
      <c r="AI30" s="11">
        <v>12</v>
      </c>
      <c r="AJ30" s="11">
        <v>2024</v>
      </c>
      <c r="AK30" s="13" t="s">
        <v>2768</v>
      </c>
      <c r="AL30" s="11" t="s">
        <v>7</v>
      </c>
      <c r="AM30" s="11" t="s">
        <v>20</v>
      </c>
      <c r="AN30" s="11" t="s">
        <v>588</v>
      </c>
      <c r="AO30" s="11" t="s">
        <v>20</v>
      </c>
      <c r="AP30" s="11" t="s">
        <v>588</v>
      </c>
      <c r="AQ30" s="11" t="s">
        <v>588</v>
      </c>
      <c r="AR30" s="11" t="s">
        <v>588</v>
      </c>
      <c r="AS30" s="11" t="s">
        <v>588</v>
      </c>
      <c r="AT30" s="11" t="s">
        <v>588</v>
      </c>
      <c r="AU30" s="7" t="s">
        <v>588</v>
      </c>
      <c r="AV30" s="11" t="s">
        <v>588</v>
      </c>
      <c r="AW30" s="11" t="s">
        <v>588</v>
      </c>
      <c r="AX30" s="11" t="s">
        <v>588</v>
      </c>
      <c r="AY30" s="11" t="s">
        <v>588</v>
      </c>
      <c r="AZ30" s="11" t="s">
        <v>588</v>
      </c>
      <c r="BA30" s="7" t="s">
        <v>588</v>
      </c>
      <c r="BB30" s="11" t="s">
        <v>588</v>
      </c>
      <c r="BC30" s="11" t="s">
        <v>588</v>
      </c>
      <c r="BD30" s="11" t="s">
        <v>588</v>
      </c>
      <c r="BE30" s="11" t="s">
        <v>588</v>
      </c>
      <c r="BF30" s="11" t="s">
        <v>588</v>
      </c>
      <c r="BG30" s="7" t="s">
        <v>588</v>
      </c>
      <c r="BH30" s="11" t="s">
        <v>588</v>
      </c>
      <c r="BI30" s="11" t="s">
        <v>588</v>
      </c>
      <c r="BJ30" s="11" t="s">
        <v>588</v>
      </c>
      <c r="BK30" s="11" t="s">
        <v>588</v>
      </c>
      <c r="BL30" s="11" t="s">
        <v>588</v>
      </c>
      <c r="BM30" s="11" t="s">
        <v>588</v>
      </c>
      <c r="BN30" s="11" t="s">
        <v>588</v>
      </c>
      <c r="BO30" s="11" t="s">
        <v>588</v>
      </c>
      <c r="BP30" s="11" t="s">
        <v>588</v>
      </c>
      <c r="BQ30" s="11" t="s">
        <v>588</v>
      </c>
      <c r="BR30" s="11" t="s">
        <v>588</v>
      </c>
      <c r="BS30" s="11" t="s">
        <v>8</v>
      </c>
      <c r="BT30" s="11" t="s">
        <v>13</v>
      </c>
      <c r="BU30" s="11" t="s">
        <v>13</v>
      </c>
      <c r="BV30" s="13">
        <v>45642</v>
      </c>
      <c r="BW30" s="11" t="s">
        <v>588</v>
      </c>
      <c r="BX30" s="11" t="s">
        <v>588</v>
      </c>
      <c r="BY30" s="11" t="s">
        <v>588</v>
      </c>
      <c r="BZ30" s="11" t="s">
        <v>588</v>
      </c>
      <c r="CA30" s="11" t="s">
        <v>295</v>
      </c>
      <c r="CB30" s="11" t="s">
        <v>588</v>
      </c>
    </row>
    <row r="31" spans="1:80" x14ac:dyDescent="0.25">
      <c r="A31" s="11">
        <v>202425</v>
      </c>
      <c r="B31" s="11" t="s">
        <v>296</v>
      </c>
      <c r="C31" s="11" t="s">
        <v>400</v>
      </c>
      <c r="D31" s="11" t="s">
        <v>38</v>
      </c>
      <c r="E31" s="11" t="s">
        <v>16</v>
      </c>
      <c r="F31" s="11">
        <v>4</v>
      </c>
      <c r="G31" s="11" t="s">
        <v>298</v>
      </c>
      <c r="H31" s="11" t="s">
        <v>2801</v>
      </c>
      <c r="I31" s="13">
        <v>45657</v>
      </c>
      <c r="J31" s="11">
        <v>31</v>
      </c>
      <c r="K31" s="11">
        <v>12</v>
      </c>
      <c r="L31" s="11">
        <v>2024</v>
      </c>
      <c r="M31" s="11" t="s">
        <v>2768</v>
      </c>
      <c r="N31" s="11" t="s">
        <v>7</v>
      </c>
      <c r="O31" s="11" t="s">
        <v>10</v>
      </c>
      <c r="P31" s="11" t="s">
        <v>588</v>
      </c>
      <c r="Q31" s="11" t="s">
        <v>588</v>
      </c>
      <c r="R31" s="11">
        <v>-38.652340000000002</v>
      </c>
      <c r="S31" s="11">
        <v>145.563705</v>
      </c>
      <c r="T31" s="11">
        <v>3</v>
      </c>
      <c r="U31" s="11">
        <v>3</v>
      </c>
      <c r="V31" s="11" t="s">
        <v>588</v>
      </c>
      <c r="W31" s="11" t="s">
        <v>588</v>
      </c>
      <c r="X31" s="11">
        <v>6</v>
      </c>
      <c r="Y31" s="11">
        <v>6</v>
      </c>
      <c r="Z31" s="11" t="s">
        <v>8</v>
      </c>
      <c r="AA31" s="13">
        <v>45681</v>
      </c>
      <c r="AB31" s="11">
        <v>24</v>
      </c>
      <c r="AC31" s="11">
        <v>1</v>
      </c>
      <c r="AD31" s="11">
        <v>2025</v>
      </c>
      <c r="AE31" s="13" t="s">
        <v>2749</v>
      </c>
      <c r="AF31" s="11" t="s">
        <v>588</v>
      </c>
      <c r="AG31" s="11" t="s">
        <v>588</v>
      </c>
      <c r="AH31" s="11" t="s">
        <v>588</v>
      </c>
      <c r="AI31" s="11" t="s">
        <v>588</v>
      </c>
      <c r="AJ31" s="11" t="s">
        <v>588</v>
      </c>
      <c r="AK31" s="13" t="s">
        <v>588</v>
      </c>
      <c r="AL31" s="11" t="s">
        <v>588</v>
      </c>
      <c r="AM31" s="11" t="s">
        <v>588</v>
      </c>
      <c r="AN31" s="11" t="s">
        <v>588</v>
      </c>
      <c r="AO31" s="11" t="s">
        <v>588</v>
      </c>
      <c r="AP31" s="13">
        <v>45683</v>
      </c>
      <c r="AQ31" s="11" t="s">
        <v>12</v>
      </c>
      <c r="AR31" s="11" t="s">
        <v>195</v>
      </c>
      <c r="AS31" s="11">
        <v>1</v>
      </c>
      <c r="AT31" s="11">
        <v>3</v>
      </c>
      <c r="AU31" s="7">
        <v>45684</v>
      </c>
      <c r="AV31" s="13">
        <v>45687</v>
      </c>
      <c r="AW31" s="11" t="s">
        <v>12</v>
      </c>
      <c r="AX31" s="11" t="s">
        <v>20</v>
      </c>
      <c r="AY31" s="11" t="s">
        <v>588</v>
      </c>
      <c r="AZ31" s="11" t="s">
        <v>20</v>
      </c>
      <c r="BA31" s="7" t="s">
        <v>588</v>
      </c>
      <c r="BB31" s="11" t="s">
        <v>588</v>
      </c>
      <c r="BC31" s="11" t="s">
        <v>588</v>
      </c>
      <c r="BD31" s="11" t="s">
        <v>588</v>
      </c>
      <c r="BE31" s="11" t="s">
        <v>588</v>
      </c>
      <c r="BF31" s="11" t="s">
        <v>588</v>
      </c>
      <c r="BG31" s="7" t="s">
        <v>588</v>
      </c>
      <c r="BH31" s="11" t="s">
        <v>588</v>
      </c>
      <c r="BI31" s="11" t="s">
        <v>588</v>
      </c>
      <c r="BJ31" s="11" t="s">
        <v>588</v>
      </c>
      <c r="BK31" s="11" t="s">
        <v>588</v>
      </c>
      <c r="BL31" s="11" t="s">
        <v>588</v>
      </c>
      <c r="BM31" s="11">
        <v>3</v>
      </c>
      <c r="BN31" s="11">
        <v>3</v>
      </c>
      <c r="BO31" s="11" t="s">
        <v>41</v>
      </c>
      <c r="BP31" s="11" t="s">
        <v>588</v>
      </c>
      <c r="BQ31" s="11" t="s">
        <v>588</v>
      </c>
      <c r="BR31" s="11" t="s">
        <v>588</v>
      </c>
      <c r="BS31" s="11" t="s">
        <v>8</v>
      </c>
      <c r="BT31" s="11" t="s">
        <v>9</v>
      </c>
      <c r="BU31" s="11" t="s">
        <v>9</v>
      </c>
      <c r="BV31" s="13">
        <v>45657</v>
      </c>
      <c r="BW31" s="11" t="s">
        <v>8</v>
      </c>
      <c r="BX31" s="11" t="s">
        <v>116</v>
      </c>
      <c r="BY31" s="11" t="s">
        <v>116</v>
      </c>
      <c r="BZ31" s="13">
        <v>45683</v>
      </c>
      <c r="CA31" s="11" t="s">
        <v>295</v>
      </c>
      <c r="CB31" s="11" t="s">
        <v>588</v>
      </c>
    </row>
    <row r="32" spans="1:80" x14ac:dyDescent="0.25">
      <c r="A32" s="11">
        <v>202425</v>
      </c>
      <c r="B32" s="11" t="s">
        <v>73</v>
      </c>
      <c r="C32" s="11" t="s">
        <v>73</v>
      </c>
      <c r="D32" s="11" t="s">
        <v>30</v>
      </c>
      <c r="E32" s="11" t="s">
        <v>49</v>
      </c>
      <c r="F32" s="11">
        <v>1</v>
      </c>
      <c r="G32" s="11" t="s">
        <v>300</v>
      </c>
      <c r="H32" s="11" t="s">
        <v>2802</v>
      </c>
      <c r="I32" s="13">
        <v>45630</v>
      </c>
      <c r="J32" s="11">
        <v>4</v>
      </c>
      <c r="K32" s="11">
        <v>12</v>
      </c>
      <c r="L32" s="11">
        <v>2024</v>
      </c>
      <c r="M32" s="11" t="s">
        <v>682</v>
      </c>
      <c r="N32" s="11" t="s">
        <v>7</v>
      </c>
      <c r="O32" s="11" t="s">
        <v>36</v>
      </c>
      <c r="P32" s="11">
        <v>-38.640079999999998</v>
      </c>
      <c r="Q32" s="11">
        <v>145.71784500000001</v>
      </c>
      <c r="R32" s="11" t="s">
        <v>588</v>
      </c>
      <c r="S32" s="11" t="s">
        <v>588</v>
      </c>
      <c r="T32" s="11">
        <v>3</v>
      </c>
      <c r="U32" s="11">
        <v>3</v>
      </c>
      <c r="V32" s="11" t="s">
        <v>588</v>
      </c>
      <c r="W32" s="11" t="s">
        <v>588</v>
      </c>
      <c r="X32" s="11">
        <v>9</v>
      </c>
      <c r="Y32" s="11">
        <v>9</v>
      </c>
      <c r="Z32" s="11" t="s">
        <v>41</v>
      </c>
      <c r="AA32" s="13">
        <v>45650</v>
      </c>
      <c r="AB32" s="11">
        <v>24</v>
      </c>
      <c r="AC32" s="11">
        <v>12</v>
      </c>
      <c r="AD32" s="11">
        <v>2024</v>
      </c>
      <c r="AE32" s="13" t="s">
        <v>2789</v>
      </c>
      <c r="AF32" s="11" t="s">
        <v>7</v>
      </c>
      <c r="AG32" s="13">
        <v>45654</v>
      </c>
      <c r="AH32" s="11">
        <v>28</v>
      </c>
      <c r="AI32" s="11">
        <v>12</v>
      </c>
      <c r="AJ32" s="11">
        <v>2024</v>
      </c>
      <c r="AK32" s="13" t="s">
        <v>2763</v>
      </c>
      <c r="AL32" s="11" t="s">
        <v>7</v>
      </c>
      <c r="AM32" s="11" t="s">
        <v>20</v>
      </c>
      <c r="AN32" s="11" t="s">
        <v>588</v>
      </c>
      <c r="AO32" s="11" t="s">
        <v>20</v>
      </c>
      <c r="AP32" s="11" t="s">
        <v>588</v>
      </c>
      <c r="AQ32" s="11" t="s">
        <v>588</v>
      </c>
      <c r="AR32" s="11" t="s">
        <v>588</v>
      </c>
      <c r="AS32" s="11" t="s">
        <v>588</v>
      </c>
      <c r="AT32" s="11" t="s">
        <v>588</v>
      </c>
      <c r="AU32" s="7" t="s">
        <v>588</v>
      </c>
      <c r="AV32" s="11" t="s">
        <v>588</v>
      </c>
      <c r="AW32" s="11" t="s">
        <v>588</v>
      </c>
      <c r="AX32" s="11" t="s">
        <v>588</v>
      </c>
      <c r="AY32" s="11" t="s">
        <v>588</v>
      </c>
      <c r="AZ32" s="11" t="s">
        <v>588</v>
      </c>
      <c r="BA32" s="7" t="s">
        <v>588</v>
      </c>
      <c r="BB32" s="11" t="s">
        <v>588</v>
      </c>
      <c r="BC32" s="11" t="s">
        <v>588</v>
      </c>
      <c r="BD32" s="11" t="s">
        <v>588</v>
      </c>
      <c r="BE32" s="11" t="s">
        <v>588</v>
      </c>
      <c r="BF32" s="11" t="s">
        <v>588</v>
      </c>
      <c r="BG32" s="7" t="s">
        <v>588</v>
      </c>
      <c r="BH32" s="11" t="s">
        <v>588</v>
      </c>
      <c r="BI32" s="11" t="s">
        <v>588</v>
      </c>
      <c r="BJ32" s="11" t="s">
        <v>588</v>
      </c>
      <c r="BK32" s="11" t="s">
        <v>588</v>
      </c>
      <c r="BL32" s="11" t="s">
        <v>588</v>
      </c>
      <c r="BM32" s="11" t="s">
        <v>588</v>
      </c>
      <c r="BN32" s="11" t="s">
        <v>588</v>
      </c>
      <c r="BO32" s="11" t="s">
        <v>588</v>
      </c>
      <c r="BP32" s="11" t="s">
        <v>588</v>
      </c>
      <c r="BQ32" s="11" t="s">
        <v>588</v>
      </c>
      <c r="BR32" s="11" t="s">
        <v>588</v>
      </c>
      <c r="BS32" s="11" t="s">
        <v>8</v>
      </c>
      <c r="BT32" s="11" t="s">
        <v>9</v>
      </c>
      <c r="BU32" s="11" t="s">
        <v>9</v>
      </c>
      <c r="BV32" s="13">
        <v>45630</v>
      </c>
      <c r="BW32" s="11" t="s">
        <v>588</v>
      </c>
      <c r="BX32" s="11" t="s">
        <v>588</v>
      </c>
      <c r="BY32" s="11" t="s">
        <v>588</v>
      </c>
      <c r="BZ32" s="11" t="s">
        <v>588</v>
      </c>
      <c r="CA32" s="11" t="s">
        <v>588</v>
      </c>
      <c r="CB32" s="11" t="s">
        <v>588</v>
      </c>
    </row>
    <row r="33" spans="1:80" x14ac:dyDescent="0.25">
      <c r="A33" s="11">
        <v>202425</v>
      </c>
      <c r="B33" s="11" t="s">
        <v>301</v>
      </c>
      <c r="C33" s="11" t="s">
        <v>301</v>
      </c>
      <c r="D33" s="11" t="s">
        <v>302</v>
      </c>
      <c r="E33" s="11" t="s">
        <v>303</v>
      </c>
      <c r="F33" s="11">
        <v>1</v>
      </c>
      <c r="G33" s="11" t="s">
        <v>304</v>
      </c>
      <c r="H33" s="11" t="s">
        <v>2803</v>
      </c>
      <c r="I33" s="13">
        <v>45551</v>
      </c>
      <c r="J33" s="11">
        <v>16</v>
      </c>
      <c r="K33" s="11">
        <v>9</v>
      </c>
      <c r="L33" s="11">
        <v>2024</v>
      </c>
      <c r="M33" s="11" t="s">
        <v>2804</v>
      </c>
      <c r="N33" s="11" t="s">
        <v>28</v>
      </c>
      <c r="O33" s="11" t="s">
        <v>36</v>
      </c>
      <c r="P33" s="11">
        <v>-38.557389999999998</v>
      </c>
      <c r="Q33" s="11">
        <v>145.48651000000001</v>
      </c>
      <c r="R33" s="11" t="s">
        <v>588</v>
      </c>
      <c r="S33" s="11" t="s">
        <v>588</v>
      </c>
      <c r="T33" s="11">
        <v>3</v>
      </c>
      <c r="U33" s="11">
        <v>3</v>
      </c>
      <c r="V33" s="13">
        <v>45552</v>
      </c>
      <c r="W33" s="11" t="s">
        <v>223</v>
      </c>
      <c r="X33" s="11">
        <v>8</v>
      </c>
      <c r="Y33" s="11">
        <v>8</v>
      </c>
      <c r="Z33" s="11" t="s">
        <v>8</v>
      </c>
      <c r="AA33" s="13">
        <v>45580</v>
      </c>
      <c r="AB33" s="11">
        <v>15</v>
      </c>
      <c r="AC33" s="11">
        <v>10</v>
      </c>
      <c r="AD33" s="11">
        <v>2024</v>
      </c>
      <c r="AE33" s="13" t="s">
        <v>2805</v>
      </c>
      <c r="AF33" s="11" t="s">
        <v>588</v>
      </c>
      <c r="AG33" s="11" t="s">
        <v>588</v>
      </c>
      <c r="AH33" s="11" t="s">
        <v>588</v>
      </c>
      <c r="AI33" s="11" t="s">
        <v>588</v>
      </c>
      <c r="AJ33" s="11" t="s">
        <v>588</v>
      </c>
      <c r="AK33" s="13" t="s">
        <v>588</v>
      </c>
      <c r="AL33" s="11" t="s">
        <v>588</v>
      </c>
      <c r="AM33" s="11" t="s">
        <v>588</v>
      </c>
      <c r="AN33" s="11" t="s">
        <v>588</v>
      </c>
      <c r="AO33" s="11" t="s">
        <v>588</v>
      </c>
      <c r="AP33" s="13">
        <v>45581</v>
      </c>
      <c r="AQ33" s="11" t="s">
        <v>29</v>
      </c>
      <c r="AR33" s="11" t="s">
        <v>195</v>
      </c>
      <c r="AS33" s="11">
        <v>3</v>
      </c>
      <c r="AT33" s="11">
        <v>3</v>
      </c>
      <c r="AU33" s="7">
        <v>45587</v>
      </c>
      <c r="AV33" s="13">
        <v>45589</v>
      </c>
      <c r="AW33" s="11" t="s">
        <v>29</v>
      </c>
      <c r="AX33" s="11" t="s">
        <v>20</v>
      </c>
      <c r="AY33" s="11" t="s">
        <v>588</v>
      </c>
      <c r="AZ33" s="11" t="s">
        <v>20</v>
      </c>
      <c r="BA33" s="7">
        <v>45587</v>
      </c>
      <c r="BB33" s="13">
        <v>45589</v>
      </c>
      <c r="BC33" s="11" t="s">
        <v>29</v>
      </c>
      <c r="BD33" s="11" t="s">
        <v>20</v>
      </c>
      <c r="BE33" s="11" t="s">
        <v>588</v>
      </c>
      <c r="BF33" s="11" t="s">
        <v>20</v>
      </c>
      <c r="BG33" s="7">
        <v>45587</v>
      </c>
      <c r="BH33" s="13">
        <v>45589</v>
      </c>
      <c r="BI33" s="11" t="s">
        <v>29</v>
      </c>
      <c r="BJ33" s="11" t="s">
        <v>20</v>
      </c>
      <c r="BK33" s="11" t="s">
        <v>588</v>
      </c>
      <c r="BL33" s="11" t="s">
        <v>20</v>
      </c>
      <c r="BM33" s="11">
        <v>6</v>
      </c>
      <c r="BN33" s="11">
        <v>6</v>
      </c>
      <c r="BO33" s="11" t="s">
        <v>41</v>
      </c>
      <c r="BP33" s="11" t="s">
        <v>588</v>
      </c>
      <c r="BQ33" s="11" t="s">
        <v>588</v>
      </c>
      <c r="BR33" s="11" t="s">
        <v>588</v>
      </c>
      <c r="BS33" s="11" t="s">
        <v>41</v>
      </c>
      <c r="BT33" s="11" t="s">
        <v>42</v>
      </c>
      <c r="BU33" s="11" t="s">
        <v>42</v>
      </c>
      <c r="BV33" s="11" t="s">
        <v>588</v>
      </c>
      <c r="BW33" s="11" t="s">
        <v>8</v>
      </c>
      <c r="BX33" s="11" t="s">
        <v>65</v>
      </c>
      <c r="BY33" s="11" t="s">
        <v>65</v>
      </c>
      <c r="BZ33" s="13">
        <v>45582</v>
      </c>
      <c r="CA33" s="11" t="s">
        <v>588</v>
      </c>
      <c r="CB33" s="11" t="s">
        <v>588</v>
      </c>
    </row>
    <row r="34" spans="1:80" x14ac:dyDescent="0.25">
      <c r="A34" s="11">
        <v>202425</v>
      </c>
      <c r="B34" s="11" t="s">
        <v>301</v>
      </c>
      <c r="C34" s="11" t="s">
        <v>301</v>
      </c>
      <c r="D34" s="11" t="s">
        <v>302</v>
      </c>
      <c r="E34" s="11" t="s">
        <v>303</v>
      </c>
      <c r="F34" s="11">
        <v>2</v>
      </c>
      <c r="G34" s="11" t="s">
        <v>305</v>
      </c>
      <c r="H34" s="11" t="s">
        <v>2806</v>
      </c>
      <c r="I34" s="13">
        <v>45607</v>
      </c>
      <c r="J34" s="11">
        <v>11</v>
      </c>
      <c r="K34" s="11">
        <v>11</v>
      </c>
      <c r="L34" s="11">
        <v>2024</v>
      </c>
      <c r="M34" s="11" t="s">
        <v>2807</v>
      </c>
      <c r="N34" s="11" t="s">
        <v>17</v>
      </c>
      <c r="O34" s="11" t="s">
        <v>36</v>
      </c>
      <c r="P34" s="11">
        <v>-38.557400000000001</v>
      </c>
      <c r="Q34" s="11">
        <v>145.48650000000001</v>
      </c>
      <c r="R34" s="11" t="s">
        <v>588</v>
      </c>
      <c r="S34" s="11" t="s">
        <v>588</v>
      </c>
      <c r="T34" s="11">
        <v>3</v>
      </c>
      <c r="U34" s="11">
        <v>3</v>
      </c>
      <c r="V34" s="11" t="s">
        <v>588</v>
      </c>
      <c r="W34" s="11" t="s">
        <v>588</v>
      </c>
      <c r="X34" s="11">
        <v>4</v>
      </c>
      <c r="Y34" s="11">
        <v>4</v>
      </c>
      <c r="Z34" s="11" t="s">
        <v>41</v>
      </c>
      <c r="AA34" s="13">
        <v>45613</v>
      </c>
      <c r="AB34" s="11">
        <v>17</v>
      </c>
      <c r="AC34" s="11">
        <v>11</v>
      </c>
      <c r="AD34" s="11">
        <v>2024</v>
      </c>
      <c r="AE34" s="13" t="s">
        <v>2808</v>
      </c>
      <c r="AF34" s="11" t="s">
        <v>17</v>
      </c>
      <c r="AG34" s="13">
        <v>45616</v>
      </c>
      <c r="AH34" s="11">
        <v>20</v>
      </c>
      <c r="AI34" s="11">
        <v>11</v>
      </c>
      <c r="AJ34" s="11">
        <v>2024</v>
      </c>
      <c r="AK34" s="13" t="s">
        <v>2752</v>
      </c>
      <c r="AL34" s="11" t="s">
        <v>17</v>
      </c>
      <c r="AM34" s="11" t="s">
        <v>20</v>
      </c>
      <c r="AN34" s="11" t="s">
        <v>588</v>
      </c>
      <c r="AO34" s="11" t="s">
        <v>20</v>
      </c>
      <c r="AP34" s="11" t="s">
        <v>588</v>
      </c>
      <c r="AQ34" s="11" t="s">
        <v>588</v>
      </c>
      <c r="AR34" s="11" t="s">
        <v>588</v>
      </c>
      <c r="AS34" s="11" t="s">
        <v>588</v>
      </c>
      <c r="AT34" s="11" t="s">
        <v>588</v>
      </c>
      <c r="AU34" s="7" t="s">
        <v>588</v>
      </c>
      <c r="AV34" s="11" t="s">
        <v>588</v>
      </c>
      <c r="AW34" s="11" t="s">
        <v>588</v>
      </c>
      <c r="AX34" s="11" t="s">
        <v>588</v>
      </c>
      <c r="AY34" s="11" t="s">
        <v>588</v>
      </c>
      <c r="AZ34" s="11" t="s">
        <v>588</v>
      </c>
      <c r="BA34" s="7" t="s">
        <v>588</v>
      </c>
      <c r="BB34" s="11" t="s">
        <v>588</v>
      </c>
      <c r="BC34" s="11" t="s">
        <v>588</v>
      </c>
      <c r="BD34" s="11" t="s">
        <v>588</v>
      </c>
      <c r="BE34" s="11" t="s">
        <v>588</v>
      </c>
      <c r="BF34" s="11" t="s">
        <v>588</v>
      </c>
      <c r="BG34" s="7" t="s">
        <v>588</v>
      </c>
      <c r="BH34" s="11" t="s">
        <v>588</v>
      </c>
      <c r="BI34" s="11" t="s">
        <v>588</v>
      </c>
      <c r="BJ34" s="11" t="s">
        <v>588</v>
      </c>
      <c r="BK34" s="11" t="s">
        <v>588</v>
      </c>
      <c r="BL34" s="11" t="s">
        <v>588</v>
      </c>
      <c r="BM34" s="11" t="s">
        <v>588</v>
      </c>
      <c r="BN34" s="11" t="s">
        <v>588</v>
      </c>
      <c r="BO34" s="11" t="s">
        <v>588</v>
      </c>
      <c r="BP34" s="11" t="s">
        <v>588</v>
      </c>
      <c r="BQ34" s="11" t="s">
        <v>588</v>
      </c>
      <c r="BR34" s="11" t="s">
        <v>588</v>
      </c>
      <c r="BS34" s="11" t="s">
        <v>8</v>
      </c>
      <c r="BT34" s="11" t="s">
        <v>65</v>
      </c>
      <c r="BU34" s="11" t="s">
        <v>65</v>
      </c>
      <c r="BV34" s="13">
        <v>45607</v>
      </c>
      <c r="BW34" s="11" t="s">
        <v>588</v>
      </c>
      <c r="BX34" s="11" t="s">
        <v>588</v>
      </c>
      <c r="BY34" s="11" t="s">
        <v>588</v>
      </c>
      <c r="BZ34" s="11" t="s">
        <v>588</v>
      </c>
      <c r="CA34" s="11" t="s">
        <v>588</v>
      </c>
      <c r="CB34" s="11" t="s">
        <v>588</v>
      </c>
    </row>
    <row r="35" spans="1:80" x14ac:dyDescent="0.25">
      <c r="A35" s="11">
        <v>202425</v>
      </c>
      <c r="B35" s="11" t="s">
        <v>301</v>
      </c>
      <c r="C35" s="11" t="s">
        <v>301</v>
      </c>
      <c r="D35" s="11" t="s">
        <v>302</v>
      </c>
      <c r="E35" s="11" t="s">
        <v>303</v>
      </c>
      <c r="F35" s="11">
        <v>3</v>
      </c>
      <c r="G35" s="11" t="s">
        <v>306</v>
      </c>
      <c r="H35" s="11" t="s">
        <v>2809</v>
      </c>
      <c r="I35" s="13">
        <v>45630</v>
      </c>
      <c r="J35" s="11">
        <v>4</v>
      </c>
      <c r="K35" s="11">
        <v>12</v>
      </c>
      <c r="L35" s="11">
        <v>2024</v>
      </c>
      <c r="M35" s="11" t="s">
        <v>682</v>
      </c>
      <c r="N35" s="11" t="s">
        <v>7</v>
      </c>
      <c r="O35" s="11" t="s">
        <v>36</v>
      </c>
      <c r="P35" s="11">
        <v>-38.556854000000001</v>
      </c>
      <c r="Q35" s="11">
        <v>145.485772</v>
      </c>
      <c r="R35" s="11" t="s">
        <v>588</v>
      </c>
      <c r="S35" s="11" t="s">
        <v>588</v>
      </c>
      <c r="T35" s="11">
        <v>3</v>
      </c>
      <c r="U35" s="11">
        <v>3</v>
      </c>
      <c r="V35" s="11" t="s">
        <v>588</v>
      </c>
      <c r="W35" s="11" t="s">
        <v>588</v>
      </c>
      <c r="X35" s="11">
        <v>9</v>
      </c>
      <c r="Y35" s="11">
        <v>9</v>
      </c>
      <c r="Z35" s="11" t="s">
        <v>8</v>
      </c>
      <c r="AA35" s="13">
        <v>45656</v>
      </c>
      <c r="AB35" s="11">
        <v>30</v>
      </c>
      <c r="AC35" s="11">
        <v>12</v>
      </c>
      <c r="AD35" s="11">
        <v>2024</v>
      </c>
      <c r="AE35" s="13" t="s">
        <v>2810</v>
      </c>
      <c r="AF35" s="11" t="s">
        <v>588</v>
      </c>
      <c r="AG35" s="11" t="s">
        <v>588</v>
      </c>
      <c r="AH35" s="11" t="s">
        <v>588</v>
      </c>
      <c r="AI35" s="11" t="s">
        <v>588</v>
      </c>
      <c r="AJ35" s="11" t="s">
        <v>588</v>
      </c>
      <c r="AK35" s="13" t="s">
        <v>588</v>
      </c>
      <c r="AL35" s="11" t="s">
        <v>588</v>
      </c>
      <c r="AM35" s="11" t="s">
        <v>588</v>
      </c>
      <c r="AN35" s="11" t="s">
        <v>588</v>
      </c>
      <c r="AO35" s="11" t="s">
        <v>588</v>
      </c>
      <c r="AP35" s="13">
        <v>45657</v>
      </c>
      <c r="AQ35" s="11" t="s">
        <v>7</v>
      </c>
      <c r="AR35" s="11" t="s">
        <v>195</v>
      </c>
      <c r="AS35" s="11">
        <v>3</v>
      </c>
      <c r="AT35" s="11">
        <v>3</v>
      </c>
      <c r="AU35" s="7" t="s">
        <v>588</v>
      </c>
      <c r="AV35" s="11" t="s">
        <v>588</v>
      </c>
      <c r="AW35" s="11" t="s">
        <v>588</v>
      </c>
      <c r="AX35" s="11" t="s">
        <v>588</v>
      </c>
      <c r="AY35" s="11" t="s">
        <v>588</v>
      </c>
      <c r="AZ35" s="11" t="s">
        <v>588</v>
      </c>
      <c r="BA35" s="7" t="s">
        <v>588</v>
      </c>
      <c r="BB35" s="11" t="s">
        <v>588</v>
      </c>
      <c r="BC35" s="11" t="s">
        <v>588</v>
      </c>
      <c r="BD35" s="11" t="s">
        <v>588</v>
      </c>
      <c r="BE35" s="11" t="s">
        <v>588</v>
      </c>
      <c r="BF35" s="11" t="s">
        <v>588</v>
      </c>
      <c r="BG35" s="7" t="s">
        <v>588</v>
      </c>
      <c r="BH35" s="11" t="s">
        <v>588</v>
      </c>
      <c r="BI35" s="11" t="s">
        <v>588</v>
      </c>
      <c r="BJ35" s="11" t="s">
        <v>588</v>
      </c>
      <c r="BK35" s="11" t="s">
        <v>588</v>
      </c>
      <c r="BL35" s="11" t="s">
        <v>588</v>
      </c>
      <c r="BM35" s="11">
        <v>29</v>
      </c>
      <c r="BN35" s="11">
        <v>29</v>
      </c>
      <c r="BO35" s="11" t="s">
        <v>8</v>
      </c>
      <c r="BP35" s="11">
        <v>3</v>
      </c>
      <c r="BQ35" s="13">
        <v>45691</v>
      </c>
      <c r="BR35" s="11" t="s">
        <v>21</v>
      </c>
      <c r="BS35" s="11" t="s">
        <v>8</v>
      </c>
      <c r="BT35" s="11" t="s">
        <v>65</v>
      </c>
      <c r="BU35" s="11" t="s">
        <v>65</v>
      </c>
      <c r="BV35" s="13">
        <v>45631</v>
      </c>
      <c r="BW35" s="11" t="s">
        <v>8</v>
      </c>
      <c r="BX35" s="11" t="s">
        <v>307</v>
      </c>
      <c r="BY35" s="11" t="s">
        <v>307</v>
      </c>
      <c r="BZ35" s="13">
        <v>45657</v>
      </c>
      <c r="CA35" s="11" t="s">
        <v>588</v>
      </c>
      <c r="CB35" s="11" t="s">
        <v>588</v>
      </c>
    </row>
    <row r="36" spans="1:80" x14ac:dyDescent="0.25">
      <c r="A36" s="11">
        <v>202425</v>
      </c>
      <c r="B36" s="11" t="s">
        <v>308</v>
      </c>
      <c r="C36" s="11" t="s">
        <v>308</v>
      </c>
      <c r="D36" s="11" t="s">
        <v>309</v>
      </c>
      <c r="E36" s="11" t="s">
        <v>309</v>
      </c>
      <c r="F36" s="11">
        <v>1</v>
      </c>
      <c r="G36" s="11" t="s">
        <v>310</v>
      </c>
      <c r="H36" s="11" t="s">
        <v>2811</v>
      </c>
      <c r="I36" s="13">
        <v>45674</v>
      </c>
      <c r="J36" s="11">
        <v>17</v>
      </c>
      <c r="K36" s="11">
        <v>1</v>
      </c>
      <c r="L36" s="11">
        <v>2025</v>
      </c>
      <c r="M36" s="11" t="s">
        <v>2812</v>
      </c>
      <c r="N36" s="11" t="s">
        <v>12</v>
      </c>
      <c r="O36" s="11" t="s">
        <v>19</v>
      </c>
      <c r="P36" s="11" t="s">
        <v>588</v>
      </c>
      <c r="Q36" s="11" t="s">
        <v>588</v>
      </c>
      <c r="R36" s="11">
        <v>-38.583106999999998</v>
      </c>
      <c r="S36" s="11">
        <v>145.511551</v>
      </c>
      <c r="T36" s="11">
        <v>1</v>
      </c>
      <c r="U36" s="11">
        <v>1</v>
      </c>
      <c r="V36" s="11" t="s">
        <v>588</v>
      </c>
      <c r="W36" s="11" t="s">
        <v>588</v>
      </c>
      <c r="X36" s="11">
        <v>3</v>
      </c>
      <c r="Y36" s="11">
        <v>3</v>
      </c>
      <c r="Z36" s="11" t="s">
        <v>41</v>
      </c>
      <c r="AA36" s="13">
        <v>45681</v>
      </c>
      <c r="AB36" s="11">
        <v>24</v>
      </c>
      <c r="AC36" s="11">
        <v>1</v>
      </c>
      <c r="AD36" s="11">
        <v>2025</v>
      </c>
      <c r="AE36" s="13" t="s">
        <v>2749</v>
      </c>
      <c r="AF36" s="11" t="s">
        <v>12</v>
      </c>
      <c r="AG36" s="13">
        <v>45686</v>
      </c>
      <c r="AH36" s="11">
        <v>29</v>
      </c>
      <c r="AI36" s="11">
        <v>1</v>
      </c>
      <c r="AJ36" s="11">
        <v>2025</v>
      </c>
      <c r="AK36" s="13" t="s">
        <v>2792</v>
      </c>
      <c r="AL36" s="11" t="s">
        <v>12</v>
      </c>
      <c r="AM36" s="11" t="s">
        <v>20</v>
      </c>
      <c r="AN36" s="11" t="s">
        <v>588</v>
      </c>
      <c r="AO36" s="11" t="s">
        <v>32</v>
      </c>
      <c r="AP36" s="11" t="s">
        <v>588</v>
      </c>
      <c r="AQ36" s="11" t="s">
        <v>588</v>
      </c>
      <c r="AR36" s="11" t="s">
        <v>588</v>
      </c>
      <c r="AS36" s="11" t="s">
        <v>588</v>
      </c>
      <c r="AT36" s="11" t="s">
        <v>588</v>
      </c>
      <c r="AU36" s="7" t="s">
        <v>588</v>
      </c>
      <c r="AV36" s="11" t="s">
        <v>588</v>
      </c>
      <c r="AW36" s="11" t="s">
        <v>588</v>
      </c>
      <c r="AX36" s="11" t="s">
        <v>588</v>
      </c>
      <c r="AY36" s="11" t="s">
        <v>588</v>
      </c>
      <c r="AZ36" s="11" t="s">
        <v>588</v>
      </c>
      <c r="BA36" s="7" t="s">
        <v>588</v>
      </c>
      <c r="BB36" s="11" t="s">
        <v>588</v>
      </c>
      <c r="BC36" s="11" t="s">
        <v>588</v>
      </c>
      <c r="BD36" s="11" t="s">
        <v>588</v>
      </c>
      <c r="BE36" s="11" t="s">
        <v>588</v>
      </c>
      <c r="BF36" s="11" t="s">
        <v>588</v>
      </c>
      <c r="BG36" s="7" t="s">
        <v>588</v>
      </c>
      <c r="BH36" s="11" t="s">
        <v>588</v>
      </c>
      <c r="BI36" s="11" t="s">
        <v>588</v>
      </c>
      <c r="BJ36" s="11" t="s">
        <v>588</v>
      </c>
      <c r="BK36" s="11" t="s">
        <v>588</v>
      </c>
      <c r="BL36" s="11" t="s">
        <v>588</v>
      </c>
      <c r="BM36" s="11" t="s">
        <v>588</v>
      </c>
      <c r="BN36" s="11" t="s">
        <v>588</v>
      </c>
      <c r="BO36" s="11" t="s">
        <v>588</v>
      </c>
      <c r="BP36" s="11" t="s">
        <v>588</v>
      </c>
      <c r="BQ36" s="11" t="s">
        <v>588</v>
      </c>
      <c r="BR36" s="11" t="s">
        <v>588</v>
      </c>
      <c r="BS36" s="11" t="s">
        <v>8</v>
      </c>
      <c r="BT36" s="11" t="s">
        <v>9</v>
      </c>
      <c r="BU36" s="11" t="s">
        <v>9</v>
      </c>
      <c r="BV36" s="13">
        <v>45674</v>
      </c>
      <c r="BW36" s="11" t="s">
        <v>588</v>
      </c>
      <c r="BX36" s="11" t="s">
        <v>588</v>
      </c>
      <c r="BY36" s="11" t="s">
        <v>588</v>
      </c>
      <c r="BZ36" s="11" t="s">
        <v>588</v>
      </c>
      <c r="CA36" s="11" t="s">
        <v>311</v>
      </c>
      <c r="CB36" s="11" t="s">
        <v>588</v>
      </c>
    </row>
    <row r="37" spans="1:80" x14ac:dyDescent="0.25">
      <c r="A37" s="11">
        <v>202425</v>
      </c>
      <c r="B37" s="11" t="s">
        <v>320</v>
      </c>
      <c r="C37" s="11" t="s">
        <v>320</v>
      </c>
      <c r="D37" s="11" t="s">
        <v>321</v>
      </c>
      <c r="E37" s="11" t="s">
        <v>16</v>
      </c>
      <c r="F37" s="11">
        <v>1</v>
      </c>
      <c r="G37" s="11" t="s">
        <v>322</v>
      </c>
      <c r="H37" s="11" t="s">
        <v>2813</v>
      </c>
      <c r="I37" s="13">
        <v>45638</v>
      </c>
      <c r="J37" s="11">
        <v>12</v>
      </c>
      <c r="K37" s="11">
        <v>12</v>
      </c>
      <c r="L37" s="11">
        <v>2024</v>
      </c>
      <c r="M37" s="11" t="s">
        <v>2814</v>
      </c>
      <c r="N37" s="11" t="s">
        <v>7</v>
      </c>
      <c r="O37" s="11" t="s">
        <v>51</v>
      </c>
      <c r="P37" s="11">
        <v>-38.572792</v>
      </c>
      <c r="Q37" s="11">
        <v>145.50263799999999</v>
      </c>
      <c r="R37" s="11" t="s">
        <v>588</v>
      </c>
      <c r="S37" s="11" t="s">
        <v>588</v>
      </c>
      <c r="T37" s="11">
        <v>3</v>
      </c>
      <c r="U37" s="11">
        <v>3</v>
      </c>
      <c r="V37" s="13">
        <v>45639</v>
      </c>
      <c r="W37" s="11" t="s">
        <v>223</v>
      </c>
      <c r="X37" s="11">
        <v>7</v>
      </c>
      <c r="Y37" s="11">
        <v>7</v>
      </c>
      <c r="Z37" s="11" t="s">
        <v>41</v>
      </c>
      <c r="AA37" s="13">
        <v>45657</v>
      </c>
      <c r="AB37" s="11">
        <v>31</v>
      </c>
      <c r="AC37" s="11">
        <v>12</v>
      </c>
      <c r="AD37" s="11">
        <v>2024</v>
      </c>
      <c r="AE37" s="13" t="s">
        <v>2768</v>
      </c>
      <c r="AF37" s="11" t="s">
        <v>7</v>
      </c>
      <c r="AG37" s="13">
        <v>45667</v>
      </c>
      <c r="AH37" s="11">
        <v>10</v>
      </c>
      <c r="AI37" s="11">
        <v>1</v>
      </c>
      <c r="AJ37" s="11">
        <v>2025</v>
      </c>
      <c r="AK37" s="13" t="s">
        <v>2815</v>
      </c>
      <c r="AL37" s="11" t="s">
        <v>12</v>
      </c>
      <c r="AM37" s="11" t="s">
        <v>20</v>
      </c>
      <c r="AN37" s="11" t="s">
        <v>588</v>
      </c>
      <c r="AO37" s="11" t="s">
        <v>20</v>
      </c>
      <c r="AP37" s="11" t="s">
        <v>588</v>
      </c>
      <c r="AQ37" s="11" t="s">
        <v>588</v>
      </c>
      <c r="AR37" s="11" t="s">
        <v>588</v>
      </c>
      <c r="AS37" s="11" t="s">
        <v>588</v>
      </c>
      <c r="AT37" s="11" t="s">
        <v>588</v>
      </c>
      <c r="AU37" s="7" t="s">
        <v>588</v>
      </c>
      <c r="AV37" s="11" t="s">
        <v>588</v>
      </c>
      <c r="AW37" s="11" t="s">
        <v>588</v>
      </c>
      <c r="AX37" s="11" t="s">
        <v>588</v>
      </c>
      <c r="AY37" s="11" t="s">
        <v>588</v>
      </c>
      <c r="AZ37" s="11" t="s">
        <v>588</v>
      </c>
      <c r="BA37" s="7" t="s">
        <v>588</v>
      </c>
      <c r="BB37" s="11" t="s">
        <v>588</v>
      </c>
      <c r="BC37" s="11" t="s">
        <v>588</v>
      </c>
      <c r="BD37" s="11" t="s">
        <v>588</v>
      </c>
      <c r="BE37" s="11" t="s">
        <v>588</v>
      </c>
      <c r="BF37" s="11" t="s">
        <v>588</v>
      </c>
      <c r="BG37" s="7" t="s">
        <v>588</v>
      </c>
      <c r="BH37" s="11" t="s">
        <v>588</v>
      </c>
      <c r="BI37" s="11" t="s">
        <v>588</v>
      </c>
      <c r="BJ37" s="11" t="s">
        <v>588</v>
      </c>
      <c r="BK37" s="11" t="s">
        <v>588</v>
      </c>
      <c r="BL37" s="11" t="s">
        <v>588</v>
      </c>
      <c r="BM37" s="11" t="s">
        <v>588</v>
      </c>
      <c r="BN37" s="11" t="s">
        <v>588</v>
      </c>
      <c r="BO37" s="11" t="s">
        <v>588</v>
      </c>
      <c r="BP37" s="11" t="s">
        <v>588</v>
      </c>
      <c r="BQ37" s="11" t="s">
        <v>588</v>
      </c>
      <c r="BR37" s="11" t="s">
        <v>588</v>
      </c>
      <c r="BS37" s="11" t="s">
        <v>8</v>
      </c>
      <c r="BT37" s="11" t="s">
        <v>9</v>
      </c>
      <c r="BU37" s="11" t="s">
        <v>9</v>
      </c>
      <c r="BV37" s="13">
        <v>45639</v>
      </c>
      <c r="BW37" s="11" t="s">
        <v>588</v>
      </c>
      <c r="BX37" s="11" t="s">
        <v>588</v>
      </c>
      <c r="BY37" s="11" t="s">
        <v>588</v>
      </c>
      <c r="BZ37" s="11" t="s">
        <v>588</v>
      </c>
      <c r="CA37" s="11" t="s">
        <v>588</v>
      </c>
      <c r="CB37" s="11" t="s">
        <v>588</v>
      </c>
    </row>
    <row r="38" spans="1:80" x14ac:dyDescent="0.25">
      <c r="A38" s="11">
        <v>202425</v>
      </c>
      <c r="B38" s="11" t="s">
        <v>320</v>
      </c>
      <c r="C38" s="11" t="s">
        <v>320</v>
      </c>
      <c r="D38" s="11" t="s">
        <v>321</v>
      </c>
      <c r="E38" s="11" t="s">
        <v>16</v>
      </c>
      <c r="F38" s="11">
        <v>2</v>
      </c>
      <c r="G38" s="11" t="s">
        <v>323</v>
      </c>
      <c r="H38" s="11" t="s">
        <v>2816</v>
      </c>
      <c r="I38" s="13">
        <v>45667</v>
      </c>
      <c r="J38" s="11">
        <v>10</v>
      </c>
      <c r="K38" s="11">
        <v>1</v>
      </c>
      <c r="L38" s="11">
        <v>2025</v>
      </c>
      <c r="M38" s="11" t="s">
        <v>2815</v>
      </c>
      <c r="N38" s="11" t="s">
        <v>12</v>
      </c>
      <c r="O38" s="11" t="s">
        <v>10</v>
      </c>
      <c r="P38" s="11" t="s">
        <v>588</v>
      </c>
      <c r="Q38" s="11" t="s">
        <v>588</v>
      </c>
      <c r="R38" s="11">
        <v>-38.570625</v>
      </c>
      <c r="S38" s="11">
        <v>145.50036600000001</v>
      </c>
      <c r="T38" s="11">
        <v>3</v>
      </c>
      <c r="U38" s="11">
        <v>3</v>
      </c>
      <c r="V38" s="11" t="s">
        <v>588</v>
      </c>
      <c r="W38" s="11" t="s">
        <v>588</v>
      </c>
      <c r="X38" s="11">
        <v>7</v>
      </c>
      <c r="Y38" s="11">
        <v>7</v>
      </c>
      <c r="Z38" s="11" t="s">
        <v>8</v>
      </c>
      <c r="AA38" s="13">
        <v>45698</v>
      </c>
      <c r="AB38" s="11">
        <v>10</v>
      </c>
      <c r="AC38" s="11">
        <v>2</v>
      </c>
      <c r="AD38" s="11">
        <v>2025</v>
      </c>
      <c r="AE38" s="13" t="s">
        <v>2817</v>
      </c>
      <c r="AF38" s="11" t="s">
        <v>588</v>
      </c>
      <c r="AG38" s="11" t="s">
        <v>588</v>
      </c>
      <c r="AH38" s="11" t="s">
        <v>588</v>
      </c>
      <c r="AI38" s="11" t="s">
        <v>588</v>
      </c>
      <c r="AJ38" s="11" t="s">
        <v>588</v>
      </c>
      <c r="AK38" s="13" t="s">
        <v>588</v>
      </c>
      <c r="AL38" s="11" t="s">
        <v>588</v>
      </c>
      <c r="AM38" s="11" t="s">
        <v>588</v>
      </c>
      <c r="AN38" s="11" t="s">
        <v>588</v>
      </c>
      <c r="AO38" s="11" t="s">
        <v>588</v>
      </c>
      <c r="AP38" s="13">
        <v>45700</v>
      </c>
      <c r="AQ38" s="11" t="s">
        <v>21</v>
      </c>
      <c r="AR38" s="11" t="s">
        <v>195</v>
      </c>
      <c r="AS38" s="11">
        <v>3</v>
      </c>
      <c r="AT38" s="11">
        <v>3</v>
      </c>
      <c r="AU38" s="7">
        <v>45707</v>
      </c>
      <c r="AV38" s="13">
        <v>45712</v>
      </c>
      <c r="AW38" s="11" t="s">
        <v>21</v>
      </c>
      <c r="AX38" s="11" t="s">
        <v>20</v>
      </c>
      <c r="AY38" s="11" t="s">
        <v>588</v>
      </c>
      <c r="AZ38" s="11" t="s">
        <v>20</v>
      </c>
      <c r="BA38" s="7">
        <v>45712</v>
      </c>
      <c r="BB38" s="13">
        <v>45717</v>
      </c>
      <c r="BC38" s="11" t="s">
        <v>22</v>
      </c>
      <c r="BD38" s="11" t="s">
        <v>20</v>
      </c>
      <c r="BE38" s="11" t="s">
        <v>588</v>
      </c>
      <c r="BF38" s="11" t="s">
        <v>20</v>
      </c>
      <c r="BG38" s="7" t="s">
        <v>588</v>
      </c>
      <c r="BH38" s="13" t="s">
        <v>588</v>
      </c>
      <c r="BI38" s="11" t="s">
        <v>588</v>
      </c>
      <c r="BJ38" s="11" t="s">
        <v>588</v>
      </c>
      <c r="BK38" s="11" t="s">
        <v>588</v>
      </c>
      <c r="BL38" s="11" t="s">
        <v>588</v>
      </c>
      <c r="BM38" s="11">
        <v>15</v>
      </c>
      <c r="BN38" s="11">
        <v>15</v>
      </c>
      <c r="BO38" s="11" t="s">
        <v>8</v>
      </c>
      <c r="BP38" s="11">
        <v>1</v>
      </c>
      <c r="BQ38" s="13">
        <v>45736</v>
      </c>
      <c r="BR38" s="11" t="s">
        <v>22</v>
      </c>
      <c r="BS38" s="11" t="s">
        <v>8</v>
      </c>
      <c r="BT38" s="11" t="s">
        <v>9</v>
      </c>
      <c r="BU38" s="11" t="s">
        <v>9</v>
      </c>
      <c r="BV38" s="13">
        <v>45667</v>
      </c>
      <c r="BW38" s="11" t="s">
        <v>8</v>
      </c>
      <c r="BX38" s="11" t="s">
        <v>112</v>
      </c>
      <c r="BY38" s="11" t="s">
        <v>112</v>
      </c>
      <c r="BZ38" s="13">
        <v>45700</v>
      </c>
      <c r="CA38" s="11" t="s">
        <v>588</v>
      </c>
      <c r="CB38" s="11" t="s">
        <v>588</v>
      </c>
    </row>
    <row r="39" spans="1:80" x14ac:dyDescent="0.25">
      <c r="A39" s="11">
        <v>202425</v>
      </c>
      <c r="B39" s="11" t="s">
        <v>324</v>
      </c>
      <c r="C39" s="11" t="s">
        <v>324</v>
      </c>
      <c r="D39" s="11" t="s">
        <v>325</v>
      </c>
      <c r="E39" s="11" t="s">
        <v>326</v>
      </c>
      <c r="F39" s="11">
        <v>1</v>
      </c>
      <c r="G39" s="11" t="s">
        <v>327</v>
      </c>
      <c r="H39" s="11" t="s">
        <v>2818</v>
      </c>
      <c r="I39" s="13">
        <v>45628</v>
      </c>
      <c r="J39" s="11">
        <v>2</v>
      </c>
      <c r="K39" s="11">
        <v>12</v>
      </c>
      <c r="L39" s="11">
        <v>2024</v>
      </c>
      <c r="M39" s="11" t="s">
        <v>681</v>
      </c>
      <c r="N39" s="11" t="s">
        <v>7</v>
      </c>
      <c r="O39" s="11" t="s">
        <v>10</v>
      </c>
      <c r="P39" s="11">
        <v>-38.566549999999999</v>
      </c>
      <c r="Q39" s="11">
        <v>145.49627000000001</v>
      </c>
      <c r="R39" s="11" t="s">
        <v>588</v>
      </c>
      <c r="S39" s="11" t="s">
        <v>588</v>
      </c>
      <c r="T39" s="11">
        <v>3</v>
      </c>
      <c r="U39" s="11">
        <v>3</v>
      </c>
      <c r="V39" s="11" t="s">
        <v>588</v>
      </c>
      <c r="W39" s="11" t="s">
        <v>588</v>
      </c>
      <c r="X39" s="11">
        <v>7</v>
      </c>
      <c r="Y39" s="11">
        <v>7</v>
      </c>
      <c r="Z39" s="11" t="s">
        <v>8</v>
      </c>
      <c r="AA39" s="13">
        <v>45653</v>
      </c>
      <c r="AB39" s="11">
        <v>27</v>
      </c>
      <c r="AC39" s="11">
        <v>12</v>
      </c>
      <c r="AD39" s="11">
        <v>2024</v>
      </c>
      <c r="AE39" s="13" t="s">
        <v>2819</v>
      </c>
      <c r="AF39" s="11" t="s">
        <v>588</v>
      </c>
      <c r="AG39" s="11" t="s">
        <v>588</v>
      </c>
      <c r="AH39" s="11" t="s">
        <v>588</v>
      </c>
      <c r="AI39" s="11" t="s">
        <v>588</v>
      </c>
      <c r="AJ39" s="11" t="s">
        <v>588</v>
      </c>
      <c r="AK39" s="13" t="s">
        <v>588</v>
      </c>
      <c r="AL39" s="11" t="s">
        <v>588</v>
      </c>
      <c r="AM39" s="11" t="s">
        <v>588</v>
      </c>
      <c r="AN39" s="11" t="s">
        <v>588</v>
      </c>
      <c r="AO39" s="11" t="s">
        <v>588</v>
      </c>
      <c r="AP39" s="13">
        <v>45657</v>
      </c>
      <c r="AQ39" s="11" t="s">
        <v>7</v>
      </c>
      <c r="AR39" s="11" t="s">
        <v>195</v>
      </c>
      <c r="AS39" s="11">
        <v>1</v>
      </c>
      <c r="AT39" s="11">
        <v>3</v>
      </c>
      <c r="AU39" s="7" t="s">
        <v>588</v>
      </c>
      <c r="AV39" s="11" t="s">
        <v>588</v>
      </c>
      <c r="AW39" s="11" t="s">
        <v>588</v>
      </c>
      <c r="AX39" s="11" t="s">
        <v>588</v>
      </c>
      <c r="AY39" s="11" t="s">
        <v>588</v>
      </c>
      <c r="AZ39" s="11" t="s">
        <v>588</v>
      </c>
      <c r="BA39" s="7" t="s">
        <v>588</v>
      </c>
      <c r="BB39" s="11" t="s">
        <v>588</v>
      </c>
      <c r="BC39" s="11" t="s">
        <v>588</v>
      </c>
      <c r="BD39" s="11" t="s">
        <v>588</v>
      </c>
      <c r="BE39" s="11" t="s">
        <v>588</v>
      </c>
      <c r="BF39" s="11" t="s">
        <v>588</v>
      </c>
      <c r="BG39" s="7" t="s">
        <v>588</v>
      </c>
      <c r="BH39" s="11" t="s">
        <v>588</v>
      </c>
      <c r="BI39" s="11" t="s">
        <v>588</v>
      </c>
      <c r="BJ39" s="11" t="s">
        <v>588</v>
      </c>
      <c r="BK39" s="11" t="s">
        <v>588</v>
      </c>
      <c r="BL39" s="11" t="s">
        <v>588</v>
      </c>
      <c r="BM39" s="11">
        <v>11</v>
      </c>
      <c r="BN39" s="11">
        <v>11</v>
      </c>
      <c r="BO39" s="11" t="s">
        <v>8</v>
      </c>
      <c r="BP39" s="11">
        <v>1</v>
      </c>
      <c r="BQ39" s="13">
        <v>45691</v>
      </c>
      <c r="BR39" s="11" t="s">
        <v>21</v>
      </c>
      <c r="BS39" s="11" t="s">
        <v>8</v>
      </c>
      <c r="BT39" s="11" t="s">
        <v>9</v>
      </c>
      <c r="BU39" s="11" t="s">
        <v>9</v>
      </c>
      <c r="BV39" s="13">
        <v>45628</v>
      </c>
      <c r="BW39" s="11" t="s">
        <v>8</v>
      </c>
      <c r="BX39" s="11" t="s">
        <v>112</v>
      </c>
      <c r="BY39" s="11" t="s">
        <v>112</v>
      </c>
      <c r="BZ39" s="13">
        <v>45657</v>
      </c>
      <c r="CA39" s="11" t="s">
        <v>588</v>
      </c>
      <c r="CB39" s="11" t="s">
        <v>588</v>
      </c>
    </row>
    <row r="40" spans="1:80" x14ac:dyDescent="0.25">
      <c r="A40" s="11">
        <v>202425</v>
      </c>
      <c r="B40" s="11" t="s">
        <v>312</v>
      </c>
      <c r="C40" s="11" t="s">
        <v>552</v>
      </c>
      <c r="D40" s="11" t="s">
        <v>313</v>
      </c>
      <c r="E40" s="11" t="s">
        <v>16</v>
      </c>
      <c r="F40" s="11">
        <v>1</v>
      </c>
      <c r="G40" s="11" t="s">
        <v>314</v>
      </c>
      <c r="H40" s="11" t="s">
        <v>2820</v>
      </c>
      <c r="I40" s="13">
        <v>45553</v>
      </c>
      <c r="J40" s="11">
        <v>18</v>
      </c>
      <c r="K40" s="11">
        <v>9</v>
      </c>
      <c r="L40" s="11">
        <v>2024</v>
      </c>
      <c r="M40" s="11" t="s">
        <v>2821</v>
      </c>
      <c r="N40" s="11" t="s">
        <v>28</v>
      </c>
      <c r="O40" s="11" t="s">
        <v>36</v>
      </c>
      <c r="P40" s="11">
        <v>-38.579300000000003</v>
      </c>
      <c r="Q40" s="11">
        <v>145.508287</v>
      </c>
      <c r="R40" s="11" t="s">
        <v>588</v>
      </c>
      <c r="S40" s="11" t="s">
        <v>588</v>
      </c>
      <c r="T40" s="11">
        <v>3</v>
      </c>
      <c r="U40" s="11">
        <v>3</v>
      </c>
      <c r="V40" s="11" t="s">
        <v>588</v>
      </c>
      <c r="W40" s="11" t="s">
        <v>588</v>
      </c>
      <c r="X40" s="11">
        <v>3</v>
      </c>
      <c r="Y40" s="11">
        <v>3</v>
      </c>
      <c r="Z40" s="11" t="s">
        <v>41</v>
      </c>
      <c r="AA40" s="13">
        <v>45558</v>
      </c>
      <c r="AB40" s="11">
        <v>23</v>
      </c>
      <c r="AC40" s="11">
        <v>9</v>
      </c>
      <c r="AD40" s="11">
        <v>2024</v>
      </c>
      <c r="AE40" s="13" t="s">
        <v>2822</v>
      </c>
      <c r="AF40" s="11" t="s">
        <v>28</v>
      </c>
      <c r="AG40" s="13">
        <v>45565</v>
      </c>
      <c r="AH40" s="11">
        <v>30</v>
      </c>
      <c r="AI40" s="11">
        <v>9</v>
      </c>
      <c r="AJ40" s="11">
        <v>2024</v>
      </c>
      <c r="AK40" s="13" t="s">
        <v>2823</v>
      </c>
      <c r="AL40" s="11" t="s">
        <v>28</v>
      </c>
      <c r="AM40" s="11" t="s">
        <v>20</v>
      </c>
      <c r="AN40" s="11" t="s">
        <v>588</v>
      </c>
      <c r="AO40" s="11" t="s">
        <v>20</v>
      </c>
      <c r="AP40" s="11" t="s">
        <v>588</v>
      </c>
      <c r="AQ40" s="11" t="s">
        <v>588</v>
      </c>
      <c r="AR40" s="11" t="s">
        <v>588</v>
      </c>
      <c r="AS40" s="11" t="s">
        <v>588</v>
      </c>
      <c r="AT40" s="11" t="s">
        <v>588</v>
      </c>
      <c r="AU40" s="11" t="s">
        <v>588</v>
      </c>
      <c r="AV40" s="11" t="s">
        <v>588</v>
      </c>
      <c r="AW40" s="11" t="s">
        <v>588</v>
      </c>
      <c r="AX40" s="11" t="s">
        <v>588</v>
      </c>
      <c r="AY40" s="11" t="s">
        <v>588</v>
      </c>
      <c r="AZ40" s="11" t="s">
        <v>588</v>
      </c>
      <c r="BA40" s="11" t="s">
        <v>588</v>
      </c>
      <c r="BB40" s="11" t="s">
        <v>588</v>
      </c>
      <c r="BC40" s="11" t="s">
        <v>588</v>
      </c>
      <c r="BD40" s="11" t="s">
        <v>588</v>
      </c>
      <c r="BE40" s="11" t="s">
        <v>588</v>
      </c>
      <c r="BF40" s="11" t="s">
        <v>588</v>
      </c>
      <c r="BG40" s="11" t="s">
        <v>588</v>
      </c>
      <c r="BH40" s="11" t="s">
        <v>588</v>
      </c>
      <c r="BI40" s="11" t="s">
        <v>588</v>
      </c>
      <c r="BJ40" s="11" t="s">
        <v>588</v>
      </c>
      <c r="BK40" s="11" t="s">
        <v>588</v>
      </c>
      <c r="BL40" s="11" t="s">
        <v>588</v>
      </c>
      <c r="BM40" s="11" t="s">
        <v>588</v>
      </c>
      <c r="BN40" s="11" t="s">
        <v>588</v>
      </c>
      <c r="BO40" s="11" t="s">
        <v>588</v>
      </c>
      <c r="BP40" s="11" t="s">
        <v>588</v>
      </c>
      <c r="BQ40" s="11" t="s">
        <v>588</v>
      </c>
      <c r="BR40" s="11" t="s">
        <v>588</v>
      </c>
      <c r="BS40" s="11" t="s">
        <v>8</v>
      </c>
      <c r="BT40" s="11" t="s">
        <v>65</v>
      </c>
      <c r="BU40" s="11" t="s">
        <v>65</v>
      </c>
      <c r="BV40" s="13">
        <v>45558</v>
      </c>
      <c r="BW40" s="11" t="s">
        <v>588</v>
      </c>
      <c r="BX40" s="11" t="s">
        <v>588</v>
      </c>
      <c r="BY40" s="11" t="s">
        <v>588</v>
      </c>
      <c r="BZ40" s="11" t="s">
        <v>588</v>
      </c>
      <c r="CA40" s="11" t="s">
        <v>315</v>
      </c>
      <c r="CB40" s="11" t="s">
        <v>588</v>
      </c>
    </row>
    <row r="41" spans="1:80" x14ac:dyDescent="0.25">
      <c r="A41" s="11">
        <v>202425</v>
      </c>
      <c r="B41" s="11" t="s">
        <v>316</v>
      </c>
      <c r="C41" s="11" t="s">
        <v>553</v>
      </c>
      <c r="D41" s="11" t="s">
        <v>313</v>
      </c>
      <c r="E41" s="11" t="s">
        <v>16</v>
      </c>
      <c r="F41" s="11">
        <v>2</v>
      </c>
      <c r="G41" s="11" t="s">
        <v>317</v>
      </c>
      <c r="H41" s="11" t="s">
        <v>2824</v>
      </c>
      <c r="I41" s="13">
        <v>45573</v>
      </c>
      <c r="J41" s="11">
        <v>8</v>
      </c>
      <c r="K41" s="11">
        <v>10</v>
      </c>
      <c r="L41" s="11">
        <v>2024</v>
      </c>
      <c r="M41" s="11" t="s">
        <v>2825</v>
      </c>
      <c r="N41" s="11" t="s">
        <v>29</v>
      </c>
      <c r="O41" s="11" t="s">
        <v>10</v>
      </c>
      <c r="P41" s="11" t="s">
        <v>588</v>
      </c>
      <c r="Q41" s="11" t="s">
        <v>588</v>
      </c>
      <c r="R41" s="11">
        <v>-38.573878999999998</v>
      </c>
      <c r="S41" s="11">
        <v>145.50413499999999</v>
      </c>
      <c r="T41" s="11">
        <v>3</v>
      </c>
      <c r="U41" s="11">
        <v>3</v>
      </c>
      <c r="V41" s="11" t="s">
        <v>588</v>
      </c>
      <c r="W41" s="11" t="s">
        <v>588</v>
      </c>
      <c r="X41" s="11">
        <v>3</v>
      </c>
      <c r="Y41" s="11">
        <v>3</v>
      </c>
      <c r="Z41" s="11" t="s">
        <v>41</v>
      </c>
      <c r="AA41" s="13">
        <v>45576</v>
      </c>
      <c r="AB41" s="11">
        <v>11</v>
      </c>
      <c r="AC41" s="11">
        <v>10</v>
      </c>
      <c r="AD41" s="11">
        <v>2024</v>
      </c>
      <c r="AE41" s="13" t="s">
        <v>2826</v>
      </c>
      <c r="AF41" s="11" t="s">
        <v>29</v>
      </c>
      <c r="AG41" s="13">
        <v>45581</v>
      </c>
      <c r="AH41" s="11">
        <v>16</v>
      </c>
      <c r="AI41" s="11">
        <v>10</v>
      </c>
      <c r="AJ41" s="11">
        <v>2024</v>
      </c>
      <c r="AK41" s="13" t="s">
        <v>2827</v>
      </c>
      <c r="AL41" s="11" t="s">
        <v>29</v>
      </c>
      <c r="AM41" s="11" t="s">
        <v>20</v>
      </c>
      <c r="AN41" s="11" t="s">
        <v>588</v>
      </c>
      <c r="AO41" s="11" t="s">
        <v>20</v>
      </c>
      <c r="AP41" s="11" t="s">
        <v>588</v>
      </c>
      <c r="AQ41" s="11" t="s">
        <v>588</v>
      </c>
      <c r="AR41" s="11" t="s">
        <v>588</v>
      </c>
      <c r="AS41" s="11" t="s">
        <v>588</v>
      </c>
      <c r="AT41" s="11" t="s">
        <v>588</v>
      </c>
      <c r="AU41" s="7" t="s">
        <v>588</v>
      </c>
      <c r="AV41" s="11" t="s">
        <v>588</v>
      </c>
      <c r="AW41" s="11" t="s">
        <v>588</v>
      </c>
      <c r="AX41" s="11" t="s">
        <v>588</v>
      </c>
      <c r="AY41" s="11" t="s">
        <v>588</v>
      </c>
      <c r="AZ41" s="11" t="s">
        <v>588</v>
      </c>
      <c r="BA41" s="7" t="s">
        <v>588</v>
      </c>
      <c r="BB41" s="11" t="s">
        <v>588</v>
      </c>
      <c r="BC41" s="11" t="s">
        <v>588</v>
      </c>
      <c r="BD41" s="11" t="s">
        <v>588</v>
      </c>
      <c r="BE41" s="11" t="s">
        <v>588</v>
      </c>
      <c r="BF41" s="11" t="s">
        <v>588</v>
      </c>
      <c r="BG41" s="7" t="s">
        <v>588</v>
      </c>
      <c r="BH41" s="11" t="s">
        <v>588</v>
      </c>
      <c r="BI41" s="11" t="s">
        <v>588</v>
      </c>
      <c r="BJ41" s="11" t="s">
        <v>588</v>
      </c>
      <c r="BK41" s="11" t="s">
        <v>588</v>
      </c>
      <c r="BL41" s="11" t="s">
        <v>588</v>
      </c>
      <c r="BM41" s="11" t="s">
        <v>588</v>
      </c>
      <c r="BN41" s="11" t="s">
        <v>588</v>
      </c>
      <c r="BO41" s="11" t="s">
        <v>588</v>
      </c>
      <c r="BP41" s="11" t="s">
        <v>588</v>
      </c>
      <c r="BQ41" s="11" t="s">
        <v>588</v>
      </c>
      <c r="BR41" s="11" t="s">
        <v>588</v>
      </c>
      <c r="BS41" s="11" t="s">
        <v>8</v>
      </c>
      <c r="BT41" s="11" t="s">
        <v>9</v>
      </c>
      <c r="BU41" s="11" t="s">
        <v>9</v>
      </c>
      <c r="BV41" s="13">
        <v>45576</v>
      </c>
      <c r="BW41" s="11" t="s">
        <v>588</v>
      </c>
      <c r="BX41" s="11" t="s">
        <v>588</v>
      </c>
      <c r="BY41" s="11" t="s">
        <v>588</v>
      </c>
      <c r="BZ41" s="11" t="s">
        <v>588</v>
      </c>
      <c r="CA41" s="11" t="s">
        <v>315</v>
      </c>
      <c r="CB41" s="11" t="s">
        <v>588</v>
      </c>
    </row>
    <row r="42" spans="1:80" x14ac:dyDescent="0.25">
      <c r="A42" s="11">
        <v>202425</v>
      </c>
      <c r="B42" s="11" t="s">
        <v>316</v>
      </c>
      <c r="C42" s="11" t="s">
        <v>553</v>
      </c>
      <c r="D42" s="11" t="s">
        <v>313</v>
      </c>
      <c r="E42" s="11" t="s">
        <v>16</v>
      </c>
      <c r="F42" s="11">
        <v>3</v>
      </c>
      <c r="G42" s="11" t="s">
        <v>318</v>
      </c>
      <c r="H42" s="11" t="s">
        <v>2828</v>
      </c>
      <c r="I42" s="13">
        <v>45639</v>
      </c>
      <c r="J42" s="11">
        <v>13</v>
      </c>
      <c r="K42" s="11">
        <v>12</v>
      </c>
      <c r="L42" s="11">
        <v>2024</v>
      </c>
      <c r="M42" s="11" t="s">
        <v>2759</v>
      </c>
      <c r="N42" s="11" t="s">
        <v>7</v>
      </c>
      <c r="O42" s="11" t="s">
        <v>10</v>
      </c>
      <c r="P42" s="11" t="s">
        <v>588</v>
      </c>
      <c r="Q42" s="11" t="s">
        <v>588</v>
      </c>
      <c r="R42" s="11">
        <v>-38.573878999999998</v>
      </c>
      <c r="S42" s="11">
        <v>145.50413499999999</v>
      </c>
      <c r="T42" s="11">
        <v>3</v>
      </c>
      <c r="U42" s="11">
        <v>3</v>
      </c>
      <c r="V42" s="11" t="s">
        <v>588</v>
      </c>
      <c r="W42" s="11" t="s">
        <v>588</v>
      </c>
      <c r="X42" s="11">
        <v>5</v>
      </c>
      <c r="Y42" s="11">
        <v>5</v>
      </c>
      <c r="Z42" s="11" t="s">
        <v>8</v>
      </c>
      <c r="AA42" s="13">
        <v>45639</v>
      </c>
      <c r="AB42" s="11">
        <v>13</v>
      </c>
      <c r="AC42" s="11">
        <v>12</v>
      </c>
      <c r="AD42" s="11">
        <v>2024</v>
      </c>
      <c r="AE42" s="13" t="s">
        <v>2759</v>
      </c>
      <c r="AF42" s="11" t="s">
        <v>588</v>
      </c>
      <c r="AG42" s="11" t="s">
        <v>588</v>
      </c>
      <c r="AH42" s="11" t="s">
        <v>588</v>
      </c>
      <c r="AI42" s="11" t="s">
        <v>588</v>
      </c>
      <c r="AJ42" s="11" t="s">
        <v>588</v>
      </c>
      <c r="AK42" s="13" t="s">
        <v>588</v>
      </c>
      <c r="AL42" s="11" t="s">
        <v>588</v>
      </c>
      <c r="AM42" s="11" t="s">
        <v>588</v>
      </c>
      <c r="AN42" s="11" t="s">
        <v>588</v>
      </c>
      <c r="AO42" s="11" t="s">
        <v>588</v>
      </c>
      <c r="AP42" s="13">
        <v>45674</v>
      </c>
      <c r="AQ42" s="11" t="s">
        <v>12</v>
      </c>
      <c r="AR42" s="11" t="s">
        <v>195</v>
      </c>
      <c r="AS42" s="11">
        <v>1</v>
      </c>
      <c r="AT42" s="11">
        <v>1</v>
      </c>
      <c r="AU42" s="7">
        <v>45674</v>
      </c>
      <c r="AV42" s="13">
        <v>45674</v>
      </c>
      <c r="AW42" s="11" t="s">
        <v>12</v>
      </c>
      <c r="AX42" s="11" t="s">
        <v>20</v>
      </c>
      <c r="AY42" s="11" t="s">
        <v>588</v>
      </c>
      <c r="AZ42" s="11" t="s">
        <v>20</v>
      </c>
      <c r="BA42" s="7" t="s">
        <v>588</v>
      </c>
      <c r="BB42" s="11" t="s">
        <v>588</v>
      </c>
      <c r="BC42" s="11" t="s">
        <v>588</v>
      </c>
      <c r="BD42" s="11" t="s">
        <v>588</v>
      </c>
      <c r="BE42" s="11" t="s">
        <v>588</v>
      </c>
      <c r="BF42" s="11" t="s">
        <v>588</v>
      </c>
      <c r="BG42" s="7" t="s">
        <v>588</v>
      </c>
      <c r="BH42" s="11" t="s">
        <v>588</v>
      </c>
      <c r="BI42" s="11" t="s">
        <v>588</v>
      </c>
      <c r="BJ42" s="11" t="s">
        <v>588</v>
      </c>
      <c r="BK42" s="11" t="s">
        <v>588</v>
      </c>
      <c r="BL42" s="11" t="s">
        <v>588</v>
      </c>
      <c r="BM42" s="11">
        <v>4</v>
      </c>
      <c r="BN42" s="11">
        <v>4</v>
      </c>
      <c r="BO42" s="11" t="s">
        <v>41</v>
      </c>
      <c r="BP42" s="11" t="s">
        <v>588</v>
      </c>
      <c r="BQ42" s="11" t="s">
        <v>588</v>
      </c>
      <c r="BR42" s="11" t="s">
        <v>588</v>
      </c>
      <c r="BS42" s="11" t="s">
        <v>8</v>
      </c>
      <c r="BT42" s="11" t="s">
        <v>9</v>
      </c>
      <c r="BU42" s="11" t="s">
        <v>9</v>
      </c>
      <c r="BV42" s="13">
        <v>45639</v>
      </c>
      <c r="BW42" s="11" t="s">
        <v>8</v>
      </c>
      <c r="BX42" s="11" t="s">
        <v>112</v>
      </c>
      <c r="BY42" s="11" t="s">
        <v>112</v>
      </c>
      <c r="BZ42" s="13">
        <v>45667</v>
      </c>
      <c r="CA42" s="11" t="s">
        <v>319</v>
      </c>
      <c r="CB42" s="11" t="s">
        <v>588</v>
      </c>
    </row>
    <row r="43" spans="1:80" x14ac:dyDescent="0.25">
      <c r="A43" s="11">
        <v>202425</v>
      </c>
      <c r="B43" s="11" t="s">
        <v>62</v>
      </c>
      <c r="C43" s="11" t="s">
        <v>35</v>
      </c>
      <c r="D43" s="11" t="s">
        <v>109</v>
      </c>
      <c r="E43" s="11" t="s">
        <v>16</v>
      </c>
      <c r="F43" s="11">
        <v>1</v>
      </c>
      <c r="G43" s="11" t="s">
        <v>328</v>
      </c>
      <c r="H43" s="11" t="s">
        <v>2829</v>
      </c>
      <c r="I43" s="13">
        <v>45607</v>
      </c>
      <c r="J43" s="11">
        <v>11</v>
      </c>
      <c r="K43" s="11">
        <v>11</v>
      </c>
      <c r="L43" s="11">
        <v>2024</v>
      </c>
      <c r="M43" s="11" t="s">
        <v>2807</v>
      </c>
      <c r="N43" s="11" t="s">
        <v>17</v>
      </c>
      <c r="O43" s="11" t="s">
        <v>51</v>
      </c>
      <c r="P43" s="11">
        <v>-38.627046999999997</v>
      </c>
      <c r="Q43" s="11">
        <v>145.63987800000001</v>
      </c>
      <c r="R43" s="11" t="s">
        <v>588</v>
      </c>
      <c r="S43" s="11" t="s">
        <v>588</v>
      </c>
      <c r="T43" s="11">
        <v>2</v>
      </c>
      <c r="U43" s="11">
        <v>2</v>
      </c>
      <c r="V43" s="11" t="s">
        <v>588</v>
      </c>
      <c r="W43" s="11" t="s">
        <v>588</v>
      </c>
      <c r="X43" s="11">
        <v>3</v>
      </c>
      <c r="Y43" s="11">
        <v>3</v>
      </c>
      <c r="Z43" s="11" t="s">
        <v>8</v>
      </c>
      <c r="AA43" s="13">
        <v>45617</v>
      </c>
      <c r="AB43" s="11">
        <v>21</v>
      </c>
      <c r="AC43" s="11">
        <v>11</v>
      </c>
      <c r="AD43" s="11">
        <v>2024</v>
      </c>
      <c r="AE43" s="13" t="s">
        <v>2753</v>
      </c>
      <c r="AF43" s="11" t="s">
        <v>588</v>
      </c>
      <c r="AG43" s="11" t="s">
        <v>588</v>
      </c>
      <c r="AH43" s="11" t="s">
        <v>588</v>
      </c>
      <c r="AI43" s="11" t="s">
        <v>588</v>
      </c>
      <c r="AJ43" s="11" t="s">
        <v>588</v>
      </c>
      <c r="AK43" s="13" t="s">
        <v>588</v>
      </c>
      <c r="AL43" s="11" t="s">
        <v>588</v>
      </c>
      <c r="AM43" s="11" t="s">
        <v>588</v>
      </c>
      <c r="AN43" s="11" t="s">
        <v>588</v>
      </c>
      <c r="AO43" s="11" t="s">
        <v>588</v>
      </c>
      <c r="AP43" s="13">
        <v>45624</v>
      </c>
      <c r="AQ43" s="11" t="s">
        <v>17</v>
      </c>
      <c r="AR43" s="11" t="s">
        <v>195</v>
      </c>
      <c r="AS43" s="11">
        <v>1</v>
      </c>
      <c r="AT43" s="11">
        <v>1</v>
      </c>
      <c r="AU43" s="7">
        <v>45624</v>
      </c>
      <c r="AV43" s="13">
        <v>45628</v>
      </c>
      <c r="AW43" s="11" t="s">
        <v>7</v>
      </c>
      <c r="AX43" s="11" t="s">
        <v>20</v>
      </c>
      <c r="AY43" s="11" t="s">
        <v>588</v>
      </c>
      <c r="AZ43" s="11" t="s">
        <v>20</v>
      </c>
      <c r="BA43" s="7" t="s">
        <v>588</v>
      </c>
      <c r="BB43" s="11" t="s">
        <v>588</v>
      </c>
      <c r="BC43" s="11" t="s">
        <v>588</v>
      </c>
      <c r="BD43" s="11" t="s">
        <v>588</v>
      </c>
      <c r="BE43" s="11" t="s">
        <v>588</v>
      </c>
      <c r="BF43" s="11" t="s">
        <v>588</v>
      </c>
      <c r="BG43" s="7" t="s">
        <v>588</v>
      </c>
      <c r="BH43" s="11" t="s">
        <v>588</v>
      </c>
      <c r="BI43" s="11" t="s">
        <v>588</v>
      </c>
      <c r="BJ43" s="11" t="s">
        <v>588</v>
      </c>
      <c r="BK43" s="11" t="s">
        <v>588</v>
      </c>
      <c r="BL43" s="11" t="s">
        <v>588</v>
      </c>
      <c r="BM43" s="11">
        <v>2</v>
      </c>
      <c r="BN43" s="11">
        <v>2</v>
      </c>
      <c r="BO43" s="11" t="s">
        <v>41</v>
      </c>
      <c r="BP43" s="11" t="s">
        <v>588</v>
      </c>
      <c r="BQ43" s="11" t="s">
        <v>588</v>
      </c>
      <c r="BR43" s="11" t="s">
        <v>588</v>
      </c>
      <c r="BS43" s="11" t="s">
        <v>8</v>
      </c>
      <c r="BT43" s="11" t="s">
        <v>13</v>
      </c>
      <c r="BU43" s="11" t="s">
        <v>13</v>
      </c>
      <c r="BV43" s="13">
        <v>45607</v>
      </c>
      <c r="BW43" s="11" t="s">
        <v>8</v>
      </c>
      <c r="BX43" s="11" t="s">
        <v>9</v>
      </c>
      <c r="BY43" s="11" t="s">
        <v>9</v>
      </c>
      <c r="BZ43" s="13">
        <v>45624</v>
      </c>
      <c r="CA43" s="11" t="s">
        <v>329</v>
      </c>
      <c r="CB43" s="11" t="s">
        <v>588</v>
      </c>
    </row>
    <row r="44" spans="1:80" x14ac:dyDescent="0.25">
      <c r="A44" s="11">
        <v>202425</v>
      </c>
      <c r="B44" s="11" t="s">
        <v>62</v>
      </c>
      <c r="C44" s="11" t="s">
        <v>35</v>
      </c>
      <c r="D44" s="11" t="s">
        <v>109</v>
      </c>
      <c r="E44" s="11" t="s">
        <v>16</v>
      </c>
      <c r="F44" s="11">
        <v>2</v>
      </c>
      <c r="G44" s="11" t="s">
        <v>330</v>
      </c>
      <c r="H44" s="11" t="s">
        <v>2830</v>
      </c>
      <c r="I44" s="13">
        <v>45643</v>
      </c>
      <c r="J44" s="11">
        <v>17</v>
      </c>
      <c r="K44" s="11">
        <v>12</v>
      </c>
      <c r="L44" s="11">
        <v>2024</v>
      </c>
      <c r="M44" s="11" t="s">
        <v>2831</v>
      </c>
      <c r="N44" s="11" t="s">
        <v>7</v>
      </c>
      <c r="O44" s="11" t="s">
        <v>51</v>
      </c>
      <c r="P44" s="11">
        <v>-38.627046999999997</v>
      </c>
      <c r="Q44" s="11">
        <v>145.63987800000001</v>
      </c>
      <c r="R44" s="11" t="s">
        <v>588</v>
      </c>
      <c r="S44" s="11" t="s">
        <v>588</v>
      </c>
      <c r="T44" s="11">
        <v>2</v>
      </c>
      <c r="U44" s="11">
        <v>2</v>
      </c>
      <c r="V44" s="11" t="s">
        <v>588</v>
      </c>
      <c r="W44" s="11" t="s">
        <v>588</v>
      </c>
      <c r="X44" s="11">
        <v>5</v>
      </c>
      <c r="Y44" s="11">
        <v>5</v>
      </c>
      <c r="Z44" s="11" t="s">
        <v>41</v>
      </c>
      <c r="AA44" s="13">
        <v>45660</v>
      </c>
      <c r="AB44" s="11">
        <v>3</v>
      </c>
      <c r="AC44" s="11">
        <v>1</v>
      </c>
      <c r="AD44" s="11">
        <v>2025</v>
      </c>
      <c r="AE44" s="13" t="s">
        <v>2832</v>
      </c>
      <c r="AF44" s="11" t="s">
        <v>12</v>
      </c>
      <c r="AG44" s="13">
        <v>45671</v>
      </c>
      <c r="AH44" s="11">
        <v>14</v>
      </c>
      <c r="AI44" s="11">
        <v>1</v>
      </c>
      <c r="AJ44" s="11">
        <v>2025</v>
      </c>
      <c r="AK44" s="13" t="s">
        <v>2791</v>
      </c>
      <c r="AL44" s="11" t="s">
        <v>12</v>
      </c>
      <c r="AM44" s="11" t="s">
        <v>20</v>
      </c>
      <c r="AN44" s="11" t="s">
        <v>588</v>
      </c>
      <c r="AO44" s="11" t="s">
        <v>20</v>
      </c>
      <c r="AP44" s="13" t="s">
        <v>588</v>
      </c>
      <c r="AQ44" s="11" t="s">
        <v>588</v>
      </c>
      <c r="AR44" s="11" t="s">
        <v>588</v>
      </c>
      <c r="AS44" s="11" t="s">
        <v>588</v>
      </c>
      <c r="AT44" s="11" t="s">
        <v>588</v>
      </c>
      <c r="AU44" s="7" t="s">
        <v>588</v>
      </c>
      <c r="AV44" s="13" t="s">
        <v>588</v>
      </c>
      <c r="AW44" s="11" t="s">
        <v>588</v>
      </c>
      <c r="AX44" s="11" t="s">
        <v>588</v>
      </c>
      <c r="AY44" s="11" t="s">
        <v>588</v>
      </c>
      <c r="AZ44" s="11" t="s">
        <v>588</v>
      </c>
      <c r="BA44" s="7" t="s">
        <v>588</v>
      </c>
      <c r="BB44" s="11" t="s">
        <v>588</v>
      </c>
      <c r="BC44" s="11" t="s">
        <v>588</v>
      </c>
      <c r="BD44" s="11" t="s">
        <v>588</v>
      </c>
      <c r="BE44" s="11" t="s">
        <v>588</v>
      </c>
      <c r="BF44" s="11" t="s">
        <v>588</v>
      </c>
      <c r="BG44" s="7" t="s">
        <v>588</v>
      </c>
      <c r="BH44" s="11" t="s">
        <v>588</v>
      </c>
      <c r="BI44" s="11" t="s">
        <v>588</v>
      </c>
      <c r="BJ44" s="11" t="s">
        <v>588</v>
      </c>
      <c r="BK44" s="11" t="s">
        <v>588</v>
      </c>
      <c r="BL44" s="11" t="s">
        <v>588</v>
      </c>
      <c r="BM44" s="11" t="s">
        <v>588</v>
      </c>
      <c r="BN44" s="11" t="s">
        <v>588</v>
      </c>
      <c r="BO44" s="11" t="s">
        <v>588</v>
      </c>
      <c r="BP44" s="11" t="s">
        <v>588</v>
      </c>
      <c r="BQ44" s="11" t="s">
        <v>588</v>
      </c>
      <c r="BR44" s="11" t="s">
        <v>588</v>
      </c>
      <c r="BS44" s="11" t="s">
        <v>8</v>
      </c>
      <c r="BT44" s="11" t="s">
        <v>9</v>
      </c>
      <c r="BU44" s="11" t="s">
        <v>9</v>
      </c>
      <c r="BV44" s="13">
        <v>45643</v>
      </c>
      <c r="BW44" s="11" t="s">
        <v>588</v>
      </c>
      <c r="BX44" s="11" t="s">
        <v>588</v>
      </c>
      <c r="BY44" s="11" t="s">
        <v>588</v>
      </c>
      <c r="BZ44" s="13" t="s">
        <v>588</v>
      </c>
      <c r="CA44" s="11" t="s">
        <v>315</v>
      </c>
      <c r="CB44" s="11" t="s">
        <v>588</v>
      </c>
    </row>
    <row r="45" spans="1:80" x14ac:dyDescent="0.25">
      <c r="A45" s="11">
        <v>202425</v>
      </c>
      <c r="B45" s="11" t="s">
        <v>66</v>
      </c>
      <c r="C45" t="s">
        <v>76</v>
      </c>
      <c r="D45" s="11" t="s">
        <v>109</v>
      </c>
      <c r="E45" s="11" t="s">
        <v>16</v>
      </c>
      <c r="F45" s="11">
        <v>3</v>
      </c>
      <c r="G45" s="11" t="s">
        <v>331</v>
      </c>
      <c r="H45" s="11" t="s">
        <v>2833</v>
      </c>
      <c r="I45" s="13">
        <v>45688</v>
      </c>
      <c r="J45" s="11">
        <v>31</v>
      </c>
      <c r="K45" s="11">
        <v>1</v>
      </c>
      <c r="L45" s="11">
        <v>2025</v>
      </c>
      <c r="M45" s="11" t="s">
        <v>2834</v>
      </c>
      <c r="N45" s="11" t="s">
        <v>12</v>
      </c>
      <c r="O45" s="11" t="s">
        <v>10</v>
      </c>
      <c r="P45" s="11">
        <v>-38.676074</v>
      </c>
      <c r="Q45" s="11">
        <v>145.651094</v>
      </c>
      <c r="R45" s="11" t="s">
        <v>588</v>
      </c>
      <c r="S45" s="11" t="s">
        <v>588</v>
      </c>
      <c r="T45" s="11">
        <v>1</v>
      </c>
      <c r="U45" s="11">
        <v>1</v>
      </c>
      <c r="V45" s="11" t="s">
        <v>588</v>
      </c>
      <c r="W45" s="11" t="s">
        <v>588</v>
      </c>
      <c r="X45" s="11">
        <v>10</v>
      </c>
      <c r="Y45" s="11">
        <v>8</v>
      </c>
      <c r="Z45" s="11" t="s">
        <v>8</v>
      </c>
      <c r="AA45" s="13">
        <v>45715</v>
      </c>
      <c r="AB45" s="11">
        <v>27</v>
      </c>
      <c r="AC45" s="11">
        <v>2</v>
      </c>
      <c r="AD45" s="11">
        <v>2025</v>
      </c>
      <c r="AE45" s="13" t="s">
        <v>2835</v>
      </c>
      <c r="AF45" s="11" t="s">
        <v>588</v>
      </c>
      <c r="AG45" s="11" t="s">
        <v>588</v>
      </c>
      <c r="AH45" s="11" t="s">
        <v>588</v>
      </c>
      <c r="AI45" s="11" t="s">
        <v>588</v>
      </c>
      <c r="AJ45" s="11" t="s">
        <v>588</v>
      </c>
      <c r="AK45" s="13" t="s">
        <v>588</v>
      </c>
      <c r="AL45" s="11" t="s">
        <v>588</v>
      </c>
      <c r="AM45" s="11" t="s">
        <v>588</v>
      </c>
      <c r="AN45" s="11" t="s">
        <v>588</v>
      </c>
      <c r="AO45" s="11" t="s">
        <v>588</v>
      </c>
      <c r="AP45" s="13">
        <v>45717</v>
      </c>
      <c r="AQ45" s="11" t="s">
        <v>22</v>
      </c>
      <c r="AR45" s="11" t="s">
        <v>195</v>
      </c>
      <c r="AS45" s="11">
        <v>1</v>
      </c>
      <c r="AT45" s="11">
        <v>1</v>
      </c>
      <c r="AU45" s="7">
        <v>45743</v>
      </c>
      <c r="AV45" s="13">
        <v>45747</v>
      </c>
      <c r="AW45" s="11" t="s">
        <v>22</v>
      </c>
      <c r="AX45" s="11" t="s">
        <v>20</v>
      </c>
      <c r="AY45" s="11" t="s">
        <v>588</v>
      </c>
      <c r="AZ45" s="11" t="s">
        <v>20</v>
      </c>
      <c r="BA45" s="7" t="s">
        <v>588</v>
      </c>
      <c r="BB45" s="11" t="s">
        <v>588</v>
      </c>
      <c r="BC45" s="11" t="s">
        <v>588</v>
      </c>
      <c r="BD45" s="11" t="s">
        <v>588</v>
      </c>
      <c r="BE45" s="11" t="s">
        <v>588</v>
      </c>
      <c r="BF45" s="11" t="s">
        <v>588</v>
      </c>
      <c r="BG45" s="7" t="s">
        <v>588</v>
      </c>
      <c r="BH45" s="11" t="s">
        <v>588</v>
      </c>
      <c r="BI45" s="11" t="s">
        <v>588</v>
      </c>
      <c r="BJ45" s="11" t="s">
        <v>588</v>
      </c>
      <c r="BK45" s="11" t="s">
        <v>588</v>
      </c>
      <c r="BL45" s="11" t="s">
        <v>588</v>
      </c>
      <c r="BM45" s="11">
        <v>12</v>
      </c>
      <c r="BN45" s="11">
        <v>12</v>
      </c>
      <c r="BO45" s="11" t="s">
        <v>41</v>
      </c>
      <c r="BP45" s="11" t="s">
        <v>588</v>
      </c>
      <c r="BQ45" s="11" t="s">
        <v>588</v>
      </c>
      <c r="BR45" s="11" t="s">
        <v>588</v>
      </c>
      <c r="BS45" s="11" t="s">
        <v>8</v>
      </c>
      <c r="BT45" s="11" t="s">
        <v>9</v>
      </c>
      <c r="BU45" s="11" t="s">
        <v>9</v>
      </c>
      <c r="BV45" s="13">
        <v>45688</v>
      </c>
      <c r="BW45" s="11" t="s">
        <v>8</v>
      </c>
      <c r="BX45" s="11" t="s">
        <v>9</v>
      </c>
      <c r="BY45" s="11" t="s">
        <v>9</v>
      </c>
      <c r="BZ45" s="13">
        <v>45717</v>
      </c>
      <c r="CA45" s="11" t="s">
        <v>315</v>
      </c>
      <c r="CB45" s="11" t="s">
        <v>588</v>
      </c>
    </row>
    <row r="46" spans="1:80" x14ac:dyDescent="0.25">
      <c r="A46" s="11">
        <v>202425</v>
      </c>
      <c r="B46" s="11" t="s">
        <v>342</v>
      </c>
      <c r="C46" s="11" t="s">
        <v>563</v>
      </c>
      <c r="D46" s="11" t="s">
        <v>343</v>
      </c>
      <c r="E46" s="11" t="s">
        <v>16</v>
      </c>
      <c r="F46" s="11">
        <v>1</v>
      </c>
      <c r="G46" s="11" t="s">
        <v>344</v>
      </c>
      <c r="H46" s="11" t="s">
        <v>2836</v>
      </c>
      <c r="I46" s="13">
        <v>45601</v>
      </c>
      <c r="J46" s="11">
        <v>5</v>
      </c>
      <c r="K46" s="11">
        <v>11</v>
      </c>
      <c r="L46" s="11">
        <v>2024</v>
      </c>
      <c r="M46" s="11" t="s">
        <v>2772</v>
      </c>
      <c r="N46" s="11" t="s">
        <v>17</v>
      </c>
      <c r="O46" s="11" t="s">
        <v>10</v>
      </c>
      <c r="P46" s="11" t="s">
        <v>588</v>
      </c>
      <c r="Q46" s="11" t="s">
        <v>588</v>
      </c>
      <c r="R46" s="11">
        <v>-38.600200999999998</v>
      </c>
      <c r="S46" s="11">
        <v>145.528198</v>
      </c>
      <c r="T46" s="11">
        <v>1</v>
      </c>
      <c r="U46" s="11">
        <v>3</v>
      </c>
      <c r="V46" s="11" t="s">
        <v>588</v>
      </c>
      <c r="W46" s="11" t="s">
        <v>588</v>
      </c>
      <c r="X46" s="11">
        <v>3</v>
      </c>
      <c r="Y46" s="11">
        <v>3</v>
      </c>
      <c r="Z46" s="11" t="s">
        <v>41</v>
      </c>
      <c r="AA46" s="13">
        <v>45602</v>
      </c>
      <c r="AB46" s="11">
        <v>6</v>
      </c>
      <c r="AC46" s="11">
        <v>11</v>
      </c>
      <c r="AD46" s="11">
        <v>2024</v>
      </c>
      <c r="AE46" s="13" t="s">
        <v>2837</v>
      </c>
      <c r="AF46" s="11" t="s">
        <v>17</v>
      </c>
      <c r="AG46" s="13">
        <v>45606</v>
      </c>
      <c r="AH46" s="11">
        <v>10</v>
      </c>
      <c r="AI46" s="11">
        <v>11</v>
      </c>
      <c r="AJ46" s="11">
        <v>2024</v>
      </c>
      <c r="AK46" s="13" t="s">
        <v>2838</v>
      </c>
      <c r="AL46" s="11" t="s">
        <v>17</v>
      </c>
      <c r="AM46" s="11" t="s">
        <v>20</v>
      </c>
      <c r="AN46" s="11" t="s">
        <v>588</v>
      </c>
      <c r="AO46" s="11" t="s">
        <v>11</v>
      </c>
      <c r="AP46" s="11" t="s">
        <v>588</v>
      </c>
      <c r="AQ46" s="11" t="s">
        <v>588</v>
      </c>
      <c r="AR46" s="11" t="s">
        <v>588</v>
      </c>
      <c r="AS46" s="11" t="s">
        <v>588</v>
      </c>
      <c r="AT46" s="11" t="s">
        <v>588</v>
      </c>
      <c r="AU46" s="7" t="s">
        <v>588</v>
      </c>
      <c r="AV46" s="11" t="s">
        <v>588</v>
      </c>
      <c r="AW46" s="11" t="s">
        <v>588</v>
      </c>
      <c r="AX46" s="11" t="s">
        <v>588</v>
      </c>
      <c r="AY46" s="11" t="s">
        <v>588</v>
      </c>
      <c r="AZ46" s="11" t="s">
        <v>588</v>
      </c>
      <c r="BA46" s="7" t="s">
        <v>588</v>
      </c>
      <c r="BB46" s="11" t="s">
        <v>588</v>
      </c>
      <c r="BC46" s="11" t="s">
        <v>588</v>
      </c>
      <c r="BD46" s="11" t="s">
        <v>588</v>
      </c>
      <c r="BE46" s="11" t="s">
        <v>588</v>
      </c>
      <c r="BF46" s="11" t="s">
        <v>588</v>
      </c>
      <c r="BG46" s="7" t="s">
        <v>588</v>
      </c>
      <c r="BH46" s="11" t="s">
        <v>588</v>
      </c>
      <c r="BI46" s="11" t="s">
        <v>588</v>
      </c>
      <c r="BJ46" s="11" t="s">
        <v>588</v>
      </c>
      <c r="BK46" s="11" t="s">
        <v>588</v>
      </c>
      <c r="BL46" s="11" t="s">
        <v>588</v>
      </c>
      <c r="BM46" s="11" t="s">
        <v>588</v>
      </c>
      <c r="BN46" s="11" t="s">
        <v>588</v>
      </c>
      <c r="BO46" s="11" t="s">
        <v>588</v>
      </c>
      <c r="BP46" s="11" t="s">
        <v>588</v>
      </c>
      <c r="BQ46" s="11" t="s">
        <v>588</v>
      </c>
      <c r="BR46" s="11" t="s">
        <v>588</v>
      </c>
      <c r="BS46" s="11" t="s">
        <v>8</v>
      </c>
      <c r="BT46" s="11" t="s">
        <v>337</v>
      </c>
      <c r="BU46" s="11" t="s">
        <v>337</v>
      </c>
      <c r="BV46" s="13">
        <v>45602</v>
      </c>
      <c r="BW46" s="11" t="s">
        <v>588</v>
      </c>
      <c r="BX46" s="11" t="s">
        <v>588</v>
      </c>
      <c r="BY46" s="11" t="s">
        <v>588</v>
      </c>
      <c r="BZ46" s="11" t="s">
        <v>588</v>
      </c>
      <c r="CA46" s="11" t="s">
        <v>295</v>
      </c>
      <c r="CB46" s="11" t="s">
        <v>588</v>
      </c>
    </row>
    <row r="47" spans="1:80" x14ac:dyDescent="0.25">
      <c r="A47" s="11">
        <v>202425</v>
      </c>
      <c r="B47" s="11" t="s">
        <v>345</v>
      </c>
      <c r="C47" s="11" t="s">
        <v>563</v>
      </c>
      <c r="D47" s="11" t="s">
        <v>346</v>
      </c>
      <c r="E47" s="11" t="s">
        <v>347</v>
      </c>
      <c r="F47" s="11">
        <v>1</v>
      </c>
      <c r="G47" s="11" t="s">
        <v>348</v>
      </c>
      <c r="H47" s="11" t="s">
        <v>2836</v>
      </c>
      <c r="I47" s="13">
        <v>45686</v>
      </c>
      <c r="J47" s="11">
        <v>29</v>
      </c>
      <c r="K47" s="11">
        <v>1</v>
      </c>
      <c r="L47" s="11">
        <v>2025</v>
      </c>
      <c r="M47" s="11" t="s">
        <v>2792</v>
      </c>
      <c r="N47" s="11" t="s">
        <v>12</v>
      </c>
      <c r="O47" s="11" t="s">
        <v>51</v>
      </c>
      <c r="P47" s="11" t="s">
        <v>588</v>
      </c>
      <c r="Q47" s="11" t="s">
        <v>588</v>
      </c>
      <c r="R47" s="11">
        <v>-38.600200999999998</v>
      </c>
      <c r="S47" s="11">
        <v>145.528198</v>
      </c>
      <c r="T47" s="11">
        <v>2</v>
      </c>
      <c r="U47" s="11">
        <v>3</v>
      </c>
      <c r="V47" s="11" t="s">
        <v>588</v>
      </c>
      <c r="W47" s="11" t="s">
        <v>588</v>
      </c>
      <c r="X47" s="11">
        <v>3</v>
      </c>
      <c r="Y47" s="11">
        <v>2</v>
      </c>
      <c r="Z47" s="11" t="s">
        <v>41</v>
      </c>
      <c r="AA47" s="13">
        <v>45686</v>
      </c>
      <c r="AB47" s="11">
        <v>29</v>
      </c>
      <c r="AC47" s="11">
        <v>1</v>
      </c>
      <c r="AD47" s="11">
        <v>2025</v>
      </c>
      <c r="AE47" s="13" t="s">
        <v>2792</v>
      </c>
      <c r="AF47" s="11" t="s">
        <v>12</v>
      </c>
      <c r="AG47" s="13">
        <v>45693</v>
      </c>
      <c r="AH47" s="11">
        <v>5</v>
      </c>
      <c r="AI47" s="11">
        <v>2</v>
      </c>
      <c r="AJ47" s="11">
        <v>2025</v>
      </c>
      <c r="AK47" s="13" t="s">
        <v>2737</v>
      </c>
      <c r="AL47" s="11" t="s">
        <v>21</v>
      </c>
      <c r="AM47" s="11" t="s">
        <v>20</v>
      </c>
      <c r="AN47" s="11" t="s">
        <v>588</v>
      </c>
      <c r="AO47" s="11" t="s">
        <v>32</v>
      </c>
      <c r="AP47" s="11" t="s">
        <v>588</v>
      </c>
      <c r="AQ47" s="11" t="s">
        <v>588</v>
      </c>
      <c r="AR47" s="11" t="s">
        <v>588</v>
      </c>
      <c r="AS47" s="11" t="s">
        <v>588</v>
      </c>
      <c r="AT47" s="11" t="s">
        <v>588</v>
      </c>
      <c r="AU47" s="7" t="s">
        <v>588</v>
      </c>
      <c r="AV47" s="11" t="s">
        <v>588</v>
      </c>
      <c r="AW47" s="11" t="s">
        <v>588</v>
      </c>
      <c r="AX47" s="11" t="s">
        <v>588</v>
      </c>
      <c r="AY47" s="11" t="s">
        <v>588</v>
      </c>
      <c r="AZ47" s="11" t="s">
        <v>588</v>
      </c>
      <c r="BA47" s="7" t="s">
        <v>588</v>
      </c>
      <c r="BB47" s="11" t="s">
        <v>588</v>
      </c>
      <c r="BC47" s="11" t="s">
        <v>588</v>
      </c>
      <c r="BD47" s="11" t="s">
        <v>588</v>
      </c>
      <c r="BE47" s="11" t="s">
        <v>588</v>
      </c>
      <c r="BF47" s="11" t="s">
        <v>588</v>
      </c>
      <c r="BG47" s="7" t="s">
        <v>588</v>
      </c>
      <c r="BH47" s="11" t="s">
        <v>588</v>
      </c>
      <c r="BI47" s="11" t="s">
        <v>588</v>
      </c>
      <c r="BJ47" s="11" t="s">
        <v>588</v>
      </c>
      <c r="BK47" s="11" t="s">
        <v>588</v>
      </c>
      <c r="BL47" s="11" t="s">
        <v>588</v>
      </c>
      <c r="BM47" s="11" t="s">
        <v>588</v>
      </c>
      <c r="BN47" s="11" t="s">
        <v>588</v>
      </c>
      <c r="BO47" s="11" t="s">
        <v>588</v>
      </c>
      <c r="BP47" s="11" t="s">
        <v>588</v>
      </c>
      <c r="BQ47" s="11" t="s">
        <v>588</v>
      </c>
      <c r="BR47" s="11" t="s">
        <v>588</v>
      </c>
      <c r="BS47" s="11" t="s">
        <v>41</v>
      </c>
      <c r="BT47" s="11" t="s">
        <v>42</v>
      </c>
      <c r="BU47" s="11" t="s">
        <v>42</v>
      </c>
      <c r="BV47" s="11" t="s">
        <v>588</v>
      </c>
      <c r="BW47" s="11" t="s">
        <v>588</v>
      </c>
      <c r="BX47" s="11" t="s">
        <v>588</v>
      </c>
      <c r="BY47" s="11" t="s">
        <v>588</v>
      </c>
      <c r="BZ47" s="11" t="s">
        <v>588</v>
      </c>
      <c r="CA47" s="11" t="s">
        <v>295</v>
      </c>
      <c r="CB47" s="11" t="s">
        <v>588</v>
      </c>
    </row>
    <row r="48" spans="1:80" x14ac:dyDescent="0.25">
      <c r="A48" s="11">
        <v>202425</v>
      </c>
      <c r="B48" s="11" t="s">
        <v>345</v>
      </c>
      <c r="C48" s="11" t="s">
        <v>563</v>
      </c>
      <c r="D48" s="11" t="s">
        <v>346</v>
      </c>
      <c r="E48" s="11" t="s">
        <v>347</v>
      </c>
      <c r="F48" s="11">
        <v>2</v>
      </c>
      <c r="G48" s="11" t="s">
        <v>349</v>
      </c>
      <c r="H48" s="11" t="s">
        <v>2839</v>
      </c>
      <c r="I48" s="13">
        <v>45701</v>
      </c>
      <c r="J48" s="11">
        <v>13</v>
      </c>
      <c r="K48" s="11">
        <v>2</v>
      </c>
      <c r="L48" s="11">
        <v>2025</v>
      </c>
      <c r="M48" s="11" t="s">
        <v>2840</v>
      </c>
      <c r="N48" s="11" t="s">
        <v>21</v>
      </c>
      <c r="O48" s="11" t="s">
        <v>10</v>
      </c>
      <c r="P48" s="11">
        <v>-38.600861999999999</v>
      </c>
      <c r="Q48" s="11">
        <v>145.52885499999999</v>
      </c>
      <c r="R48" s="11" t="s">
        <v>588</v>
      </c>
      <c r="S48" s="11" t="s">
        <v>588</v>
      </c>
      <c r="T48" s="11">
        <v>3</v>
      </c>
      <c r="U48" s="11">
        <v>3</v>
      </c>
      <c r="V48" s="11" t="s">
        <v>588</v>
      </c>
      <c r="W48" s="11" t="s">
        <v>588</v>
      </c>
      <c r="X48" s="11">
        <v>7</v>
      </c>
      <c r="Y48" s="11">
        <v>7</v>
      </c>
      <c r="Z48" s="11" t="s">
        <v>41</v>
      </c>
      <c r="AA48" s="13">
        <v>45713</v>
      </c>
      <c r="AB48" s="11">
        <v>25</v>
      </c>
      <c r="AC48" s="11">
        <v>2</v>
      </c>
      <c r="AD48" s="11">
        <v>2025</v>
      </c>
      <c r="AE48" s="13" t="s">
        <v>2841</v>
      </c>
      <c r="AF48" s="11" t="s">
        <v>21</v>
      </c>
      <c r="AG48" s="13">
        <v>45719</v>
      </c>
      <c r="AH48" s="11">
        <v>3</v>
      </c>
      <c r="AI48" s="11">
        <v>3</v>
      </c>
      <c r="AJ48" s="11">
        <v>2025</v>
      </c>
      <c r="AK48" s="13" t="s">
        <v>2842</v>
      </c>
      <c r="AL48" s="11" t="s">
        <v>22</v>
      </c>
      <c r="AM48" s="11" t="s">
        <v>20</v>
      </c>
      <c r="AN48" s="11" t="s">
        <v>588</v>
      </c>
      <c r="AO48" s="11" t="s">
        <v>11</v>
      </c>
      <c r="AP48" s="11" t="s">
        <v>588</v>
      </c>
      <c r="AQ48" s="11" t="s">
        <v>588</v>
      </c>
      <c r="AR48" s="11" t="s">
        <v>588</v>
      </c>
      <c r="AS48" s="11" t="s">
        <v>588</v>
      </c>
      <c r="AT48" s="11" t="s">
        <v>588</v>
      </c>
      <c r="AU48" s="7" t="s">
        <v>588</v>
      </c>
      <c r="AV48" s="11" t="s">
        <v>588</v>
      </c>
      <c r="AW48" s="11" t="s">
        <v>588</v>
      </c>
      <c r="AX48" s="11" t="s">
        <v>588</v>
      </c>
      <c r="AY48" s="11" t="s">
        <v>588</v>
      </c>
      <c r="AZ48" s="11" t="s">
        <v>588</v>
      </c>
      <c r="BA48" s="7" t="s">
        <v>588</v>
      </c>
      <c r="BB48" s="11" t="s">
        <v>588</v>
      </c>
      <c r="BC48" s="11" t="s">
        <v>588</v>
      </c>
      <c r="BD48" s="11" t="s">
        <v>588</v>
      </c>
      <c r="BE48" s="11" t="s">
        <v>588</v>
      </c>
      <c r="BF48" s="11" t="s">
        <v>588</v>
      </c>
      <c r="BG48" s="7" t="s">
        <v>588</v>
      </c>
      <c r="BH48" s="11" t="s">
        <v>588</v>
      </c>
      <c r="BI48" s="11" t="s">
        <v>588</v>
      </c>
      <c r="BJ48" s="11" t="s">
        <v>588</v>
      </c>
      <c r="BK48" s="11" t="s">
        <v>588</v>
      </c>
      <c r="BL48" s="11" t="s">
        <v>588</v>
      </c>
      <c r="BM48" s="11" t="s">
        <v>588</v>
      </c>
      <c r="BN48" s="11" t="s">
        <v>588</v>
      </c>
      <c r="BO48" s="11" t="s">
        <v>588</v>
      </c>
      <c r="BP48" s="11" t="s">
        <v>588</v>
      </c>
      <c r="BQ48" s="11" t="s">
        <v>588</v>
      </c>
      <c r="BR48" s="11" t="s">
        <v>588</v>
      </c>
      <c r="BS48" s="11" t="s">
        <v>8</v>
      </c>
      <c r="BT48" s="11" t="s">
        <v>9</v>
      </c>
      <c r="BU48" s="11" t="s">
        <v>9</v>
      </c>
      <c r="BV48" s="13">
        <v>45702</v>
      </c>
      <c r="BW48" s="11" t="s">
        <v>588</v>
      </c>
      <c r="BX48" s="11" t="s">
        <v>588</v>
      </c>
      <c r="BY48" s="11" t="s">
        <v>588</v>
      </c>
      <c r="BZ48" s="11" t="s">
        <v>588</v>
      </c>
      <c r="CA48" s="11" t="s">
        <v>350</v>
      </c>
      <c r="CB48" s="11" t="s">
        <v>588</v>
      </c>
    </row>
    <row r="49" spans="1:80" x14ac:dyDescent="0.25">
      <c r="A49" s="11">
        <v>202425</v>
      </c>
      <c r="B49" s="11" t="s">
        <v>351</v>
      </c>
      <c r="C49" s="11" t="s">
        <v>351</v>
      </c>
      <c r="D49" s="11" t="s">
        <v>352</v>
      </c>
      <c r="E49" s="11" t="s">
        <v>353</v>
      </c>
      <c r="F49" s="11">
        <v>1</v>
      </c>
      <c r="G49" s="11" t="s">
        <v>354</v>
      </c>
      <c r="H49" s="11" t="s">
        <v>2843</v>
      </c>
      <c r="I49" s="13">
        <v>45632</v>
      </c>
      <c r="J49" s="11">
        <v>6</v>
      </c>
      <c r="K49" s="11">
        <v>12</v>
      </c>
      <c r="L49" s="11">
        <v>2024</v>
      </c>
      <c r="M49" s="11" t="s">
        <v>2787</v>
      </c>
      <c r="N49" s="11" t="s">
        <v>7</v>
      </c>
      <c r="O49" s="11" t="s">
        <v>10</v>
      </c>
      <c r="P49" s="11">
        <v>-38.601675</v>
      </c>
      <c r="Q49" s="11">
        <v>145.529483</v>
      </c>
      <c r="R49" s="11" t="s">
        <v>588</v>
      </c>
      <c r="S49" s="11" t="s">
        <v>588</v>
      </c>
      <c r="T49" s="11">
        <v>1</v>
      </c>
      <c r="U49" s="11">
        <v>3</v>
      </c>
      <c r="V49" s="11" t="s">
        <v>588</v>
      </c>
      <c r="W49" s="11" t="s">
        <v>588</v>
      </c>
      <c r="X49" s="11">
        <v>2</v>
      </c>
      <c r="Y49" s="11">
        <v>2</v>
      </c>
      <c r="Z49" s="11" t="s">
        <v>41</v>
      </c>
      <c r="AA49" s="13">
        <v>45632</v>
      </c>
      <c r="AB49" s="11">
        <v>6</v>
      </c>
      <c r="AC49" s="11">
        <v>12</v>
      </c>
      <c r="AD49" s="11">
        <v>2024</v>
      </c>
      <c r="AE49" s="13" t="s">
        <v>2787</v>
      </c>
      <c r="AF49" s="11" t="s">
        <v>7</v>
      </c>
      <c r="AG49" s="13">
        <v>45637</v>
      </c>
      <c r="AH49" s="11">
        <v>11</v>
      </c>
      <c r="AI49" s="11">
        <v>12</v>
      </c>
      <c r="AJ49" s="11">
        <v>2024</v>
      </c>
      <c r="AK49" s="13" t="s">
        <v>2739</v>
      </c>
      <c r="AL49" s="11" t="s">
        <v>7</v>
      </c>
      <c r="AM49" s="11" t="s">
        <v>20</v>
      </c>
      <c r="AN49" s="11" t="s">
        <v>588</v>
      </c>
      <c r="AO49" s="11" t="s">
        <v>20</v>
      </c>
      <c r="AP49" s="11" t="s">
        <v>588</v>
      </c>
      <c r="AQ49" s="11" t="s">
        <v>588</v>
      </c>
      <c r="AR49" s="11" t="s">
        <v>588</v>
      </c>
      <c r="AS49" s="11" t="s">
        <v>588</v>
      </c>
      <c r="AT49" s="11" t="s">
        <v>588</v>
      </c>
      <c r="AU49" s="7" t="s">
        <v>588</v>
      </c>
      <c r="AV49" s="11" t="s">
        <v>588</v>
      </c>
      <c r="AW49" s="11" t="s">
        <v>588</v>
      </c>
      <c r="AX49" s="11" t="s">
        <v>588</v>
      </c>
      <c r="AY49" s="11" t="s">
        <v>588</v>
      </c>
      <c r="AZ49" s="11" t="s">
        <v>588</v>
      </c>
      <c r="BA49" s="7" t="s">
        <v>588</v>
      </c>
      <c r="BB49" s="11" t="s">
        <v>588</v>
      </c>
      <c r="BC49" s="11" t="s">
        <v>588</v>
      </c>
      <c r="BD49" s="11" t="s">
        <v>588</v>
      </c>
      <c r="BE49" s="11" t="s">
        <v>588</v>
      </c>
      <c r="BF49" s="11" t="s">
        <v>588</v>
      </c>
      <c r="BG49" s="7" t="s">
        <v>588</v>
      </c>
      <c r="BH49" s="11" t="s">
        <v>588</v>
      </c>
      <c r="BI49" s="11" t="s">
        <v>588</v>
      </c>
      <c r="BJ49" s="11" t="s">
        <v>588</v>
      </c>
      <c r="BK49" s="11" t="s">
        <v>588</v>
      </c>
      <c r="BL49" s="11" t="s">
        <v>588</v>
      </c>
      <c r="BM49" s="11" t="s">
        <v>588</v>
      </c>
      <c r="BN49" s="11" t="s">
        <v>588</v>
      </c>
      <c r="BO49" s="11" t="s">
        <v>588</v>
      </c>
      <c r="BP49" s="11" t="s">
        <v>588</v>
      </c>
      <c r="BQ49" s="11" t="s">
        <v>588</v>
      </c>
      <c r="BR49" s="11" t="s">
        <v>588</v>
      </c>
      <c r="BS49" s="11" t="s">
        <v>41</v>
      </c>
      <c r="BT49" s="11" t="s">
        <v>42</v>
      </c>
      <c r="BU49" s="11" t="s">
        <v>42</v>
      </c>
      <c r="BV49" s="11" t="s">
        <v>588</v>
      </c>
      <c r="BW49" s="11" t="s">
        <v>588</v>
      </c>
      <c r="BX49" s="11" t="s">
        <v>588</v>
      </c>
      <c r="BY49" s="11" t="s">
        <v>588</v>
      </c>
      <c r="BZ49" s="11" t="s">
        <v>588</v>
      </c>
      <c r="CA49" s="11" t="s">
        <v>588</v>
      </c>
      <c r="CB49" s="11" t="s">
        <v>588</v>
      </c>
    </row>
    <row r="50" spans="1:80" x14ac:dyDescent="0.25">
      <c r="A50" s="11">
        <v>202425</v>
      </c>
      <c r="B50" s="11" t="s">
        <v>351</v>
      </c>
      <c r="C50" s="11" t="s">
        <v>351</v>
      </c>
      <c r="D50" s="11" t="s">
        <v>352</v>
      </c>
      <c r="E50" s="11" t="s">
        <v>353</v>
      </c>
      <c r="F50" s="11">
        <v>2</v>
      </c>
      <c r="G50" s="11" t="s">
        <v>355</v>
      </c>
      <c r="H50" s="11" t="s">
        <v>2844</v>
      </c>
      <c r="I50" s="13">
        <v>45645</v>
      </c>
      <c r="J50" s="11">
        <v>19</v>
      </c>
      <c r="K50" s="11">
        <v>12</v>
      </c>
      <c r="L50" s="11">
        <v>2024</v>
      </c>
      <c r="M50" s="11" t="s">
        <v>2761</v>
      </c>
      <c r="N50" s="11" t="s">
        <v>7</v>
      </c>
      <c r="O50" s="11" t="s">
        <v>51</v>
      </c>
      <c r="P50" s="11" t="s">
        <v>588</v>
      </c>
      <c r="Q50" s="11" t="s">
        <v>588</v>
      </c>
      <c r="R50" s="11">
        <v>-38.603541999999997</v>
      </c>
      <c r="S50" s="11">
        <v>145.53097500000001</v>
      </c>
      <c r="T50" s="11">
        <v>1</v>
      </c>
      <c r="U50" s="11">
        <v>3</v>
      </c>
      <c r="V50" s="11" t="s">
        <v>588</v>
      </c>
      <c r="W50" s="11" t="s">
        <v>588</v>
      </c>
      <c r="X50" s="11">
        <v>2</v>
      </c>
      <c r="Y50" s="11">
        <v>2</v>
      </c>
      <c r="Z50" s="11" t="s">
        <v>41</v>
      </c>
      <c r="AA50" s="13">
        <v>45645</v>
      </c>
      <c r="AB50" s="11">
        <v>19</v>
      </c>
      <c r="AC50" s="11">
        <v>12</v>
      </c>
      <c r="AD50" s="11">
        <v>2024</v>
      </c>
      <c r="AE50" s="13" t="s">
        <v>2761</v>
      </c>
      <c r="AF50" s="11" t="s">
        <v>7</v>
      </c>
      <c r="AG50" s="13">
        <v>45658</v>
      </c>
      <c r="AH50" s="11">
        <v>1</v>
      </c>
      <c r="AI50" s="11">
        <v>1</v>
      </c>
      <c r="AJ50" s="11">
        <v>2025</v>
      </c>
      <c r="AK50" s="13" t="s">
        <v>2740</v>
      </c>
      <c r="AL50" s="11" t="s">
        <v>12</v>
      </c>
      <c r="AM50" s="11" t="s">
        <v>20</v>
      </c>
      <c r="AN50" s="11" t="s">
        <v>588</v>
      </c>
      <c r="AO50" s="11" t="s">
        <v>20</v>
      </c>
      <c r="AP50" s="11" t="s">
        <v>588</v>
      </c>
      <c r="AQ50" s="11" t="s">
        <v>588</v>
      </c>
      <c r="AR50" s="11" t="s">
        <v>588</v>
      </c>
      <c r="AS50" s="11" t="s">
        <v>588</v>
      </c>
      <c r="AT50" s="11" t="s">
        <v>588</v>
      </c>
      <c r="AU50" s="7" t="s">
        <v>588</v>
      </c>
      <c r="AV50" s="11" t="s">
        <v>588</v>
      </c>
      <c r="AW50" s="11" t="s">
        <v>588</v>
      </c>
      <c r="AX50" s="11" t="s">
        <v>588</v>
      </c>
      <c r="AY50" s="11" t="s">
        <v>588</v>
      </c>
      <c r="AZ50" s="11" t="s">
        <v>588</v>
      </c>
      <c r="BA50" s="7" t="s">
        <v>588</v>
      </c>
      <c r="BB50" s="11" t="s">
        <v>588</v>
      </c>
      <c r="BC50" s="11" t="s">
        <v>588</v>
      </c>
      <c r="BD50" s="11" t="s">
        <v>588</v>
      </c>
      <c r="BE50" s="11" t="s">
        <v>588</v>
      </c>
      <c r="BF50" s="11" t="s">
        <v>588</v>
      </c>
      <c r="BG50" s="7" t="s">
        <v>588</v>
      </c>
      <c r="BH50" s="11" t="s">
        <v>588</v>
      </c>
      <c r="BI50" s="11" t="s">
        <v>588</v>
      </c>
      <c r="BJ50" s="11" t="s">
        <v>588</v>
      </c>
      <c r="BK50" s="11" t="s">
        <v>588</v>
      </c>
      <c r="BL50" s="11" t="s">
        <v>588</v>
      </c>
      <c r="BM50" s="11" t="s">
        <v>588</v>
      </c>
      <c r="BN50" s="11" t="s">
        <v>588</v>
      </c>
      <c r="BO50" s="11" t="s">
        <v>588</v>
      </c>
      <c r="BP50" s="11" t="s">
        <v>588</v>
      </c>
      <c r="BQ50" s="11" t="s">
        <v>588</v>
      </c>
      <c r="BR50" s="11" t="s">
        <v>588</v>
      </c>
      <c r="BS50" s="11" t="s">
        <v>41</v>
      </c>
      <c r="BT50" s="11" t="s">
        <v>42</v>
      </c>
      <c r="BU50" s="11" t="s">
        <v>42</v>
      </c>
      <c r="BV50" s="11" t="s">
        <v>588</v>
      </c>
      <c r="BW50" s="11" t="s">
        <v>588</v>
      </c>
      <c r="BX50" s="11" t="s">
        <v>588</v>
      </c>
      <c r="BY50" s="11" t="s">
        <v>588</v>
      </c>
      <c r="BZ50" s="11" t="s">
        <v>588</v>
      </c>
      <c r="CA50" s="11" t="s">
        <v>588</v>
      </c>
      <c r="CB50" s="11" t="s">
        <v>588</v>
      </c>
    </row>
    <row r="51" spans="1:80" x14ac:dyDescent="0.25">
      <c r="A51" s="11">
        <v>202425</v>
      </c>
      <c r="B51" s="11" t="s">
        <v>351</v>
      </c>
      <c r="C51" s="11" t="s">
        <v>351</v>
      </c>
      <c r="D51" s="11" t="s">
        <v>352</v>
      </c>
      <c r="E51" s="11" t="s">
        <v>353</v>
      </c>
      <c r="F51" s="11">
        <v>3</v>
      </c>
      <c r="G51" s="11" t="s">
        <v>356</v>
      </c>
      <c r="H51" s="11" t="s">
        <v>2845</v>
      </c>
      <c r="I51" s="13">
        <v>45658</v>
      </c>
      <c r="J51" s="11">
        <v>1</v>
      </c>
      <c r="K51" s="11">
        <v>1</v>
      </c>
      <c r="L51" s="11">
        <v>2025</v>
      </c>
      <c r="M51" s="11" t="s">
        <v>2740</v>
      </c>
      <c r="N51" s="11" t="s">
        <v>12</v>
      </c>
      <c r="O51" s="11" t="s">
        <v>10</v>
      </c>
      <c r="P51" s="11" t="s">
        <v>588</v>
      </c>
      <c r="Q51" s="11" t="s">
        <v>588</v>
      </c>
      <c r="R51" s="11">
        <v>-38.603541999999997</v>
      </c>
      <c r="S51" s="11">
        <v>145.53097500000001</v>
      </c>
      <c r="T51" s="11">
        <v>3</v>
      </c>
      <c r="U51" s="11">
        <v>3</v>
      </c>
      <c r="V51" s="11" t="s">
        <v>588</v>
      </c>
      <c r="W51" s="11" t="s">
        <v>588</v>
      </c>
      <c r="X51" s="11">
        <v>2</v>
      </c>
      <c r="Y51" s="11">
        <v>2</v>
      </c>
      <c r="Z51" s="11" t="s">
        <v>41</v>
      </c>
      <c r="AA51" s="13">
        <v>45658</v>
      </c>
      <c r="AB51" s="11">
        <v>1</v>
      </c>
      <c r="AC51" s="11">
        <v>1</v>
      </c>
      <c r="AD51" s="11">
        <v>2025</v>
      </c>
      <c r="AE51" s="13" t="s">
        <v>2740</v>
      </c>
      <c r="AF51" s="11" t="s">
        <v>12</v>
      </c>
      <c r="AG51" s="13">
        <v>45665</v>
      </c>
      <c r="AH51" s="11">
        <v>8</v>
      </c>
      <c r="AI51" s="11">
        <v>1</v>
      </c>
      <c r="AJ51" s="11">
        <v>2025</v>
      </c>
      <c r="AK51" s="13" t="s">
        <v>2734</v>
      </c>
      <c r="AL51" s="11" t="s">
        <v>12</v>
      </c>
      <c r="AM51" s="11" t="s">
        <v>20</v>
      </c>
      <c r="AN51" s="11" t="s">
        <v>588</v>
      </c>
      <c r="AO51" s="11" t="s">
        <v>20</v>
      </c>
      <c r="AP51" s="11" t="s">
        <v>588</v>
      </c>
      <c r="AQ51" s="11" t="s">
        <v>588</v>
      </c>
      <c r="AR51" s="11" t="s">
        <v>588</v>
      </c>
      <c r="AS51" s="11" t="s">
        <v>588</v>
      </c>
      <c r="AT51" s="11" t="s">
        <v>588</v>
      </c>
      <c r="AU51" s="7" t="s">
        <v>588</v>
      </c>
      <c r="AV51" s="11" t="s">
        <v>588</v>
      </c>
      <c r="AW51" s="11" t="s">
        <v>588</v>
      </c>
      <c r="AX51" s="11" t="s">
        <v>588</v>
      </c>
      <c r="AY51" s="11" t="s">
        <v>588</v>
      </c>
      <c r="AZ51" s="11" t="s">
        <v>588</v>
      </c>
      <c r="BA51" s="7" t="s">
        <v>588</v>
      </c>
      <c r="BB51" s="11" t="s">
        <v>588</v>
      </c>
      <c r="BC51" s="11" t="s">
        <v>588</v>
      </c>
      <c r="BD51" s="11" t="s">
        <v>588</v>
      </c>
      <c r="BE51" s="11" t="s">
        <v>588</v>
      </c>
      <c r="BF51" s="11" t="s">
        <v>588</v>
      </c>
      <c r="BG51" s="7" t="s">
        <v>588</v>
      </c>
      <c r="BH51" s="11" t="s">
        <v>588</v>
      </c>
      <c r="BI51" s="11" t="s">
        <v>588</v>
      </c>
      <c r="BJ51" s="11" t="s">
        <v>588</v>
      </c>
      <c r="BK51" s="11" t="s">
        <v>588</v>
      </c>
      <c r="BL51" s="11" t="s">
        <v>588</v>
      </c>
      <c r="BM51" s="11" t="s">
        <v>588</v>
      </c>
      <c r="BN51" s="11" t="s">
        <v>588</v>
      </c>
      <c r="BO51" s="11" t="s">
        <v>588</v>
      </c>
      <c r="BP51" s="11" t="s">
        <v>588</v>
      </c>
      <c r="BQ51" s="11" t="s">
        <v>588</v>
      </c>
      <c r="BR51" s="11" t="s">
        <v>588</v>
      </c>
      <c r="BS51" s="11" t="s">
        <v>41</v>
      </c>
      <c r="BT51" s="11" t="s">
        <v>42</v>
      </c>
      <c r="BU51" s="11" t="s">
        <v>42</v>
      </c>
      <c r="BV51" s="11" t="s">
        <v>588</v>
      </c>
      <c r="BW51" s="11" t="s">
        <v>588</v>
      </c>
      <c r="BX51" s="11" t="s">
        <v>588</v>
      </c>
      <c r="BY51" s="11" t="s">
        <v>588</v>
      </c>
      <c r="BZ51" s="11" t="s">
        <v>588</v>
      </c>
      <c r="CA51" s="11" t="s">
        <v>588</v>
      </c>
      <c r="CB51" s="11" t="s">
        <v>588</v>
      </c>
    </row>
    <row r="52" spans="1:80" x14ac:dyDescent="0.25">
      <c r="A52" s="11">
        <v>202425</v>
      </c>
      <c r="B52" s="11" t="s">
        <v>351</v>
      </c>
      <c r="C52" s="11" t="s">
        <v>351</v>
      </c>
      <c r="D52" s="11" t="s">
        <v>352</v>
      </c>
      <c r="E52" s="11" t="s">
        <v>353</v>
      </c>
      <c r="F52" s="11">
        <v>4</v>
      </c>
      <c r="G52" s="11" t="s">
        <v>357</v>
      </c>
      <c r="H52" s="11" t="s">
        <v>2846</v>
      </c>
      <c r="I52" s="13">
        <v>45680</v>
      </c>
      <c r="J52" s="11">
        <v>23</v>
      </c>
      <c r="K52" s="11">
        <v>1</v>
      </c>
      <c r="L52" s="11">
        <v>2025</v>
      </c>
      <c r="M52" s="11" t="s">
        <v>2847</v>
      </c>
      <c r="N52" s="11" t="s">
        <v>12</v>
      </c>
      <c r="O52" s="11" t="s">
        <v>10</v>
      </c>
      <c r="P52" s="11" t="s">
        <v>588</v>
      </c>
      <c r="Q52" s="11" t="s">
        <v>588</v>
      </c>
      <c r="R52" s="11">
        <v>-38.603541999999997</v>
      </c>
      <c r="S52" s="11">
        <v>145.53097500000001</v>
      </c>
      <c r="T52" s="11">
        <v>3</v>
      </c>
      <c r="U52" s="11">
        <v>3</v>
      </c>
      <c r="V52" s="11" t="s">
        <v>588</v>
      </c>
      <c r="W52" s="11" t="s">
        <v>588</v>
      </c>
      <c r="X52" s="11">
        <v>4</v>
      </c>
      <c r="Y52" s="11">
        <v>4</v>
      </c>
      <c r="Z52" s="11" t="s">
        <v>8</v>
      </c>
      <c r="AA52" s="13">
        <v>45693</v>
      </c>
      <c r="AB52" s="11">
        <v>5</v>
      </c>
      <c r="AC52" s="11">
        <v>2</v>
      </c>
      <c r="AD52" s="11">
        <v>2025</v>
      </c>
      <c r="AE52" s="13" t="s">
        <v>2737</v>
      </c>
      <c r="AF52" s="11" t="s">
        <v>588</v>
      </c>
      <c r="AG52" s="11" t="s">
        <v>588</v>
      </c>
      <c r="AH52" s="11" t="s">
        <v>588</v>
      </c>
      <c r="AI52" s="11" t="s">
        <v>588</v>
      </c>
      <c r="AJ52" s="11" t="s">
        <v>588</v>
      </c>
      <c r="AK52" s="13" t="s">
        <v>588</v>
      </c>
      <c r="AL52" s="11" t="s">
        <v>588</v>
      </c>
      <c r="AM52" s="11" t="s">
        <v>588</v>
      </c>
      <c r="AN52" s="11" t="s">
        <v>588</v>
      </c>
      <c r="AO52" s="11" t="s">
        <v>588</v>
      </c>
      <c r="AP52" s="13">
        <v>45701</v>
      </c>
      <c r="AQ52" s="11" t="s">
        <v>21</v>
      </c>
      <c r="AR52" s="11" t="s">
        <v>195</v>
      </c>
      <c r="AS52" s="11">
        <v>3</v>
      </c>
      <c r="AT52" s="11">
        <v>3</v>
      </c>
      <c r="AU52" s="7">
        <v>45724</v>
      </c>
      <c r="AV52" s="13">
        <v>45729</v>
      </c>
      <c r="AW52" s="11" t="s">
        <v>22</v>
      </c>
      <c r="AX52" s="11" t="s">
        <v>20</v>
      </c>
      <c r="AY52" s="11" t="s">
        <v>588</v>
      </c>
      <c r="AZ52" s="11" t="s">
        <v>20</v>
      </c>
      <c r="BA52" s="7">
        <v>45724</v>
      </c>
      <c r="BB52" s="13">
        <v>45729</v>
      </c>
      <c r="BC52" s="11" t="s">
        <v>22</v>
      </c>
      <c r="BD52" s="11" t="s">
        <v>20</v>
      </c>
      <c r="BE52" s="11" t="s">
        <v>588</v>
      </c>
      <c r="BF52" s="11" t="s">
        <v>20</v>
      </c>
      <c r="BG52" s="7" t="s">
        <v>588</v>
      </c>
      <c r="BH52" s="11" t="s">
        <v>588</v>
      </c>
      <c r="BI52" s="11" t="s">
        <v>588</v>
      </c>
      <c r="BJ52" s="11" t="s">
        <v>588</v>
      </c>
      <c r="BK52" s="11" t="s">
        <v>588</v>
      </c>
      <c r="BL52" s="11" t="s">
        <v>588</v>
      </c>
      <c r="BM52" s="11">
        <v>12</v>
      </c>
      <c r="BN52" s="11">
        <v>12</v>
      </c>
      <c r="BO52" s="11" t="s">
        <v>8</v>
      </c>
      <c r="BP52" s="11">
        <v>1</v>
      </c>
      <c r="BQ52" s="13">
        <v>45737</v>
      </c>
      <c r="BR52" s="11" t="s">
        <v>22</v>
      </c>
      <c r="BS52" s="11" t="s">
        <v>41</v>
      </c>
      <c r="BT52" s="11" t="s">
        <v>42</v>
      </c>
      <c r="BU52" s="11" t="s">
        <v>42</v>
      </c>
      <c r="BV52" s="11" t="s">
        <v>588</v>
      </c>
      <c r="BW52" s="11" t="s">
        <v>8</v>
      </c>
      <c r="BX52" s="11" t="s">
        <v>112</v>
      </c>
      <c r="BY52" s="11" t="s">
        <v>112</v>
      </c>
      <c r="BZ52" s="13">
        <v>45702</v>
      </c>
      <c r="CA52" s="11" t="s">
        <v>358</v>
      </c>
      <c r="CB52" s="11" t="s">
        <v>588</v>
      </c>
    </row>
    <row r="53" spans="1:80" x14ac:dyDescent="0.25">
      <c r="A53" s="11">
        <v>202425</v>
      </c>
      <c r="B53" s="11" t="s">
        <v>359</v>
      </c>
      <c r="C53" s="11" t="s">
        <v>359</v>
      </c>
      <c r="D53" s="11" t="s">
        <v>360</v>
      </c>
      <c r="E53" s="11" t="s">
        <v>16</v>
      </c>
      <c r="F53" s="11">
        <v>1</v>
      </c>
      <c r="G53" s="11" t="s">
        <v>361</v>
      </c>
      <c r="H53" s="11" t="s">
        <v>2848</v>
      </c>
      <c r="I53" s="13">
        <v>45548</v>
      </c>
      <c r="J53" s="11">
        <v>13</v>
      </c>
      <c r="K53" s="11">
        <v>9</v>
      </c>
      <c r="L53" s="11">
        <v>2024</v>
      </c>
      <c r="M53" s="11" t="s">
        <v>2849</v>
      </c>
      <c r="N53" s="11" t="s">
        <v>28</v>
      </c>
      <c r="O53" s="11" t="s">
        <v>51</v>
      </c>
      <c r="P53" s="11">
        <v>-38.590555000000002</v>
      </c>
      <c r="Q53" s="11">
        <v>145.51843</v>
      </c>
      <c r="R53" s="11" t="s">
        <v>588</v>
      </c>
      <c r="S53" s="11" t="s">
        <v>588</v>
      </c>
      <c r="T53" s="11">
        <v>1</v>
      </c>
      <c r="U53" s="11">
        <v>3</v>
      </c>
      <c r="V53" s="11" t="s">
        <v>588</v>
      </c>
      <c r="W53" s="11" t="s">
        <v>588</v>
      </c>
      <c r="X53" s="11">
        <v>2</v>
      </c>
      <c r="Y53" s="11">
        <v>2</v>
      </c>
      <c r="Z53" s="11" t="s">
        <v>41</v>
      </c>
      <c r="AA53" s="13">
        <v>45548</v>
      </c>
      <c r="AB53" s="11">
        <v>13</v>
      </c>
      <c r="AC53" s="11">
        <v>9</v>
      </c>
      <c r="AD53" s="11">
        <v>2024</v>
      </c>
      <c r="AE53" s="13" t="s">
        <v>2849</v>
      </c>
      <c r="AF53" s="11" t="s">
        <v>28</v>
      </c>
      <c r="AG53" s="13">
        <v>45553</v>
      </c>
      <c r="AH53" s="11">
        <v>18</v>
      </c>
      <c r="AI53" s="11">
        <v>9</v>
      </c>
      <c r="AJ53" s="11">
        <v>2024</v>
      </c>
      <c r="AK53" s="13" t="s">
        <v>2821</v>
      </c>
      <c r="AL53" s="11" t="s">
        <v>28</v>
      </c>
      <c r="AM53" s="11" t="s">
        <v>20</v>
      </c>
      <c r="AN53" s="11" t="s">
        <v>588</v>
      </c>
      <c r="AO53" s="11" t="s">
        <v>32</v>
      </c>
      <c r="AP53" s="11" t="s">
        <v>588</v>
      </c>
      <c r="AQ53" s="11" t="s">
        <v>588</v>
      </c>
      <c r="AR53" s="11" t="s">
        <v>588</v>
      </c>
      <c r="AS53" s="11" t="s">
        <v>588</v>
      </c>
      <c r="AT53" s="11" t="s">
        <v>588</v>
      </c>
      <c r="AU53" s="7" t="s">
        <v>588</v>
      </c>
      <c r="AV53" s="11" t="s">
        <v>588</v>
      </c>
      <c r="AW53" s="11" t="s">
        <v>588</v>
      </c>
      <c r="AX53" s="11" t="s">
        <v>588</v>
      </c>
      <c r="AY53" s="11" t="s">
        <v>588</v>
      </c>
      <c r="AZ53" s="11" t="s">
        <v>588</v>
      </c>
      <c r="BA53" s="7" t="s">
        <v>588</v>
      </c>
      <c r="BB53" s="11" t="s">
        <v>588</v>
      </c>
      <c r="BC53" s="11" t="s">
        <v>588</v>
      </c>
      <c r="BD53" s="11" t="s">
        <v>588</v>
      </c>
      <c r="BE53" s="11" t="s">
        <v>588</v>
      </c>
      <c r="BF53" s="11" t="s">
        <v>588</v>
      </c>
      <c r="BG53" s="7" t="s">
        <v>588</v>
      </c>
      <c r="BH53" s="11" t="s">
        <v>588</v>
      </c>
      <c r="BI53" s="11" t="s">
        <v>588</v>
      </c>
      <c r="BJ53" s="11" t="s">
        <v>588</v>
      </c>
      <c r="BK53" s="11" t="s">
        <v>588</v>
      </c>
      <c r="BL53" s="11" t="s">
        <v>588</v>
      </c>
      <c r="BM53" s="11" t="s">
        <v>588</v>
      </c>
      <c r="BN53" s="11" t="s">
        <v>588</v>
      </c>
      <c r="BO53" s="11" t="s">
        <v>588</v>
      </c>
      <c r="BP53" s="11" t="s">
        <v>588</v>
      </c>
      <c r="BQ53" s="11" t="s">
        <v>588</v>
      </c>
      <c r="BR53" s="11" t="s">
        <v>588</v>
      </c>
      <c r="BS53" s="11" t="s">
        <v>41</v>
      </c>
      <c r="BT53" s="11" t="s">
        <v>42</v>
      </c>
      <c r="BU53" s="11" t="s">
        <v>42</v>
      </c>
      <c r="BV53" s="11" t="s">
        <v>588</v>
      </c>
      <c r="BW53" s="11" t="s">
        <v>588</v>
      </c>
      <c r="BX53" s="11" t="s">
        <v>588</v>
      </c>
      <c r="BY53" s="11" t="s">
        <v>588</v>
      </c>
      <c r="BZ53" s="11" t="s">
        <v>588</v>
      </c>
      <c r="CA53" s="11" t="s">
        <v>588</v>
      </c>
      <c r="CB53" s="11" t="s">
        <v>588</v>
      </c>
    </row>
    <row r="54" spans="1:80" x14ac:dyDescent="0.25">
      <c r="A54" s="11">
        <v>202425</v>
      </c>
      <c r="B54" s="11" t="s">
        <v>359</v>
      </c>
      <c r="C54" s="11" t="s">
        <v>359</v>
      </c>
      <c r="D54" s="11" t="s">
        <v>360</v>
      </c>
      <c r="E54" s="11" t="s">
        <v>16</v>
      </c>
      <c r="F54" s="11">
        <v>2</v>
      </c>
      <c r="G54" s="11" t="s">
        <v>362</v>
      </c>
      <c r="H54" s="11" t="s">
        <v>2850</v>
      </c>
      <c r="I54" s="13">
        <v>45639</v>
      </c>
      <c r="J54" s="11">
        <v>13</v>
      </c>
      <c r="K54" s="11">
        <v>12</v>
      </c>
      <c r="L54" s="11">
        <v>2024</v>
      </c>
      <c r="M54" s="11" t="s">
        <v>2759</v>
      </c>
      <c r="N54" s="11" t="s">
        <v>7</v>
      </c>
      <c r="O54" s="11" t="s">
        <v>10</v>
      </c>
      <c r="P54" s="11">
        <v>-38.590505</v>
      </c>
      <c r="Q54" s="11">
        <v>145.51824999999999</v>
      </c>
      <c r="R54" s="11" t="s">
        <v>588</v>
      </c>
      <c r="S54" s="11" t="s">
        <v>588</v>
      </c>
      <c r="T54" s="11">
        <v>2</v>
      </c>
      <c r="U54" s="11">
        <v>3</v>
      </c>
      <c r="V54" s="11" t="s">
        <v>588</v>
      </c>
      <c r="W54" s="11" t="s">
        <v>588</v>
      </c>
      <c r="X54" s="11">
        <v>2</v>
      </c>
      <c r="Y54" s="11">
        <v>2</v>
      </c>
      <c r="Z54" s="11" t="s">
        <v>41</v>
      </c>
      <c r="AA54" s="13">
        <v>45639</v>
      </c>
      <c r="AB54" s="11">
        <v>13</v>
      </c>
      <c r="AC54" s="11">
        <v>12</v>
      </c>
      <c r="AD54" s="11">
        <v>2024</v>
      </c>
      <c r="AE54" s="13" t="s">
        <v>2759</v>
      </c>
      <c r="AF54" s="11" t="s">
        <v>7</v>
      </c>
      <c r="AG54" s="13">
        <v>45644</v>
      </c>
      <c r="AH54" s="11">
        <v>18</v>
      </c>
      <c r="AI54" s="11">
        <v>12</v>
      </c>
      <c r="AJ54" s="11">
        <v>2024</v>
      </c>
      <c r="AK54" s="13" t="s">
        <v>2785</v>
      </c>
      <c r="AL54" s="11" t="s">
        <v>7</v>
      </c>
      <c r="AM54" s="11" t="s">
        <v>20</v>
      </c>
      <c r="AN54" s="11" t="s">
        <v>588</v>
      </c>
      <c r="AO54" s="11" t="s">
        <v>11</v>
      </c>
      <c r="AP54" s="11" t="s">
        <v>588</v>
      </c>
      <c r="AQ54" s="11" t="s">
        <v>588</v>
      </c>
      <c r="AR54" s="11" t="s">
        <v>588</v>
      </c>
      <c r="AS54" s="11" t="s">
        <v>588</v>
      </c>
      <c r="AT54" s="11" t="s">
        <v>588</v>
      </c>
      <c r="AU54" s="7" t="s">
        <v>588</v>
      </c>
      <c r="AV54" s="11" t="s">
        <v>588</v>
      </c>
      <c r="AW54" s="11" t="s">
        <v>588</v>
      </c>
      <c r="AX54" s="11" t="s">
        <v>588</v>
      </c>
      <c r="AY54" s="11" t="s">
        <v>588</v>
      </c>
      <c r="AZ54" s="11" t="s">
        <v>588</v>
      </c>
      <c r="BA54" s="7" t="s">
        <v>588</v>
      </c>
      <c r="BB54" s="11" t="s">
        <v>588</v>
      </c>
      <c r="BC54" s="11" t="s">
        <v>588</v>
      </c>
      <c r="BD54" s="11" t="s">
        <v>588</v>
      </c>
      <c r="BE54" s="11" t="s">
        <v>588</v>
      </c>
      <c r="BF54" s="11" t="s">
        <v>588</v>
      </c>
      <c r="BG54" s="7" t="s">
        <v>588</v>
      </c>
      <c r="BH54" s="11" t="s">
        <v>588</v>
      </c>
      <c r="BI54" s="11" t="s">
        <v>588</v>
      </c>
      <c r="BJ54" s="11" t="s">
        <v>588</v>
      </c>
      <c r="BK54" s="11" t="s">
        <v>588</v>
      </c>
      <c r="BL54" s="11" t="s">
        <v>588</v>
      </c>
      <c r="BM54" s="11" t="s">
        <v>588</v>
      </c>
      <c r="BN54" s="11" t="s">
        <v>588</v>
      </c>
      <c r="BO54" s="11" t="s">
        <v>588</v>
      </c>
      <c r="BP54" s="11" t="s">
        <v>588</v>
      </c>
      <c r="BQ54" s="11" t="s">
        <v>588</v>
      </c>
      <c r="BR54" s="11" t="s">
        <v>588</v>
      </c>
      <c r="BS54" s="11" t="s">
        <v>8</v>
      </c>
      <c r="BT54" s="11" t="s">
        <v>13</v>
      </c>
      <c r="BU54" s="11" t="s">
        <v>13</v>
      </c>
      <c r="BV54" s="13">
        <v>45639</v>
      </c>
      <c r="BW54" s="11" t="s">
        <v>588</v>
      </c>
      <c r="BX54" s="11" t="s">
        <v>588</v>
      </c>
      <c r="BY54" s="11" t="s">
        <v>588</v>
      </c>
      <c r="BZ54" s="11" t="s">
        <v>588</v>
      </c>
      <c r="CA54" s="11" t="s">
        <v>588</v>
      </c>
      <c r="CB54" s="11" t="s">
        <v>588</v>
      </c>
    </row>
    <row r="55" spans="1:80" x14ac:dyDescent="0.25">
      <c r="A55" s="11">
        <v>202425</v>
      </c>
      <c r="B55" s="11" t="s">
        <v>359</v>
      </c>
      <c r="C55" s="11" t="s">
        <v>359</v>
      </c>
      <c r="D55" s="11" t="s">
        <v>360</v>
      </c>
      <c r="E55" s="11" t="s">
        <v>16</v>
      </c>
      <c r="F55" s="11">
        <v>3</v>
      </c>
      <c r="G55" s="11" t="s">
        <v>363</v>
      </c>
      <c r="H55" s="11" t="s">
        <v>2851</v>
      </c>
      <c r="I55" s="13">
        <v>45671</v>
      </c>
      <c r="J55" s="11">
        <v>14</v>
      </c>
      <c r="K55" s="11">
        <v>1</v>
      </c>
      <c r="L55" s="11">
        <v>2025</v>
      </c>
      <c r="M55" s="11" t="s">
        <v>2791</v>
      </c>
      <c r="N55" s="11" t="s">
        <v>12</v>
      </c>
      <c r="O55" s="11" t="s">
        <v>51</v>
      </c>
      <c r="P55" s="11">
        <v>-38.590963000000002</v>
      </c>
      <c r="Q55" s="11">
        <v>145.518655</v>
      </c>
      <c r="R55" s="11" t="s">
        <v>588</v>
      </c>
      <c r="S55" s="11" t="s">
        <v>588</v>
      </c>
      <c r="T55" s="11">
        <v>3</v>
      </c>
      <c r="U55" s="11">
        <v>3</v>
      </c>
      <c r="V55" s="11" t="s">
        <v>588</v>
      </c>
      <c r="W55" s="11" t="s">
        <v>588</v>
      </c>
      <c r="X55" s="11">
        <v>3</v>
      </c>
      <c r="Y55" s="11">
        <v>3</v>
      </c>
      <c r="Z55" s="11" t="s">
        <v>41</v>
      </c>
      <c r="AA55" s="13">
        <v>45675</v>
      </c>
      <c r="AB55" s="11">
        <v>18</v>
      </c>
      <c r="AC55" s="11">
        <v>1</v>
      </c>
      <c r="AD55" s="11">
        <v>2025</v>
      </c>
      <c r="AE55" s="13" t="s">
        <v>2735</v>
      </c>
      <c r="AF55" s="11" t="s">
        <v>12</v>
      </c>
      <c r="AG55" s="13">
        <v>45686</v>
      </c>
      <c r="AH55" s="11">
        <v>29</v>
      </c>
      <c r="AI55" s="11">
        <v>1</v>
      </c>
      <c r="AJ55" s="11">
        <v>2025</v>
      </c>
      <c r="AK55" s="13" t="s">
        <v>2792</v>
      </c>
      <c r="AL55" s="11" t="s">
        <v>12</v>
      </c>
      <c r="AM55" s="11" t="s">
        <v>20</v>
      </c>
      <c r="AN55" s="11" t="s">
        <v>588</v>
      </c>
      <c r="AO55" s="11" t="s">
        <v>32</v>
      </c>
      <c r="AP55" s="11" t="s">
        <v>588</v>
      </c>
      <c r="AQ55" s="11" t="s">
        <v>588</v>
      </c>
      <c r="AR55" s="11" t="s">
        <v>588</v>
      </c>
      <c r="AS55" s="11" t="s">
        <v>588</v>
      </c>
      <c r="AT55" s="11" t="s">
        <v>588</v>
      </c>
      <c r="AU55" s="7" t="s">
        <v>588</v>
      </c>
      <c r="AV55" s="11" t="s">
        <v>588</v>
      </c>
      <c r="AW55" s="11" t="s">
        <v>588</v>
      </c>
      <c r="AX55" s="11" t="s">
        <v>588</v>
      </c>
      <c r="AY55" s="11" t="s">
        <v>588</v>
      </c>
      <c r="AZ55" s="11" t="s">
        <v>588</v>
      </c>
      <c r="BA55" s="7" t="s">
        <v>588</v>
      </c>
      <c r="BB55" s="11" t="s">
        <v>588</v>
      </c>
      <c r="BC55" s="11" t="s">
        <v>588</v>
      </c>
      <c r="BD55" s="11" t="s">
        <v>588</v>
      </c>
      <c r="BE55" s="11" t="s">
        <v>588</v>
      </c>
      <c r="BF55" s="11" t="s">
        <v>588</v>
      </c>
      <c r="BG55" s="7" t="s">
        <v>588</v>
      </c>
      <c r="BH55" s="11" t="s">
        <v>588</v>
      </c>
      <c r="BI55" s="11" t="s">
        <v>588</v>
      </c>
      <c r="BJ55" s="11" t="s">
        <v>588</v>
      </c>
      <c r="BK55" s="11" t="s">
        <v>588</v>
      </c>
      <c r="BL55" s="11" t="s">
        <v>588</v>
      </c>
      <c r="BM55" s="11" t="s">
        <v>588</v>
      </c>
      <c r="BN55" s="11" t="s">
        <v>588</v>
      </c>
      <c r="BO55" s="11" t="s">
        <v>588</v>
      </c>
      <c r="BP55" s="11" t="s">
        <v>588</v>
      </c>
      <c r="BQ55" s="11" t="s">
        <v>588</v>
      </c>
      <c r="BR55" s="11" t="s">
        <v>588</v>
      </c>
      <c r="BS55" s="11" t="s">
        <v>41</v>
      </c>
      <c r="BT55" s="11" t="s">
        <v>42</v>
      </c>
      <c r="BU55" s="11" t="s">
        <v>42</v>
      </c>
      <c r="BV55" s="11" t="s">
        <v>588</v>
      </c>
      <c r="BW55" s="11" t="s">
        <v>588</v>
      </c>
      <c r="BX55" s="11" t="s">
        <v>588</v>
      </c>
      <c r="BY55" s="11" t="s">
        <v>588</v>
      </c>
      <c r="BZ55" s="11" t="s">
        <v>588</v>
      </c>
      <c r="CA55" s="11" t="s">
        <v>588</v>
      </c>
      <c r="CB55" s="11" t="s">
        <v>588</v>
      </c>
    </row>
    <row r="56" spans="1:80" x14ac:dyDescent="0.25">
      <c r="A56" s="11">
        <v>202425</v>
      </c>
      <c r="B56" s="11" t="s">
        <v>359</v>
      </c>
      <c r="C56" s="11" t="s">
        <v>359</v>
      </c>
      <c r="D56" s="11" t="s">
        <v>360</v>
      </c>
      <c r="E56" s="11" t="s">
        <v>16</v>
      </c>
      <c r="F56" s="11">
        <v>4</v>
      </c>
      <c r="G56" s="11" t="s">
        <v>364</v>
      </c>
      <c r="H56" s="11" t="s">
        <v>2852</v>
      </c>
      <c r="I56" s="13">
        <v>45695</v>
      </c>
      <c r="J56" s="11">
        <v>7</v>
      </c>
      <c r="K56" s="11">
        <v>2</v>
      </c>
      <c r="L56" s="11">
        <v>2025</v>
      </c>
      <c r="M56" s="11" t="s">
        <v>2853</v>
      </c>
      <c r="N56" s="11" t="s">
        <v>21</v>
      </c>
      <c r="O56" s="11" t="s">
        <v>10</v>
      </c>
      <c r="P56" s="11">
        <v>-38.592542999999999</v>
      </c>
      <c r="Q56" s="11">
        <v>145.52040199999999</v>
      </c>
      <c r="R56" s="11" t="s">
        <v>588</v>
      </c>
      <c r="S56" s="11" t="s">
        <v>588</v>
      </c>
      <c r="T56" s="11">
        <v>3</v>
      </c>
      <c r="U56" s="11">
        <v>3</v>
      </c>
      <c r="V56" s="11" t="s">
        <v>588</v>
      </c>
      <c r="W56" s="11" t="s">
        <v>588</v>
      </c>
      <c r="X56" s="11">
        <v>4</v>
      </c>
      <c r="Y56" s="11">
        <v>4</v>
      </c>
      <c r="Z56" s="11" t="s">
        <v>41</v>
      </c>
      <c r="AA56" s="13">
        <v>45702</v>
      </c>
      <c r="AB56" s="11">
        <v>14</v>
      </c>
      <c r="AC56" s="11">
        <v>2</v>
      </c>
      <c r="AD56" s="11">
        <v>2025</v>
      </c>
      <c r="AE56" s="13" t="s">
        <v>2794</v>
      </c>
      <c r="AF56" s="11" t="s">
        <v>21</v>
      </c>
      <c r="AG56" s="13">
        <v>45710</v>
      </c>
      <c r="AH56" s="11">
        <v>22</v>
      </c>
      <c r="AI56" s="11">
        <v>2</v>
      </c>
      <c r="AJ56" s="11">
        <v>2025</v>
      </c>
      <c r="AK56" s="13" t="s">
        <v>2795</v>
      </c>
      <c r="AL56" s="11" t="s">
        <v>21</v>
      </c>
      <c r="AM56" s="11" t="s">
        <v>20</v>
      </c>
      <c r="AN56" s="11" t="s">
        <v>588</v>
      </c>
      <c r="AO56" s="11" t="s">
        <v>20</v>
      </c>
      <c r="AP56" s="11" t="s">
        <v>588</v>
      </c>
      <c r="AQ56" s="11" t="s">
        <v>588</v>
      </c>
      <c r="AR56" s="11" t="s">
        <v>588</v>
      </c>
      <c r="AS56" s="11" t="s">
        <v>588</v>
      </c>
      <c r="AT56" s="11" t="s">
        <v>588</v>
      </c>
      <c r="AU56" s="7" t="s">
        <v>588</v>
      </c>
      <c r="AV56" s="11" t="s">
        <v>588</v>
      </c>
      <c r="AW56" s="11" t="s">
        <v>588</v>
      </c>
      <c r="AX56" s="11" t="s">
        <v>588</v>
      </c>
      <c r="AY56" s="11" t="s">
        <v>588</v>
      </c>
      <c r="AZ56" s="11" t="s">
        <v>588</v>
      </c>
      <c r="BA56" s="7" t="s">
        <v>588</v>
      </c>
      <c r="BB56" s="11" t="s">
        <v>588</v>
      </c>
      <c r="BC56" s="11" t="s">
        <v>588</v>
      </c>
      <c r="BD56" s="11" t="s">
        <v>588</v>
      </c>
      <c r="BE56" s="11" t="s">
        <v>588</v>
      </c>
      <c r="BF56" s="11" t="s">
        <v>588</v>
      </c>
      <c r="BG56" s="7" t="s">
        <v>588</v>
      </c>
      <c r="BH56" s="11" t="s">
        <v>588</v>
      </c>
      <c r="BI56" s="11" t="s">
        <v>588</v>
      </c>
      <c r="BJ56" s="11" t="s">
        <v>588</v>
      </c>
      <c r="BK56" s="11" t="s">
        <v>588</v>
      </c>
      <c r="BL56" s="11" t="s">
        <v>588</v>
      </c>
      <c r="BM56" s="11" t="s">
        <v>588</v>
      </c>
      <c r="BN56" s="11" t="s">
        <v>588</v>
      </c>
      <c r="BO56" s="11" t="s">
        <v>588</v>
      </c>
      <c r="BP56" s="11" t="s">
        <v>588</v>
      </c>
      <c r="BQ56" s="11" t="s">
        <v>588</v>
      </c>
      <c r="BR56" s="11" t="s">
        <v>588</v>
      </c>
      <c r="BS56" s="11" t="s">
        <v>8</v>
      </c>
      <c r="BT56" s="11" t="s">
        <v>13</v>
      </c>
      <c r="BU56" s="11" t="s">
        <v>13</v>
      </c>
      <c r="BV56" s="13">
        <v>45695</v>
      </c>
      <c r="BW56" s="11" t="s">
        <v>588</v>
      </c>
      <c r="BX56" s="11" t="s">
        <v>588</v>
      </c>
      <c r="BY56" s="11" t="s">
        <v>588</v>
      </c>
      <c r="BZ56" s="11" t="s">
        <v>588</v>
      </c>
      <c r="CA56" s="11" t="s">
        <v>588</v>
      </c>
      <c r="CB56" s="11" t="s">
        <v>588</v>
      </c>
    </row>
    <row r="57" spans="1:80" x14ac:dyDescent="0.25">
      <c r="A57" s="11">
        <v>202425</v>
      </c>
      <c r="B57" s="11" t="s">
        <v>365</v>
      </c>
      <c r="C57" s="11" t="s">
        <v>365</v>
      </c>
      <c r="D57" s="11" t="s">
        <v>366</v>
      </c>
      <c r="E57" s="11" t="s">
        <v>367</v>
      </c>
      <c r="F57" s="11">
        <v>1</v>
      </c>
      <c r="G57" s="11" t="s">
        <v>368</v>
      </c>
      <c r="H57" s="11" t="s">
        <v>2854</v>
      </c>
      <c r="I57" s="13">
        <v>45553</v>
      </c>
      <c r="J57" s="11">
        <v>18</v>
      </c>
      <c r="K57" s="11">
        <v>9</v>
      </c>
      <c r="L57" s="11">
        <v>2024</v>
      </c>
      <c r="M57" s="11" t="s">
        <v>2821</v>
      </c>
      <c r="N57" s="11" t="s">
        <v>28</v>
      </c>
      <c r="O57" s="11" t="s">
        <v>51</v>
      </c>
      <c r="P57" s="11">
        <v>-38.593130000000002</v>
      </c>
      <c r="Q57" s="11">
        <v>145.521196</v>
      </c>
      <c r="R57" s="11" t="s">
        <v>588</v>
      </c>
      <c r="S57" s="11" t="s">
        <v>588</v>
      </c>
      <c r="T57" s="11">
        <v>2</v>
      </c>
      <c r="U57" s="11">
        <v>3</v>
      </c>
      <c r="V57" s="11" t="s">
        <v>588</v>
      </c>
      <c r="W57" s="11" t="s">
        <v>588</v>
      </c>
      <c r="X57" s="11">
        <v>2</v>
      </c>
      <c r="Y57" s="11">
        <v>2</v>
      </c>
      <c r="Z57" s="11" t="s">
        <v>41</v>
      </c>
      <c r="AA57" s="13">
        <v>45553</v>
      </c>
      <c r="AB57" s="11">
        <v>18</v>
      </c>
      <c r="AC57" s="11">
        <v>9</v>
      </c>
      <c r="AD57" s="11">
        <v>2024</v>
      </c>
      <c r="AE57" s="13" t="s">
        <v>2821</v>
      </c>
      <c r="AF57" s="11" t="s">
        <v>28</v>
      </c>
      <c r="AG57" s="13">
        <v>45559</v>
      </c>
      <c r="AH57" s="11">
        <v>24</v>
      </c>
      <c r="AI57" s="11">
        <v>9</v>
      </c>
      <c r="AJ57" s="11">
        <v>2024</v>
      </c>
      <c r="AK57" s="13" t="s">
        <v>2855</v>
      </c>
      <c r="AL57" s="11" t="s">
        <v>28</v>
      </c>
      <c r="AM57" s="11" t="s">
        <v>20</v>
      </c>
      <c r="AN57" s="11" t="s">
        <v>588</v>
      </c>
      <c r="AO57" s="11" t="s">
        <v>11</v>
      </c>
      <c r="AP57" s="11" t="s">
        <v>588</v>
      </c>
      <c r="AQ57" s="11" t="s">
        <v>588</v>
      </c>
      <c r="AR57" s="11" t="s">
        <v>588</v>
      </c>
      <c r="AS57" s="11" t="s">
        <v>588</v>
      </c>
      <c r="AT57" s="11" t="s">
        <v>588</v>
      </c>
      <c r="AU57" s="7" t="s">
        <v>588</v>
      </c>
      <c r="AV57" s="11" t="s">
        <v>588</v>
      </c>
      <c r="AW57" s="11" t="s">
        <v>588</v>
      </c>
      <c r="AX57" s="11" t="s">
        <v>588</v>
      </c>
      <c r="AY57" s="11" t="s">
        <v>588</v>
      </c>
      <c r="AZ57" s="11" t="s">
        <v>588</v>
      </c>
      <c r="BA57" s="7" t="s">
        <v>588</v>
      </c>
      <c r="BB57" s="11" t="s">
        <v>588</v>
      </c>
      <c r="BC57" s="11" t="s">
        <v>588</v>
      </c>
      <c r="BD57" s="11" t="s">
        <v>588</v>
      </c>
      <c r="BE57" s="11" t="s">
        <v>588</v>
      </c>
      <c r="BF57" s="11" t="s">
        <v>588</v>
      </c>
      <c r="BG57" s="7" t="s">
        <v>588</v>
      </c>
      <c r="BH57" s="11" t="s">
        <v>588</v>
      </c>
      <c r="BI57" s="11" t="s">
        <v>588</v>
      </c>
      <c r="BJ57" s="11" t="s">
        <v>588</v>
      </c>
      <c r="BK57" s="11" t="s">
        <v>588</v>
      </c>
      <c r="BL57" s="11" t="s">
        <v>588</v>
      </c>
      <c r="BM57" s="11" t="s">
        <v>588</v>
      </c>
      <c r="BN57" s="11" t="s">
        <v>588</v>
      </c>
      <c r="BO57" s="11" t="s">
        <v>588</v>
      </c>
      <c r="BP57" s="11" t="s">
        <v>588</v>
      </c>
      <c r="BQ57" s="11" t="s">
        <v>588</v>
      </c>
      <c r="BR57" s="11" t="s">
        <v>588</v>
      </c>
      <c r="BS57" s="11" t="s">
        <v>41</v>
      </c>
      <c r="BT57" s="11" t="s">
        <v>42</v>
      </c>
      <c r="BU57" s="11" t="s">
        <v>42</v>
      </c>
      <c r="BV57" s="11" t="s">
        <v>588</v>
      </c>
      <c r="BW57" s="11" t="s">
        <v>588</v>
      </c>
      <c r="BX57" s="11" t="s">
        <v>588</v>
      </c>
      <c r="BY57" s="11" t="s">
        <v>588</v>
      </c>
      <c r="BZ57" s="11" t="s">
        <v>588</v>
      </c>
      <c r="CA57" s="11" t="s">
        <v>588</v>
      </c>
      <c r="CB57" s="11" t="s">
        <v>588</v>
      </c>
    </row>
    <row r="58" spans="1:80" x14ac:dyDescent="0.25">
      <c r="A58" s="11">
        <v>202425</v>
      </c>
      <c r="B58" s="11" t="s">
        <v>365</v>
      </c>
      <c r="C58" s="11" t="s">
        <v>365</v>
      </c>
      <c r="D58" s="11" t="s">
        <v>366</v>
      </c>
      <c r="E58" s="11" t="s">
        <v>367</v>
      </c>
      <c r="F58" s="11">
        <v>2</v>
      </c>
      <c r="G58" s="11" t="s">
        <v>369</v>
      </c>
      <c r="H58" s="11" t="s">
        <v>2856</v>
      </c>
      <c r="I58" s="13">
        <v>45567</v>
      </c>
      <c r="J58" s="11">
        <v>2</v>
      </c>
      <c r="K58" s="11">
        <v>10</v>
      </c>
      <c r="L58" s="11">
        <v>2024</v>
      </c>
      <c r="M58" s="11" t="s">
        <v>2857</v>
      </c>
      <c r="N58" s="11" t="s">
        <v>29</v>
      </c>
      <c r="O58" s="11" t="s">
        <v>51</v>
      </c>
      <c r="P58" s="11">
        <v>-38.592919999999999</v>
      </c>
      <c r="Q58" s="11">
        <v>145.52113800000001</v>
      </c>
      <c r="R58" s="11" t="s">
        <v>588</v>
      </c>
      <c r="S58" s="11" t="s">
        <v>588</v>
      </c>
      <c r="T58" s="11">
        <v>2</v>
      </c>
      <c r="U58" s="11">
        <v>3</v>
      </c>
      <c r="V58" s="11" t="s">
        <v>588</v>
      </c>
      <c r="W58" s="11" t="s">
        <v>588</v>
      </c>
      <c r="X58" s="11">
        <v>3</v>
      </c>
      <c r="Y58" s="11">
        <v>3</v>
      </c>
      <c r="Z58" s="11" t="s">
        <v>41</v>
      </c>
      <c r="AA58" s="13">
        <v>45568</v>
      </c>
      <c r="AB58" s="11">
        <v>3</v>
      </c>
      <c r="AC58" s="11">
        <v>10</v>
      </c>
      <c r="AD58" s="11">
        <v>2024</v>
      </c>
      <c r="AE58" s="13" t="s">
        <v>2858</v>
      </c>
      <c r="AF58" s="11" t="s">
        <v>29</v>
      </c>
      <c r="AG58" s="13">
        <v>45574</v>
      </c>
      <c r="AH58" s="11">
        <v>9</v>
      </c>
      <c r="AI58" s="11">
        <v>10</v>
      </c>
      <c r="AJ58" s="11">
        <v>2024</v>
      </c>
      <c r="AK58" s="13" t="s">
        <v>2726</v>
      </c>
      <c r="AL58" s="11" t="s">
        <v>29</v>
      </c>
      <c r="AM58" s="11" t="s">
        <v>20</v>
      </c>
      <c r="AN58" s="11" t="s">
        <v>588</v>
      </c>
      <c r="AO58" s="11" t="s">
        <v>32</v>
      </c>
      <c r="AP58" s="11" t="s">
        <v>588</v>
      </c>
      <c r="AQ58" s="11" t="s">
        <v>588</v>
      </c>
      <c r="AR58" s="11" t="s">
        <v>588</v>
      </c>
      <c r="AS58" s="11" t="s">
        <v>588</v>
      </c>
      <c r="AT58" s="11" t="s">
        <v>588</v>
      </c>
      <c r="AU58" s="7" t="s">
        <v>588</v>
      </c>
      <c r="AV58" s="11" t="s">
        <v>588</v>
      </c>
      <c r="AW58" s="11" t="s">
        <v>588</v>
      </c>
      <c r="AX58" s="11" t="s">
        <v>588</v>
      </c>
      <c r="AY58" s="11" t="s">
        <v>588</v>
      </c>
      <c r="AZ58" s="11" t="s">
        <v>588</v>
      </c>
      <c r="BA58" s="7" t="s">
        <v>588</v>
      </c>
      <c r="BB58" s="11" t="s">
        <v>588</v>
      </c>
      <c r="BC58" s="11" t="s">
        <v>588</v>
      </c>
      <c r="BD58" s="11" t="s">
        <v>588</v>
      </c>
      <c r="BE58" s="11" t="s">
        <v>588</v>
      </c>
      <c r="BF58" s="11" t="s">
        <v>588</v>
      </c>
      <c r="BG58" s="7" t="s">
        <v>588</v>
      </c>
      <c r="BH58" s="11" t="s">
        <v>588</v>
      </c>
      <c r="BI58" s="11" t="s">
        <v>588</v>
      </c>
      <c r="BJ58" s="11" t="s">
        <v>588</v>
      </c>
      <c r="BK58" s="11" t="s">
        <v>588</v>
      </c>
      <c r="BL58" s="11" t="s">
        <v>588</v>
      </c>
      <c r="BM58" s="11" t="s">
        <v>588</v>
      </c>
      <c r="BN58" s="11" t="s">
        <v>588</v>
      </c>
      <c r="BO58" s="11" t="s">
        <v>588</v>
      </c>
      <c r="BP58" s="11" t="s">
        <v>588</v>
      </c>
      <c r="BQ58" s="11" t="s">
        <v>588</v>
      </c>
      <c r="BR58" s="11" t="s">
        <v>588</v>
      </c>
      <c r="BS58" s="11" t="s">
        <v>8</v>
      </c>
      <c r="BT58" s="11" t="s">
        <v>65</v>
      </c>
      <c r="BU58" s="11" t="s">
        <v>65</v>
      </c>
      <c r="BV58" s="13">
        <v>45567</v>
      </c>
      <c r="BW58" s="11" t="s">
        <v>588</v>
      </c>
      <c r="BX58" s="11" t="s">
        <v>588</v>
      </c>
      <c r="BY58" s="11" t="s">
        <v>588</v>
      </c>
      <c r="BZ58" s="11" t="s">
        <v>588</v>
      </c>
      <c r="CA58" s="11" t="s">
        <v>588</v>
      </c>
      <c r="CB58" s="11" t="s">
        <v>588</v>
      </c>
    </row>
    <row r="59" spans="1:80" x14ac:dyDescent="0.25">
      <c r="A59" s="11">
        <v>202425</v>
      </c>
      <c r="B59" s="11" t="s">
        <v>365</v>
      </c>
      <c r="C59" s="11" t="s">
        <v>365</v>
      </c>
      <c r="D59" s="11" t="s">
        <v>366</v>
      </c>
      <c r="E59" s="11" t="s">
        <v>367</v>
      </c>
      <c r="F59" s="11">
        <v>3</v>
      </c>
      <c r="G59" s="11" t="s">
        <v>370</v>
      </c>
      <c r="H59" s="11" t="s">
        <v>2859</v>
      </c>
      <c r="I59" s="13">
        <v>45632</v>
      </c>
      <c r="J59" s="11">
        <v>6</v>
      </c>
      <c r="K59" s="11">
        <v>12</v>
      </c>
      <c r="L59" s="11">
        <v>2024</v>
      </c>
      <c r="M59" s="11" t="s">
        <v>2787</v>
      </c>
      <c r="N59" s="11" t="s">
        <v>7</v>
      </c>
      <c r="O59" s="11" t="s">
        <v>51</v>
      </c>
      <c r="P59" s="11">
        <v>-38.593172000000003</v>
      </c>
      <c r="Q59" s="11">
        <v>145.52136300000001</v>
      </c>
      <c r="R59" s="11" t="s">
        <v>588</v>
      </c>
      <c r="S59" s="11" t="s">
        <v>588</v>
      </c>
      <c r="T59" s="11">
        <v>2</v>
      </c>
      <c r="U59" s="11">
        <v>2</v>
      </c>
      <c r="V59" s="11" t="s">
        <v>588</v>
      </c>
      <c r="W59" s="11" t="s">
        <v>588</v>
      </c>
      <c r="X59" s="11">
        <v>4</v>
      </c>
      <c r="Y59" s="11">
        <v>3</v>
      </c>
      <c r="Z59" s="11" t="s">
        <v>41</v>
      </c>
      <c r="AA59" s="13">
        <v>45635</v>
      </c>
      <c r="AB59" s="11">
        <v>9</v>
      </c>
      <c r="AC59" s="11">
        <v>12</v>
      </c>
      <c r="AD59" s="11">
        <v>2024</v>
      </c>
      <c r="AE59" s="13" t="s">
        <v>2797</v>
      </c>
      <c r="AF59" s="11" t="s">
        <v>7</v>
      </c>
      <c r="AG59" s="13">
        <v>45639</v>
      </c>
      <c r="AH59" s="11">
        <v>13</v>
      </c>
      <c r="AI59" s="11">
        <v>12</v>
      </c>
      <c r="AJ59" s="11">
        <v>2024</v>
      </c>
      <c r="AK59" s="13" t="s">
        <v>2759</v>
      </c>
      <c r="AL59" s="11" t="s">
        <v>7</v>
      </c>
      <c r="AM59" s="11" t="s">
        <v>20</v>
      </c>
      <c r="AN59" s="11" t="s">
        <v>588</v>
      </c>
      <c r="AO59" s="11" t="s">
        <v>32</v>
      </c>
      <c r="AP59" s="11" t="s">
        <v>588</v>
      </c>
      <c r="AQ59" s="11" t="s">
        <v>588</v>
      </c>
      <c r="AR59" s="11" t="s">
        <v>588</v>
      </c>
      <c r="AS59" s="11" t="s">
        <v>588</v>
      </c>
      <c r="AT59" s="11" t="s">
        <v>588</v>
      </c>
      <c r="AU59" s="7" t="s">
        <v>588</v>
      </c>
      <c r="AV59" s="11" t="s">
        <v>588</v>
      </c>
      <c r="AW59" s="11" t="s">
        <v>588</v>
      </c>
      <c r="AX59" s="11" t="s">
        <v>588</v>
      </c>
      <c r="AY59" s="11" t="s">
        <v>588</v>
      </c>
      <c r="AZ59" s="11" t="s">
        <v>588</v>
      </c>
      <c r="BA59" s="7" t="s">
        <v>588</v>
      </c>
      <c r="BB59" s="11" t="s">
        <v>588</v>
      </c>
      <c r="BC59" s="11" t="s">
        <v>588</v>
      </c>
      <c r="BD59" s="11" t="s">
        <v>588</v>
      </c>
      <c r="BE59" s="11" t="s">
        <v>588</v>
      </c>
      <c r="BF59" s="11" t="s">
        <v>588</v>
      </c>
      <c r="BG59" s="7" t="s">
        <v>588</v>
      </c>
      <c r="BH59" s="11" t="s">
        <v>588</v>
      </c>
      <c r="BI59" s="11" t="s">
        <v>588</v>
      </c>
      <c r="BJ59" s="11" t="s">
        <v>588</v>
      </c>
      <c r="BK59" s="11" t="s">
        <v>588</v>
      </c>
      <c r="BL59" s="11" t="s">
        <v>588</v>
      </c>
      <c r="BM59" s="11" t="s">
        <v>588</v>
      </c>
      <c r="BN59" s="11" t="s">
        <v>588</v>
      </c>
      <c r="BO59" s="11" t="s">
        <v>588</v>
      </c>
      <c r="BP59" s="11" t="s">
        <v>588</v>
      </c>
      <c r="BQ59" s="11" t="s">
        <v>588</v>
      </c>
      <c r="BR59" s="11" t="s">
        <v>588</v>
      </c>
      <c r="BS59" s="11" t="s">
        <v>8</v>
      </c>
      <c r="BT59" s="11" t="s">
        <v>9</v>
      </c>
      <c r="BU59" s="11" t="s">
        <v>9</v>
      </c>
      <c r="BV59" s="13">
        <v>45632</v>
      </c>
      <c r="BW59" s="11" t="s">
        <v>588</v>
      </c>
      <c r="BX59" s="11" t="s">
        <v>588</v>
      </c>
      <c r="BY59" s="11" t="s">
        <v>588</v>
      </c>
      <c r="BZ59" s="11" t="s">
        <v>588</v>
      </c>
      <c r="CA59" s="11" t="s">
        <v>588</v>
      </c>
      <c r="CB59" s="11" t="s">
        <v>588</v>
      </c>
    </row>
    <row r="60" spans="1:80" x14ac:dyDescent="0.25">
      <c r="A60" s="11">
        <v>202425</v>
      </c>
      <c r="B60" s="11" t="s">
        <v>365</v>
      </c>
      <c r="C60" s="11" t="s">
        <v>365</v>
      </c>
      <c r="D60" s="11" t="s">
        <v>366</v>
      </c>
      <c r="E60" s="11" t="s">
        <v>367</v>
      </c>
      <c r="F60" s="11">
        <v>4</v>
      </c>
      <c r="G60" s="11" t="s">
        <v>371</v>
      </c>
      <c r="H60" s="11" t="s">
        <v>2860</v>
      </c>
      <c r="I60" s="13">
        <v>45671</v>
      </c>
      <c r="J60" s="11">
        <v>14</v>
      </c>
      <c r="K60" s="11">
        <v>1</v>
      </c>
      <c r="L60" s="11">
        <v>2025</v>
      </c>
      <c r="M60" s="11" t="s">
        <v>2791</v>
      </c>
      <c r="N60" s="11" t="s">
        <v>12</v>
      </c>
      <c r="O60" s="11" t="s">
        <v>10</v>
      </c>
      <c r="P60" s="11">
        <v>-38.596760000000003</v>
      </c>
      <c r="Q60" s="11">
        <v>145.52488500000001</v>
      </c>
      <c r="R60" s="11" t="s">
        <v>588</v>
      </c>
      <c r="S60" s="11" t="s">
        <v>588</v>
      </c>
      <c r="T60" s="11">
        <v>3</v>
      </c>
      <c r="U60" s="11">
        <v>3</v>
      </c>
      <c r="V60" s="11" t="s">
        <v>588</v>
      </c>
      <c r="W60" s="11" t="s">
        <v>588</v>
      </c>
      <c r="X60" s="11">
        <v>8</v>
      </c>
      <c r="Y60" s="11">
        <v>7</v>
      </c>
      <c r="Z60" s="11" t="s">
        <v>8</v>
      </c>
      <c r="AA60" s="13">
        <v>45695</v>
      </c>
      <c r="AB60" s="11">
        <v>7</v>
      </c>
      <c r="AC60" s="11">
        <v>2</v>
      </c>
      <c r="AD60" s="11">
        <v>2025</v>
      </c>
      <c r="AE60" s="13" t="s">
        <v>2853</v>
      </c>
      <c r="AF60" s="11" t="s">
        <v>588</v>
      </c>
      <c r="AG60" s="11" t="s">
        <v>588</v>
      </c>
      <c r="AH60" s="11" t="s">
        <v>588</v>
      </c>
      <c r="AI60" s="11" t="s">
        <v>588</v>
      </c>
      <c r="AJ60" s="11" t="s">
        <v>588</v>
      </c>
      <c r="AK60" s="13" t="s">
        <v>588</v>
      </c>
      <c r="AL60" s="11" t="s">
        <v>588</v>
      </c>
      <c r="AM60" s="11" t="s">
        <v>588</v>
      </c>
      <c r="AN60" s="11" t="s">
        <v>588</v>
      </c>
      <c r="AO60" s="11" t="s">
        <v>588</v>
      </c>
      <c r="AP60" s="13">
        <v>45705</v>
      </c>
      <c r="AQ60" s="11" t="s">
        <v>21</v>
      </c>
      <c r="AR60" s="11" t="s">
        <v>195</v>
      </c>
      <c r="AS60" s="11">
        <v>3</v>
      </c>
      <c r="AT60" s="11">
        <v>3</v>
      </c>
      <c r="AU60" s="7" t="s">
        <v>588</v>
      </c>
      <c r="AV60" s="11" t="s">
        <v>588</v>
      </c>
      <c r="AW60" s="11" t="s">
        <v>588</v>
      </c>
      <c r="AX60" s="11" t="s">
        <v>588</v>
      </c>
      <c r="AY60" s="11" t="s">
        <v>588</v>
      </c>
      <c r="AZ60" s="11" t="s">
        <v>588</v>
      </c>
      <c r="BA60" s="7" t="s">
        <v>588</v>
      </c>
      <c r="BB60" s="11" t="s">
        <v>588</v>
      </c>
      <c r="BC60" s="11" t="s">
        <v>588</v>
      </c>
      <c r="BD60" s="11" t="s">
        <v>588</v>
      </c>
      <c r="BE60" s="11" t="s">
        <v>588</v>
      </c>
      <c r="BF60" s="11" t="s">
        <v>588</v>
      </c>
      <c r="BG60" s="7" t="s">
        <v>588</v>
      </c>
      <c r="BH60" s="11" t="s">
        <v>588</v>
      </c>
      <c r="BI60" s="11" t="s">
        <v>588</v>
      </c>
      <c r="BJ60" s="11" t="s">
        <v>588</v>
      </c>
      <c r="BK60" s="11" t="s">
        <v>588</v>
      </c>
      <c r="BL60" s="11" t="s">
        <v>588</v>
      </c>
      <c r="BM60" s="11">
        <v>11</v>
      </c>
      <c r="BN60" s="11">
        <v>11</v>
      </c>
      <c r="BO60" s="11" t="s">
        <v>8</v>
      </c>
      <c r="BP60" s="11">
        <v>3</v>
      </c>
      <c r="BQ60" s="13">
        <v>45737</v>
      </c>
      <c r="BR60" s="11" t="s">
        <v>22</v>
      </c>
      <c r="BS60" s="11" t="s">
        <v>8</v>
      </c>
      <c r="BT60" s="11" t="s">
        <v>9</v>
      </c>
      <c r="BU60" s="11" t="s">
        <v>9</v>
      </c>
      <c r="BV60" s="13">
        <v>45671</v>
      </c>
      <c r="BW60" s="11" t="s">
        <v>8</v>
      </c>
      <c r="BX60" s="11" t="s">
        <v>112</v>
      </c>
      <c r="BY60" s="11" t="s">
        <v>112</v>
      </c>
      <c r="BZ60" s="13">
        <v>45702</v>
      </c>
      <c r="CA60" s="11" t="s">
        <v>588</v>
      </c>
      <c r="CB60" s="11" t="s">
        <v>588</v>
      </c>
    </row>
    <row r="61" spans="1:80" x14ac:dyDescent="0.25">
      <c r="A61" s="11">
        <v>202425</v>
      </c>
      <c r="B61" s="11" t="s">
        <v>39</v>
      </c>
      <c r="C61" s="11" t="s">
        <v>39</v>
      </c>
      <c r="D61" s="11" t="s">
        <v>99</v>
      </c>
      <c r="E61" s="11" t="s">
        <v>372</v>
      </c>
      <c r="F61" s="11">
        <v>1</v>
      </c>
      <c r="G61" s="11" t="s">
        <v>373</v>
      </c>
      <c r="H61" s="11" t="s">
        <v>2861</v>
      </c>
      <c r="I61" s="13">
        <v>45628</v>
      </c>
      <c r="J61" s="11">
        <v>2</v>
      </c>
      <c r="K61" s="11">
        <v>12</v>
      </c>
      <c r="L61" s="11">
        <v>2024</v>
      </c>
      <c r="M61" s="11" t="s">
        <v>681</v>
      </c>
      <c r="N61" s="11" t="s">
        <v>7</v>
      </c>
      <c r="O61" s="11" t="s">
        <v>10</v>
      </c>
      <c r="P61" s="11">
        <v>-38.671337000000001</v>
      </c>
      <c r="Q61" s="11">
        <v>145.59765999999999</v>
      </c>
      <c r="R61" s="11" t="s">
        <v>588</v>
      </c>
      <c r="S61" s="11" t="s">
        <v>588</v>
      </c>
      <c r="T61" s="11">
        <v>3</v>
      </c>
      <c r="U61" s="11">
        <v>3</v>
      </c>
      <c r="V61" s="13">
        <v>45633</v>
      </c>
      <c r="W61" s="11" t="s">
        <v>223</v>
      </c>
      <c r="X61" s="11">
        <v>22</v>
      </c>
      <c r="Y61" s="11">
        <v>19</v>
      </c>
      <c r="Z61" s="11" t="s">
        <v>8</v>
      </c>
      <c r="AA61" s="13">
        <v>45659</v>
      </c>
      <c r="AB61" s="11">
        <v>2</v>
      </c>
      <c r="AC61" s="11">
        <v>1</v>
      </c>
      <c r="AD61" s="11">
        <v>2025</v>
      </c>
      <c r="AE61" s="13" t="s">
        <v>2774</v>
      </c>
      <c r="AF61" s="11" t="s">
        <v>588</v>
      </c>
      <c r="AG61" s="11" t="s">
        <v>588</v>
      </c>
      <c r="AH61" s="11" t="s">
        <v>588</v>
      </c>
      <c r="AI61" s="11" t="s">
        <v>588</v>
      </c>
      <c r="AJ61" s="11" t="s">
        <v>588</v>
      </c>
      <c r="AK61" s="13" t="s">
        <v>588</v>
      </c>
      <c r="AL61" s="11" t="s">
        <v>588</v>
      </c>
      <c r="AM61" s="11" t="s">
        <v>588</v>
      </c>
      <c r="AN61" s="11" t="s">
        <v>588</v>
      </c>
      <c r="AO61" s="11" t="s">
        <v>588</v>
      </c>
      <c r="AP61" s="13">
        <v>45660</v>
      </c>
      <c r="AQ61" s="11" t="s">
        <v>12</v>
      </c>
      <c r="AR61" s="11" t="s">
        <v>195</v>
      </c>
      <c r="AS61" s="11">
        <v>2</v>
      </c>
      <c r="AT61" s="11">
        <v>2</v>
      </c>
      <c r="AU61" s="7">
        <v>45662</v>
      </c>
      <c r="AV61" s="13">
        <v>45666</v>
      </c>
      <c r="AW61" s="11" t="s">
        <v>12</v>
      </c>
      <c r="AX61" s="11" t="s">
        <v>20</v>
      </c>
      <c r="AY61" s="11" t="s">
        <v>588</v>
      </c>
      <c r="AZ61" s="11" t="s">
        <v>20</v>
      </c>
      <c r="BA61" s="7" t="s">
        <v>588</v>
      </c>
      <c r="BB61" s="11" t="s">
        <v>588</v>
      </c>
      <c r="BC61" s="11" t="s">
        <v>588</v>
      </c>
      <c r="BD61" s="11" t="s">
        <v>588</v>
      </c>
      <c r="BE61" s="11" t="s">
        <v>588</v>
      </c>
      <c r="BF61" s="11" t="s">
        <v>588</v>
      </c>
      <c r="BG61" s="7" t="s">
        <v>588</v>
      </c>
      <c r="BH61" s="11" t="s">
        <v>588</v>
      </c>
      <c r="BI61" s="11" t="s">
        <v>588</v>
      </c>
      <c r="BJ61" s="11" t="s">
        <v>588</v>
      </c>
      <c r="BK61" s="11" t="s">
        <v>588</v>
      </c>
      <c r="BL61" s="11" t="s">
        <v>588</v>
      </c>
      <c r="BM61" s="11">
        <v>20</v>
      </c>
      <c r="BN61" s="11">
        <v>14</v>
      </c>
      <c r="BO61" s="11" t="s">
        <v>8</v>
      </c>
      <c r="BP61" s="11">
        <v>1</v>
      </c>
      <c r="BQ61" s="13">
        <v>45694</v>
      </c>
      <c r="BR61" s="11" t="s">
        <v>21</v>
      </c>
      <c r="BS61" s="11" t="s">
        <v>8</v>
      </c>
      <c r="BT61" s="11" t="s">
        <v>112</v>
      </c>
      <c r="BU61" s="11" t="s">
        <v>112</v>
      </c>
      <c r="BV61" s="13">
        <v>45629</v>
      </c>
      <c r="BW61" s="11" t="s">
        <v>8</v>
      </c>
      <c r="BX61" s="11" t="s">
        <v>113</v>
      </c>
      <c r="BY61" s="11" t="s">
        <v>113</v>
      </c>
      <c r="BZ61" s="13">
        <v>45660</v>
      </c>
      <c r="CA61" s="11" t="s">
        <v>374</v>
      </c>
      <c r="CB61" s="11" t="s">
        <v>588</v>
      </c>
    </row>
    <row r="62" spans="1:80" x14ac:dyDescent="0.25">
      <c r="A62" s="11">
        <v>202425</v>
      </c>
      <c r="B62" s="11" t="s">
        <v>43</v>
      </c>
      <c r="C62" s="11" t="s">
        <v>43</v>
      </c>
      <c r="D62" s="11" t="s">
        <v>53</v>
      </c>
      <c r="E62" s="11" t="s">
        <v>108</v>
      </c>
      <c r="F62" s="11">
        <v>1</v>
      </c>
      <c r="G62" s="11" t="s">
        <v>375</v>
      </c>
      <c r="H62" s="11" t="s">
        <v>2862</v>
      </c>
      <c r="I62" s="13">
        <v>45643</v>
      </c>
      <c r="J62" s="11">
        <v>17</v>
      </c>
      <c r="K62" s="11">
        <v>12</v>
      </c>
      <c r="L62" s="11">
        <v>2024</v>
      </c>
      <c r="M62" s="11" t="s">
        <v>2831</v>
      </c>
      <c r="N62" s="11" t="s">
        <v>7</v>
      </c>
      <c r="O62" s="11" t="s">
        <v>10</v>
      </c>
      <c r="P62" s="11">
        <v>-38.668489999999998</v>
      </c>
      <c r="Q62" s="11">
        <v>145.59057000000001</v>
      </c>
      <c r="R62" s="11" t="s">
        <v>588</v>
      </c>
      <c r="S62" s="11" t="s">
        <v>588</v>
      </c>
      <c r="T62" s="11">
        <v>1</v>
      </c>
      <c r="U62" s="11">
        <v>2</v>
      </c>
      <c r="V62" s="11" t="s">
        <v>588</v>
      </c>
      <c r="W62" s="11" t="s">
        <v>588</v>
      </c>
      <c r="X62" s="11">
        <v>2</v>
      </c>
      <c r="Y62" s="11">
        <v>2</v>
      </c>
      <c r="Z62" s="11" t="s">
        <v>41</v>
      </c>
      <c r="AA62" s="13">
        <v>45643</v>
      </c>
      <c r="AB62" s="11">
        <v>17</v>
      </c>
      <c r="AC62" s="11">
        <v>12</v>
      </c>
      <c r="AD62" s="11">
        <v>2024</v>
      </c>
      <c r="AE62" s="13" t="s">
        <v>2831</v>
      </c>
      <c r="AF62" s="11" t="s">
        <v>7</v>
      </c>
      <c r="AG62" s="13">
        <v>45645</v>
      </c>
      <c r="AH62" s="11">
        <v>19</v>
      </c>
      <c r="AI62" s="11">
        <v>12</v>
      </c>
      <c r="AJ62" s="11">
        <v>2024</v>
      </c>
      <c r="AK62" s="13" t="s">
        <v>2761</v>
      </c>
      <c r="AL62" s="11" t="s">
        <v>7</v>
      </c>
      <c r="AM62" s="11" t="s">
        <v>20</v>
      </c>
      <c r="AN62" s="11" t="s">
        <v>588</v>
      </c>
      <c r="AO62" s="11" t="s">
        <v>11</v>
      </c>
      <c r="AP62" s="11" t="s">
        <v>588</v>
      </c>
      <c r="AQ62" s="11" t="s">
        <v>588</v>
      </c>
      <c r="AR62" s="11" t="s">
        <v>588</v>
      </c>
      <c r="AS62" s="11" t="s">
        <v>588</v>
      </c>
      <c r="AT62" s="11" t="s">
        <v>588</v>
      </c>
      <c r="AU62" s="7" t="s">
        <v>588</v>
      </c>
      <c r="AV62" s="11" t="s">
        <v>588</v>
      </c>
      <c r="AW62" s="11" t="s">
        <v>588</v>
      </c>
      <c r="AX62" s="11" t="s">
        <v>588</v>
      </c>
      <c r="AY62" s="11" t="s">
        <v>588</v>
      </c>
      <c r="AZ62" s="11" t="s">
        <v>588</v>
      </c>
      <c r="BA62" s="7" t="s">
        <v>588</v>
      </c>
      <c r="BB62" s="11" t="s">
        <v>588</v>
      </c>
      <c r="BC62" s="11" t="s">
        <v>588</v>
      </c>
      <c r="BD62" s="11" t="s">
        <v>588</v>
      </c>
      <c r="BE62" s="11" t="s">
        <v>588</v>
      </c>
      <c r="BF62" s="11" t="s">
        <v>588</v>
      </c>
      <c r="BG62" s="7" t="s">
        <v>588</v>
      </c>
      <c r="BH62" s="11" t="s">
        <v>588</v>
      </c>
      <c r="BI62" s="11" t="s">
        <v>588</v>
      </c>
      <c r="BJ62" s="11" t="s">
        <v>588</v>
      </c>
      <c r="BK62" s="11" t="s">
        <v>588</v>
      </c>
      <c r="BL62" s="11" t="s">
        <v>588</v>
      </c>
      <c r="BM62" s="11" t="s">
        <v>588</v>
      </c>
      <c r="BN62" s="11" t="s">
        <v>588</v>
      </c>
      <c r="BO62" s="11" t="s">
        <v>588</v>
      </c>
      <c r="BP62" s="11" t="s">
        <v>588</v>
      </c>
      <c r="BQ62" s="11" t="s">
        <v>588</v>
      </c>
      <c r="BR62" s="11" t="s">
        <v>588</v>
      </c>
      <c r="BS62" s="11" t="s">
        <v>41</v>
      </c>
      <c r="BT62" s="11" t="s">
        <v>42</v>
      </c>
      <c r="BU62" s="11" t="s">
        <v>42</v>
      </c>
      <c r="BV62" s="11" t="s">
        <v>588</v>
      </c>
      <c r="BW62" s="11" t="s">
        <v>588</v>
      </c>
      <c r="BX62" s="11" t="s">
        <v>588</v>
      </c>
      <c r="BY62" s="11" t="s">
        <v>588</v>
      </c>
      <c r="BZ62" s="11" t="s">
        <v>588</v>
      </c>
      <c r="CA62" s="11" t="s">
        <v>588</v>
      </c>
      <c r="CB62" s="11" t="s">
        <v>588</v>
      </c>
    </row>
    <row r="63" spans="1:80" x14ac:dyDescent="0.25">
      <c r="A63" s="11">
        <v>202425</v>
      </c>
      <c r="B63" s="11" t="s">
        <v>43</v>
      </c>
      <c r="C63" s="11" t="s">
        <v>43</v>
      </c>
      <c r="D63" s="11" t="s">
        <v>53</v>
      </c>
      <c r="E63" s="11" t="s">
        <v>108</v>
      </c>
      <c r="F63" s="11">
        <v>2</v>
      </c>
      <c r="G63" s="11" t="s">
        <v>376</v>
      </c>
      <c r="H63" s="11" t="s">
        <v>2863</v>
      </c>
      <c r="I63" s="13">
        <v>45661</v>
      </c>
      <c r="J63" s="11">
        <v>4</v>
      </c>
      <c r="K63" s="11">
        <v>1</v>
      </c>
      <c r="L63" s="11">
        <v>2025</v>
      </c>
      <c r="M63" s="11" t="s">
        <v>2729</v>
      </c>
      <c r="N63" s="11" t="s">
        <v>12</v>
      </c>
      <c r="O63" s="11" t="s">
        <v>10</v>
      </c>
      <c r="P63" s="11">
        <v>-38.668171999999998</v>
      </c>
      <c r="Q63" s="11">
        <v>145.58929599999999</v>
      </c>
      <c r="R63" s="11" t="s">
        <v>588</v>
      </c>
      <c r="S63" s="11" t="s">
        <v>588</v>
      </c>
      <c r="T63" s="11">
        <v>2</v>
      </c>
      <c r="U63" s="11">
        <v>2</v>
      </c>
      <c r="V63" s="11" t="s">
        <v>588</v>
      </c>
      <c r="W63" s="11" t="s">
        <v>588</v>
      </c>
      <c r="X63" s="11">
        <v>9</v>
      </c>
      <c r="Y63" s="11">
        <v>8</v>
      </c>
      <c r="Z63" s="11" t="s">
        <v>8</v>
      </c>
      <c r="AA63" s="13">
        <v>45681</v>
      </c>
      <c r="AB63" s="11">
        <v>24</v>
      </c>
      <c r="AC63" s="11">
        <v>1</v>
      </c>
      <c r="AD63" s="11">
        <v>2025</v>
      </c>
      <c r="AE63" s="13" t="s">
        <v>2749</v>
      </c>
      <c r="AF63" s="11" t="s">
        <v>588</v>
      </c>
      <c r="AG63" s="11" t="s">
        <v>588</v>
      </c>
      <c r="AH63" s="11" t="s">
        <v>588</v>
      </c>
      <c r="AI63" s="11" t="s">
        <v>588</v>
      </c>
      <c r="AJ63" s="11" t="s">
        <v>588</v>
      </c>
      <c r="AK63" s="13" t="s">
        <v>588</v>
      </c>
      <c r="AL63" s="11" t="s">
        <v>588</v>
      </c>
      <c r="AM63" s="11" t="s">
        <v>588</v>
      </c>
      <c r="AN63" s="11" t="s">
        <v>588</v>
      </c>
      <c r="AO63" s="11" t="s">
        <v>588</v>
      </c>
      <c r="AP63" s="13">
        <v>45686</v>
      </c>
      <c r="AQ63" s="11" t="s">
        <v>12</v>
      </c>
      <c r="AR63" s="11" t="s">
        <v>195</v>
      </c>
      <c r="AS63" s="11">
        <v>1</v>
      </c>
      <c r="AT63" s="11">
        <v>2</v>
      </c>
      <c r="AU63" s="7">
        <v>45686</v>
      </c>
      <c r="AV63" s="13">
        <v>45692</v>
      </c>
      <c r="AW63" s="11" t="s">
        <v>21</v>
      </c>
      <c r="AX63" s="11" t="s">
        <v>20</v>
      </c>
      <c r="AY63" s="11" t="s">
        <v>588</v>
      </c>
      <c r="AZ63" s="11" t="s">
        <v>32</v>
      </c>
      <c r="BA63" s="7" t="s">
        <v>588</v>
      </c>
      <c r="BB63" s="11" t="s">
        <v>588</v>
      </c>
      <c r="BC63" s="11" t="s">
        <v>588</v>
      </c>
      <c r="BD63" s="11" t="s">
        <v>588</v>
      </c>
      <c r="BE63" s="11" t="s">
        <v>588</v>
      </c>
      <c r="BF63" s="11" t="s">
        <v>588</v>
      </c>
      <c r="BG63" s="7" t="s">
        <v>588</v>
      </c>
      <c r="BH63" s="11" t="s">
        <v>588</v>
      </c>
      <c r="BI63" s="11" t="s">
        <v>588</v>
      </c>
      <c r="BJ63" s="11" t="s">
        <v>588</v>
      </c>
      <c r="BK63" s="11" t="s">
        <v>588</v>
      </c>
      <c r="BL63" s="11" t="s">
        <v>588</v>
      </c>
      <c r="BM63" s="11">
        <v>3</v>
      </c>
      <c r="BN63" s="11">
        <v>3</v>
      </c>
      <c r="BO63" s="11" t="s">
        <v>41</v>
      </c>
      <c r="BP63" s="11" t="s">
        <v>588</v>
      </c>
      <c r="BQ63" s="11" t="s">
        <v>588</v>
      </c>
      <c r="BR63" s="11" t="s">
        <v>588</v>
      </c>
      <c r="BS63" s="11" t="s">
        <v>8</v>
      </c>
      <c r="BT63" s="11" t="s">
        <v>112</v>
      </c>
      <c r="BU63" s="11" t="s">
        <v>112</v>
      </c>
      <c r="BV63" s="13">
        <v>45662</v>
      </c>
      <c r="BW63" s="11" t="s">
        <v>8</v>
      </c>
      <c r="BX63" s="11" t="s">
        <v>229</v>
      </c>
      <c r="BY63" s="11" t="s">
        <v>229</v>
      </c>
      <c r="BZ63" s="13">
        <v>45686</v>
      </c>
      <c r="CA63" s="11" t="s">
        <v>588</v>
      </c>
      <c r="CB63" s="11" t="s">
        <v>588</v>
      </c>
    </row>
    <row r="64" spans="1:80" x14ac:dyDescent="0.25">
      <c r="A64" s="11">
        <v>202425</v>
      </c>
      <c r="B64" s="11" t="s">
        <v>332</v>
      </c>
      <c r="C64" s="11" t="s">
        <v>56</v>
      </c>
      <c r="D64" s="11" t="s">
        <v>333</v>
      </c>
      <c r="E64" s="11" t="s">
        <v>16</v>
      </c>
      <c r="F64" s="11">
        <v>1</v>
      </c>
      <c r="G64" s="11" t="s">
        <v>334</v>
      </c>
      <c r="H64" s="11" t="s">
        <v>2864</v>
      </c>
      <c r="I64" s="13">
        <v>45622</v>
      </c>
      <c r="J64" s="11">
        <v>26</v>
      </c>
      <c r="K64" s="11">
        <v>11</v>
      </c>
      <c r="L64" s="11">
        <v>2024</v>
      </c>
      <c r="M64" s="11" t="s">
        <v>2746</v>
      </c>
      <c r="N64" s="11" t="s">
        <v>17</v>
      </c>
      <c r="O64" s="11" t="s">
        <v>10</v>
      </c>
      <c r="P64" s="11">
        <v>-38.658499999999997</v>
      </c>
      <c r="Q64" s="11">
        <v>145.57939999999999</v>
      </c>
      <c r="R64" s="11" t="s">
        <v>588</v>
      </c>
      <c r="S64" s="11" t="s">
        <v>588</v>
      </c>
      <c r="T64" s="11">
        <v>1</v>
      </c>
      <c r="U64" s="11">
        <v>3</v>
      </c>
      <c r="V64" s="11" t="s">
        <v>588</v>
      </c>
      <c r="W64" s="11" t="s">
        <v>588</v>
      </c>
      <c r="X64" s="11">
        <v>2</v>
      </c>
      <c r="Y64" s="11">
        <v>2</v>
      </c>
      <c r="Z64" s="11" t="s">
        <v>41</v>
      </c>
      <c r="AA64" s="13">
        <v>45622</v>
      </c>
      <c r="AB64" s="11">
        <v>26</v>
      </c>
      <c r="AC64" s="11">
        <v>11</v>
      </c>
      <c r="AD64" s="11">
        <v>2024</v>
      </c>
      <c r="AE64" s="13" t="s">
        <v>2746</v>
      </c>
      <c r="AF64" s="11" t="s">
        <v>17</v>
      </c>
      <c r="AG64" s="13">
        <v>45629</v>
      </c>
      <c r="AH64" s="11">
        <v>3</v>
      </c>
      <c r="AI64" s="11">
        <v>12</v>
      </c>
      <c r="AJ64" s="11">
        <v>2024</v>
      </c>
      <c r="AK64" s="13" t="s">
        <v>2757</v>
      </c>
      <c r="AL64" s="11" t="s">
        <v>7</v>
      </c>
      <c r="AM64" s="11" t="s">
        <v>20</v>
      </c>
      <c r="AN64" s="11" t="s">
        <v>588</v>
      </c>
      <c r="AO64" s="11" t="s">
        <v>20</v>
      </c>
      <c r="AP64" s="13" t="s">
        <v>588</v>
      </c>
      <c r="AQ64" s="11" t="s">
        <v>588</v>
      </c>
      <c r="AR64" s="11" t="s">
        <v>588</v>
      </c>
      <c r="AS64" s="11" t="s">
        <v>588</v>
      </c>
      <c r="AT64" s="11" t="s">
        <v>588</v>
      </c>
      <c r="AU64" s="7" t="s">
        <v>588</v>
      </c>
      <c r="AV64" s="11" t="s">
        <v>588</v>
      </c>
      <c r="AW64" s="11" t="s">
        <v>588</v>
      </c>
      <c r="AX64" s="11" t="s">
        <v>588</v>
      </c>
      <c r="AY64" s="11" t="s">
        <v>588</v>
      </c>
      <c r="AZ64" s="11" t="s">
        <v>588</v>
      </c>
      <c r="BA64" s="7" t="s">
        <v>588</v>
      </c>
      <c r="BB64" s="11" t="s">
        <v>588</v>
      </c>
      <c r="BC64" s="11" t="s">
        <v>588</v>
      </c>
      <c r="BD64" s="11" t="s">
        <v>588</v>
      </c>
      <c r="BE64" s="11" t="s">
        <v>588</v>
      </c>
      <c r="BF64" s="11" t="s">
        <v>588</v>
      </c>
      <c r="BG64" s="7" t="s">
        <v>588</v>
      </c>
      <c r="BH64" s="11" t="s">
        <v>588</v>
      </c>
      <c r="BI64" s="11" t="s">
        <v>588</v>
      </c>
      <c r="BJ64" s="11" t="s">
        <v>588</v>
      </c>
      <c r="BK64" s="11" t="s">
        <v>588</v>
      </c>
      <c r="BL64" s="11" t="s">
        <v>588</v>
      </c>
      <c r="BM64" s="11" t="s">
        <v>588</v>
      </c>
      <c r="BN64" s="11" t="s">
        <v>588</v>
      </c>
      <c r="BO64" s="11" t="s">
        <v>588</v>
      </c>
      <c r="BP64" s="11" t="s">
        <v>588</v>
      </c>
      <c r="BQ64" s="11" t="s">
        <v>588</v>
      </c>
      <c r="BR64" s="11" t="s">
        <v>588</v>
      </c>
      <c r="BS64" s="11" t="s">
        <v>8</v>
      </c>
      <c r="BT64" s="11" t="s">
        <v>9</v>
      </c>
      <c r="BU64" s="11" t="s">
        <v>9</v>
      </c>
      <c r="BV64" s="13">
        <v>45622</v>
      </c>
      <c r="BW64" s="11" t="s">
        <v>588</v>
      </c>
      <c r="BX64" s="11" t="s">
        <v>588</v>
      </c>
      <c r="BY64" s="11" t="s">
        <v>588</v>
      </c>
      <c r="BZ64" s="13" t="s">
        <v>588</v>
      </c>
      <c r="CA64" s="11" t="s">
        <v>315</v>
      </c>
      <c r="CB64" s="11" t="s">
        <v>588</v>
      </c>
    </row>
    <row r="65" spans="1:80" x14ac:dyDescent="0.25">
      <c r="A65" s="11">
        <v>202425</v>
      </c>
      <c r="B65" s="11" t="s">
        <v>335</v>
      </c>
      <c r="C65" s="11" t="s">
        <v>37</v>
      </c>
      <c r="D65" s="11" t="s">
        <v>333</v>
      </c>
      <c r="E65" s="11" t="s">
        <v>16</v>
      </c>
      <c r="F65" s="11">
        <v>2</v>
      </c>
      <c r="G65" s="11" t="s">
        <v>336</v>
      </c>
      <c r="H65" s="11" t="s">
        <v>2865</v>
      </c>
      <c r="I65" s="13">
        <v>45639</v>
      </c>
      <c r="J65" s="11">
        <v>13</v>
      </c>
      <c r="K65" s="11">
        <v>12</v>
      </c>
      <c r="L65" s="11">
        <v>2024</v>
      </c>
      <c r="M65" s="11" t="s">
        <v>2759</v>
      </c>
      <c r="N65" s="11" t="s">
        <v>7</v>
      </c>
      <c r="O65" s="11" t="s">
        <v>19</v>
      </c>
      <c r="P65" s="11" t="s">
        <v>588</v>
      </c>
      <c r="Q65" s="11" t="s">
        <v>588</v>
      </c>
      <c r="R65" s="11">
        <v>-38.656638999999998</v>
      </c>
      <c r="S65" s="11">
        <v>145.574905</v>
      </c>
      <c r="T65" s="11">
        <v>3</v>
      </c>
      <c r="U65" s="11">
        <v>3</v>
      </c>
      <c r="V65" s="11" t="s">
        <v>588</v>
      </c>
      <c r="W65" s="11" t="s">
        <v>588</v>
      </c>
      <c r="X65" s="11">
        <v>6</v>
      </c>
      <c r="Y65" s="11">
        <v>5</v>
      </c>
      <c r="Z65" s="11" t="s">
        <v>41</v>
      </c>
      <c r="AA65" s="13">
        <v>45648</v>
      </c>
      <c r="AB65" s="11">
        <v>22</v>
      </c>
      <c r="AC65" s="11">
        <v>12</v>
      </c>
      <c r="AD65" s="11">
        <v>2024</v>
      </c>
      <c r="AE65" s="13" t="s">
        <v>2762</v>
      </c>
      <c r="AF65" s="11" t="s">
        <v>7</v>
      </c>
      <c r="AG65" s="13">
        <v>45654</v>
      </c>
      <c r="AH65" s="11">
        <v>28</v>
      </c>
      <c r="AI65" s="11">
        <v>12</v>
      </c>
      <c r="AJ65" s="11">
        <v>2024</v>
      </c>
      <c r="AK65" s="13" t="s">
        <v>2763</v>
      </c>
      <c r="AL65" s="11" t="s">
        <v>7</v>
      </c>
      <c r="AM65" s="11" t="s">
        <v>20</v>
      </c>
      <c r="AN65" s="11" t="s">
        <v>588</v>
      </c>
      <c r="AO65" s="11" t="s">
        <v>20</v>
      </c>
      <c r="AP65" s="11" t="s">
        <v>588</v>
      </c>
      <c r="AQ65" s="11" t="s">
        <v>588</v>
      </c>
      <c r="AR65" s="11" t="s">
        <v>588</v>
      </c>
      <c r="AS65" s="11" t="s">
        <v>588</v>
      </c>
      <c r="AT65" s="11" t="s">
        <v>588</v>
      </c>
      <c r="AU65" s="7" t="s">
        <v>588</v>
      </c>
      <c r="AV65" s="11" t="s">
        <v>588</v>
      </c>
      <c r="AW65" s="11" t="s">
        <v>588</v>
      </c>
      <c r="AX65" s="11" t="s">
        <v>588</v>
      </c>
      <c r="AY65" s="11" t="s">
        <v>588</v>
      </c>
      <c r="AZ65" s="11" t="s">
        <v>588</v>
      </c>
      <c r="BA65" s="7" t="s">
        <v>588</v>
      </c>
      <c r="BB65" s="11" t="s">
        <v>588</v>
      </c>
      <c r="BC65" s="11" t="s">
        <v>588</v>
      </c>
      <c r="BD65" s="11" t="s">
        <v>588</v>
      </c>
      <c r="BE65" s="11" t="s">
        <v>588</v>
      </c>
      <c r="BF65" s="11" t="s">
        <v>588</v>
      </c>
      <c r="BG65" s="7" t="s">
        <v>588</v>
      </c>
      <c r="BH65" s="11" t="s">
        <v>588</v>
      </c>
      <c r="BI65" s="11" t="s">
        <v>588</v>
      </c>
      <c r="BJ65" s="11" t="s">
        <v>588</v>
      </c>
      <c r="BK65" s="11" t="s">
        <v>588</v>
      </c>
      <c r="BL65" s="11" t="s">
        <v>588</v>
      </c>
      <c r="BM65" s="11" t="s">
        <v>588</v>
      </c>
      <c r="BN65" s="11" t="s">
        <v>588</v>
      </c>
      <c r="BO65" s="11" t="s">
        <v>588</v>
      </c>
      <c r="BP65" s="11" t="s">
        <v>588</v>
      </c>
      <c r="BQ65" s="11" t="s">
        <v>588</v>
      </c>
      <c r="BR65" s="11" t="s">
        <v>588</v>
      </c>
      <c r="BS65" s="11" t="s">
        <v>8</v>
      </c>
      <c r="BT65" s="11" t="s">
        <v>337</v>
      </c>
      <c r="BU65" s="11" t="s">
        <v>337</v>
      </c>
      <c r="BV65" s="13">
        <v>45639</v>
      </c>
      <c r="BW65" s="11" t="s">
        <v>588</v>
      </c>
      <c r="BX65" s="11" t="s">
        <v>588</v>
      </c>
      <c r="BY65" s="11" t="s">
        <v>588</v>
      </c>
      <c r="BZ65" s="11" t="s">
        <v>588</v>
      </c>
      <c r="CA65" s="11" t="s">
        <v>315</v>
      </c>
      <c r="CB65" s="11" t="s">
        <v>588</v>
      </c>
    </row>
    <row r="66" spans="1:80" x14ac:dyDescent="0.25">
      <c r="A66" s="11">
        <v>202425</v>
      </c>
      <c r="B66" s="11" t="s">
        <v>335</v>
      </c>
      <c r="C66" s="11" t="s">
        <v>37</v>
      </c>
      <c r="D66" s="11" t="s">
        <v>333</v>
      </c>
      <c r="E66" s="11" t="s">
        <v>16</v>
      </c>
      <c r="F66" s="11">
        <v>3</v>
      </c>
      <c r="G66" s="11" t="s">
        <v>338</v>
      </c>
      <c r="H66" s="11" t="s">
        <v>2866</v>
      </c>
      <c r="I66" s="13">
        <v>45662</v>
      </c>
      <c r="J66" s="11">
        <v>5</v>
      </c>
      <c r="K66" s="11">
        <v>1</v>
      </c>
      <c r="L66" s="11">
        <v>2025</v>
      </c>
      <c r="M66" s="11" t="s">
        <v>2769</v>
      </c>
      <c r="N66" s="11" t="s">
        <v>12</v>
      </c>
      <c r="O66" s="11" t="s">
        <v>10</v>
      </c>
      <c r="P66" s="11" t="s">
        <v>588</v>
      </c>
      <c r="Q66" s="11" t="s">
        <v>588</v>
      </c>
      <c r="R66" s="11">
        <v>-38.656638999999998</v>
      </c>
      <c r="S66" s="11">
        <v>145.574905</v>
      </c>
      <c r="T66" s="11">
        <v>2</v>
      </c>
      <c r="U66" s="11">
        <v>2</v>
      </c>
      <c r="V66" s="11" t="s">
        <v>588</v>
      </c>
      <c r="W66" s="11" t="s">
        <v>588</v>
      </c>
      <c r="X66" s="11">
        <v>7</v>
      </c>
      <c r="Y66" s="11">
        <v>6</v>
      </c>
      <c r="Z66" s="11" t="s">
        <v>41</v>
      </c>
      <c r="AA66" s="13">
        <v>45669</v>
      </c>
      <c r="AB66" s="11">
        <v>12</v>
      </c>
      <c r="AC66" s="11">
        <v>1</v>
      </c>
      <c r="AD66" s="11">
        <v>2025</v>
      </c>
      <c r="AE66" s="13" t="s">
        <v>2766</v>
      </c>
      <c r="AF66" s="11" t="s">
        <v>12</v>
      </c>
      <c r="AG66" s="13">
        <v>45673</v>
      </c>
      <c r="AH66" s="11">
        <v>16</v>
      </c>
      <c r="AI66" s="11">
        <v>1</v>
      </c>
      <c r="AJ66" s="11">
        <v>2025</v>
      </c>
      <c r="AK66" s="13" t="s">
        <v>2867</v>
      </c>
      <c r="AL66" s="11" t="s">
        <v>12</v>
      </c>
      <c r="AM66" s="11" t="s">
        <v>20</v>
      </c>
      <c r="AN66" s="11" t="s">
        <v>588</v>
      </c>
      <c r="AO66" s="11" t="s">
        <v>11</v>
      </c>
      <c r="AP66" s="11" t="s">
        <v>588</v>
      </c>
      <c r="AQ66" s="11" t="s">
        <v>588</v>
      </c>
      <c r="AR66" s="11" t="s">
        <v>588</v>
      </c>
      <c r="AS66" s="11" t="s">
        <v>588</v>
      </c>
      <c r="AT66" s="11" t="s">
        <v>588</v>
      </c>
      <c r="AU66" s="7" t="s">
        <v>588</v>
      </c>
      <c r="AV66" s="11" t="s">
        <v>588</v>
      </c>
      <c r="AW66" s="11" t="s">
        <v>588</v>
      </c>
      <c r="AX66" s="11" t="s">
        <v>588</v>
      </c>
      <c r="AY66" s="11" t="s">
        <v>588</v>
      </c>
      <c r="AZ66" s="11" t="s">
        <v>588</v>
      </c>
      <c r="BA66" s="7" t="s">
        <v>588</v>
      </c>
      <c r="BB66" s="11" t="s">
        <v>588</v>
      </c>
      <c r="BC66" s="11" t="s">
        <v>588</v>
      </c>
      <c r="BD66" s="11" t="s">
        <v>588</v>
      </c>
      <c r="BE66" s="11" t="s">
        <v>588</v>
      </c>
      <c r="BF66" s="11" t="s">
        <v>588</v>
      </c>
      <c r="BG66" s="7" t="s">
        <v>588</v>
      </c>
      <c r="BH66" s="11" t="s">
        <v>588</v>
      </c>
      <c r="BI66" s="11" t="s">
        <v>588</v>
      </c>
      <c r="BJ66" s="11" t="s">
        <v>588</v>
      </c>
      <c r="BK66" s="11" t="s">
        <v>588</v>
      </c>
      <c r="BL66" s="11" t="s">
        <v>588</v>
      </c>
      <c r="BM66" s="11" t="s">
        <v>588</v>
      </c>
      <c r="BN66" s="11" t="s">
        <v>588</v>
      </c>
      <c r="BO66" s="11" t="s">
        <v>588</v>
      </c>
      <c r="BP66" s="11" t="s">
        <v>588</v>
      </c>
      <c r="BQ66" s="11" t="s">
        <v>588</v>
      </c>
      <c r="BR66" s="11" t="s">
        <v>588</v>
      </c>
      <c r="BS66" s="11" t="s">
        <v>8</v>
      </c>
      <c r="BT66" s="11" t="s">
        <v>337</v>
      </c>
      <c r="BU66" s="11" t="s">
        <v>337</v>
      </c>
      <c r="BV66" s="13">
        <v>45662</v>
      </c>
      <c r="BW66" s="11" t="s">
        <v>588</v>
      </c>
      <c r="BX66" s="11" t="s">
        <v>588</v>
      </c>
      <c r="BY66" s="11" t="s">
        <v>588</v>
      </c>
      <c r="BZ66" s="11" t="s">
        <v>588</v>
      </c>
      <c r="CA66" s="11" t="s">
        <v>315</v>
      </c>
      <c r="CB66" s="11" t="s">
        <v>588</v>
      </c>
    </row>
    <row r="67" spans="1:80" x14ac:dyDescent="0.25">
      <c r="A67" s="11">
        <v>202425</v>
      </c>
      <c r="B67" s="11" t="s">
        <v>332</v>
      </c>
      <c r="C67" s="11" t="s">
        <v>56</v>
      </c>
      <c r="D67" s="11" t="s">
        <v>333</v>
      </c>
      <c r="E67" s="11" t="s">
        <v>16</v>
      </c>
      <c r="F67" s="11">
        <v>4</v>
      </c>
      <c r="G67" s="11" t="s">
        <v>339</v>
      </c>
      <c r="H67" s="11" t="s">
        <v>2868</v>
      </c>
      <c r="I67" s="13">
        <v>45680</v>
      </c>
      <c r="J67" s="11">
        <v>23</v>
      </c>
      <c r="K67" s="11">
        <v>1</v>
      </c>
      <c r="L67" s="11">
        <v>2025</v>
      </c>
      <c r="M67" s="11" t="s">
        <v>2847</v>
      </c>
      <c r="N67" s="11" t="s">
        <v>12</v>
      </c>
      <c r="O67" s="11" t="s">
        <v>36</v>
      </c>
      <c r="P67" s="11" t="s">
        <v>588</v>
      </c>
      <c r="Q67" s="11" t="s">
        <v>588</v>
      </c>
      <c r="R67" s="11">
        <v>-38.658355</v>
      </c>
      <c r="S67" s="11">
        <v>145.57945699999999</v>
      </c>
      <c r="T67" s="11">
        <v>3</v>
      </c>
      <c r="U67" s="11">
        <v>3</v>
      </c>
      <c r="V67" s="11" t="s">
        <v>588</v>
      </c>
      <c r="W67" s="11" t="s">
        <v>588</v>
      </c>
      <c r="X67" s="11">
        <v>4</v>
      </c>
      <c r="Y67" s="11">
        <v>4</v>
      </c>
      <c r="Z67" s="11" t="s">
        <v>41</v>
      </c>
      <c r="AA67" s="13">
        <v>45686</v>
      </c>
      <c r="AB67" s="11">
        <v>29</v>
      </c>
      <c r="AC67" s="11">
        <v>1</v>
      </c>
      <c r="AD67" s="11">
        <v>2025</v>
      </c>
      <c r="AE67" s="13" t="s">
        <v>2792</v>
      </c>
      <c r="AF67" s="11" t="s">
        <v>12</v>
      </c>
      <c r="AG67" s="13">
        <v>45689</v>
      </c>
      <c r="AH67" s="11">
        <v>1</v>
      </c>
      <c r="AI67" s="11">
        <v>2</v>
      </c>
      <c r="AJ67" s="11">
        <v>2025</v>
      </c>
      <c r="AK67" s="13" t="s">
        <v>2869</v>
      </c>
      <c r="AL67" s="11" t="s">
        <v>21</v>
      </c>
      <c r="AM67" s="11" t="s">
        <v>20</v>
      </c>
      <c r="AN67" s="11" t="s">
        <v>588</v>
      </c>
      <c r="AO67" s="11" t="s">
        <v>20</v>
      </c>
      <c r="AP67" s="11" t="s">
        <v>588</v>
      </c>
      <c r="AQ67" s="11" t="s">
        <v>588</v>
      </c>
      <c r="AR67" s="11" t="s">
        <v>588</v>
      </c>
      <c r="AS67" s="11" t="s">
        <v>588</v>
      </c>
      <c r="AT67" s="11" t="s">
        <v>588</v>
      </c>
      <c r="AU67" s="7" t="s">
        <v>588</v>
      </c>
      <c r="AV67" s="11" t="s">
        <v>588</v>
      </c>
      <c r="AW67" s="11" t="s">
        <v>588</v>
      </c>
      <c r="AX67" s="11" t="s">
        <v>588</v>
      </c>
      <c r="AY67" s="11" t="s">
        <v>588</v>
      </c>
      <c r="AZ67" s="11" t="s">
        <v>588</v>
      </c>
      <c r="BA67" s="7" t="s">
        <v>588</v>
      </c>
      <c r="BB67" s="11" t="s">
        <v>588</v>
      </c>
      <c r="BC67" s="11" t="s">
        <v>588</v>
      </c>
      <c r="BD67" s="11" t="s">
        <v>588</v>
      </c>
      <c r="BE67" s="11" t="s">
        <v>588</v>
      </c>
      <c r="BF67" s="11" t="s">
        <v>588</v>
      </c>
      <c r="BG67" s="7" t="s">
        <v>588</v>
      </c>
      <c r="BH67" s="11" t="s">
        <v>588</v>
      </c>
      <c r="BI67" s="11" t="s">
        <v>588</v>
      </c>
      <c r="BJ67" s="11" t="s">
        <v>588</v>
      </c>
      <c r="BK67" s="11" t="s">
        <v>588</v>
      </c>
      <c r="BL67" s="11" t="s">
        <v>588</v>
      </c>
      <c r="BM67" s="11" t="s">
        <v>588</v>
      </c>
      <c r="BN67" s="11" t="s">
        <v>588</v>
      </c>
      <c r="BO67" s="11" t="s">
        <v>588</v>
      </c>
      <c r="BP67" s="11" t="s">
        <v>588</v>
      </c>
      <c r="BQ67" s="11" t="s">
        <v>588</v>
      </c>
      <c r="BR67" s="11" t="s">
        <v>588</v>
      </c>
      <c r="BS67" s="11" t="s">
        <v>8</v>
      </c>
      <c r="BT67" s="11" t="s">
        <v>112</v>
      </c>
      <c r="BU67" s="11" t="s">
        <v>112</v>
      </c>
      <c r="BV67" s="13">
        <v>45682</v>
      </c>
      <c r="BW67" s="11" t="s">
        <v>588</v>
      </c>
      <c r="BX67" s="11" t="s">
        <v>588</v>
      </c>
      <c r="BY67" s="11" t="s">
        <v>588</v>
      </c>
      <c r="BZ67" s="11" t="s">
        <v>588</v>
      </c>
      <c r="CA67" s="11" t="s">
        <v>315</v>
      </c>
      <c r="CB67" s="11" t="s">
        <v>588</v>
      </c>
    </row>
    <row r="68" spans="1:80" x14ac:dyDescent="0.25">
      <c r="A68" s="11">
        <v>202425</v>
      </c>
      <c r="B68" s="11" t="s">
        <v>335</v>
      </c>
      <c r="C68" s="11" t="s">
        <v>37</v>
      </c>
      <c r="D68" s="11" t="s">
        <v>333</v>
      </c>
      <c r="E68" s="11" t="s">
        <v>16</v>
      </c>
      <c r="F68" s="11">
        <v>5</v>
      </c>
      <c r="G68" s="11" t="s">
        <v>340</v>
      </c>
      <c r="H68" s="11" t="s">
        <v>2870</v>
      </c>
      <c r="I68" s="13">
        <v>45697</v>
      </c>
      <c r="J68" s="11">
        <v>9</v>
      </c>
      <c r="K68" s="11">
        <v>2</v>
      </c>
      <c r="L68" s="11">
        <v>2025</v>
      </c>
      <c r="M68" s="11" t="s">
        <v>2871</v>
      </c>
      <c r="N68" s="11" t="s">
        <v>21</v>
      </c>
      <c r="O68" s="11" t="s">
        <v>10</v>
      </c>
      <c r="P68" s="11">
        <v>-38.656489000000001</v>
      </c>
      <c r="Q68" s="11">
        <v>145.57472999999999</v>
      </c>
      <c r="R68" s="11" t="s">
        <v>588</v>
      </c>
      <c r="S68" s="11" t="s">
        <v>588</v>
      </c>
      <c r="T68" s="11">
        <v>3</v>
      </c>
      <c r="U68" s="11">
        <v>3</v>
      </c>
      <c r="V68" s="11" t="s">
        <v>588</v>
      </c>
      <c r="W68" s="11" t="s">
        <v>588</v>
      </c>
      <c r="X68" s="11">
        <v>17</v>
      </c>
      <c r="Y68" s="11">
        <v>14</v>
      </c>
      <c r="Z68" s="11" t="s">
        <v>8</v>
      </c>
      <c r="AA68" s="13">
        <v>45726</v>
      </c>
      <c r="AB68" s="11">
        <v>10</v>
      </c>
      <c r="AC68" s="11">
        <v>3</v>
      </c>
      <c r="AD68" s="11">
        <v>2025</v>
      </c>
      <c r="AE68" s="13" t="s">
        <v>2872</v>
      </c>
      <c r="AF68" s="11" t="s">
        <v>588</v>
      </c>
      <c r="AG68" s="11" t="s">
        <v>588</v>
      </c>
      <c r="AH68" s="11" t="s">
        <v>588</v>
      </c>
      <c r="AI68" s="11" t="s">
        <v>588</v>
      </c>
      <c r="AJ68" s="11" t="s">
        <v>588</v>
      </c>
      <c r="AK68" s="13" t="s">
        <v>588</v>
      </c>
      <c r="AL68" s="11" t="s">
        <v>588</v>
      </c>
      <c r="AM68" s="11" t="s">
        <v>588</v>
      </c>
      <c r="AN68" s="11" t="s">
        <v>588</v>
      </c>
      <c r="AO68" s="11" t="s">
        <v>588</v>
      </c>
      <c r="AP68" s="13">
        <v>45728</v>
      </c>
      <c r="AQ68" s="11" t="s">
        <v>22</v>
      </c>
      <c r="AR68" s="11" t="s">
        <v>195</v>
      </c>
      <c r="AS68" s="11">
        <v>2</v>
      </c>
      <c r="AT68" s="11">
        <v>2</v>
      </c>
      <c r="AU68" s="7">
        <v>45728</v>
      </c>
      <c r="AV68" s="13">
        <v>45729</v>
      </c>
      <c r="AW68" s="11" t="s">
        <v>22</v>
      </c>
      <c r="AX68" s="11" t="s">
        <v>20</v>
      </c>
      <c r="AY68" s="11" t="s">
        <v>588</v>
      </c>
      <c r="AZ68" s="11" t="s">
        <v>20</v>
      </c>
      <c r="BA68" s="7" t="s">
        <v>588</v>
      </c>
      <c r="BB68" s="11" t="s">
        <v>588</v>
      </c>
      <c r="BC68" s="11" t="s">
        <v>588</v>
      </c>
      <c r="BD68" s="11" t="s">
        <v>588</v>
      </c>
      <c r="BE68" s="11" t="s">
        <v>588</v>
      </c>
      <c r="BF68" s="11" t="s">
        <v>588</v>
      </c>
      <c r="BG68" s="7" t="s">
        <v>588</v>
      </c>
      <c r="BH68" s="11" t="s">
        <v>588</v>
      </c>
      <c r="BI68" s="11" t="s">
        <v>588</v>
      </c>
      <c r="BJ68" s="11" t="s">
        <v>588</v>
      </c>
      <c r="BK68" s="11" t="s">
        <v>588</v>
      </c>
      <c r="BL68" s="11" t="s">
        <v>588</v>
      </c>
      <c r="BM68" s="11">
        <v>31</v>
      </c>
      <c r="BN68" s="11">
        <v>27</v>
      </c>
      <c r="BO68" s="11" t="s">
        <v>8</v>
      </c>
      <c r="BP68" s="11">
        <v>1</v>
      </c>
      <c r="BQ68" s="13">
        <v>45761</v>
      </c>
      <c r="BR68" s="11" t="s">
        <v>72</v>
      </c>
      <c r="BS68" s="11" t="s">
        <v>8</v>
      </c>
      <c r="BT68" s="11" t="s">
        <v>337</v>
      </c>
      <c r="BU68" s="11" t="s">
        <v>337</v>
      </c>
      <c r="BV68" s="13">
        <v>45699</v>
      </c>
      <c r="BW68" s="11" t="s">
        <v>8</v>
      </c>
      <c r="BX68" s="11" t="s">
        <v>112</v>
      </c>
      <c r="BY68" s="11" t="s">
        <v>112</v>
      </c>
      <c r="BZ68" s="13">
        <v>45728</v>
      </c>
      <c r="CA68" s="11" t="s">
        <v>341</v>
      </c>
      <c r="CB68" s="11" t="s">
        <v>588</v>
      </c>
    </row>
  </sheetData>
  <autoFilter ref="A1:CB68" xr:uid="{148A9E6B-8592-4D6B-AE5D-BF6E36216A4E}">
    <sortState xmlns:xlrd2="http://schemas.microsoft.com/office/spreadsheetml/2017/richdata2" ref="A2:CB68">
      <sortCondition ref="C1:C6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97EC-094D-439B-9AC5-CFA6BB74477B}">
  <dimension ref="A1:BZ71"/>
  <sheetViews>
    <sheetView zoomScale="80" zoomScaleNormal="80" workbookViewId="0">
      <pane xSplit="9" ySplit="1" topLeftCell="J2" activePane="bottomRight" state="frozen"/>
      <selection pane="topRight" activeCell="J1" sqref="J1"/>
      <selection pane="bottomLeft" activeCell="A2" sqref="A2"/>
      <selection pane="bottomRight" activeCell="G33" sqref="G33"/>
    </sheetView>
  </sheetViews>
  <sheetFormatPr defaultRowHeight="15" x14ac:dyDescent="0.25"/>
  <cols>
    <col min="1" max="1" width="8.42578125" style="11" bestFit="1" customWidth="1"/>
    <col min="2" max="2" width="10" style="11" customWidth="1"/>
    <col min="3" max="3" width="37.42578125" style="11" customWidth="1"/>
    <col min="4" max="5" width="13.28515625" style="11" customWidth="1"/>
    <col min="6" max="6" width="11.140625" style="11" customWidth="1"/>
    <col min="7" max="7" width="10.5703125" style="11" customWidth="1"/>
    <col min="8" max="8" width="56.5703125" style="11" customWidth="1"/>
    <col min="9" max="9" width="19.7109375" style="11" customWidth="1"/>
    <col min="10" max="10" width="7.42578125" style="11" bestFit="1" customWidth="1"/>
    <col min="11" max="11" width="9.5703125" style="11" bestFit="1" customWidth="1"/>
    <col min="12" max="12" width="8" style="11" bestFit="1" customWidth="1"/>
    <col min="13" max="13" width="23.5703125" style="11" bestFit="1" customWidth="1"/>
    <col min="14" max="14" width="15.7109375" style="11" customWidth="1"/>
    <col min="15" max="15" width="18.28515625" style="11" customWidth="1"/>
    <col min="16" max="16" width="8.85546875" style="11" customWidth="1"/>
    <col min="17" max="17" width="12.28515625" style="11" customWidth="1"/>
    <col min="18" max="18" width="12.85546875" style="11" customWidth="1"/>
    <col min="19" max="19" width="15.5703125" style="11" customWidth="1"/>
    <col min="20" max="20" width="15.7109375" style="11" customWidth="1"/>
    <col min="21" max="21" width="12.7109375" style="11" customWidth="1"/>
    <col min="22" max="22" width="12.5703125" style="11" customWidth="1"/>
    <col min="23" max="23" width="18.42578125" style="11" customWidth="1"/>
    <col min="24" max="24" width="13.5703125" style="11" customWidth="1"/>
    <col min="25" max="25" width="11.42578125" style="11" customWidth="1"/>
    <col min="26" max="26" width="9.140625" style="11"/>
    <col min="27" max="27" width="14.140625" style="11" customWidth="1"/>
    <col min="28" max="28" width="8.42578125" style="11" bestFit="1" customWidth="1"/>
    <col min="29" max="29" width="9.5703125" style="11" bestFit="1" customWidth="1"/>
    <col min="30" max="30" width="8.42578125" style="11" bestFit="1" customWidth="1"/>
    <col min="31" max="31" width="27" style="11" bestFit="1" customWidth="1"/>
    <col min="32" max="32" width="13.28515625" style="11" customWidth="1"/>
    <col min="33" max="33" width="23.28515625" style="11" customWidth="1"/>
    <col min="34" max="34" width="8.42578125" style="11" bestFit="1" customWidth="1"/>
    <col min="35" max="35" width="9.5703125" style="11" bestFit="1" customWidth="1"/>
    <col min="36" max="36" width="8.42578125" style="11" bestFit="1" customWidth="1"/>
    <col min="37" max="37" width="25.5703125" style="11" bestFit="1" customWidth="1"/>
    <col min="38" max="38" width="10.7109375" style="11" bestFit="1" customWidth="1"/>
    <col min="39" max="39" width="9.140625" style="11"/>
    <col min="40" max="40" width="20" style="11" customWidth="1"/>
    <col min="41" max="41" width="24.85546875" style="11" bestFit="1" customWidth="1"/>
    <col min="42" max="42" width="12.140625" style="11" customWidth="1"/>
    <col min="43" max="43" width="10.5703125" style="11" bestFit="1" customWidth="1"/>
    <col min="44" max="46" width="9.140625" style="11"/>
    <col min="47" max="47" width="11.7109375" style="11" customWidth="1"/>
    <col min="48" max="48" width="17" style="11" customWidth="1"/>
    <col min="49" max="49" width="18.85546875" style="11" bestFit="1" customWidth="1"/>
    <col min="50" max="50" width="20.7109375" style="11" customWidth="1"/>
    <col min="51" max="51" width="20.85546875" style="11" bestFit="1" customWidth="1"/>
    <col min="52" max="52" width="23" style="11" bestFit="1" customWidth="1"/>
    <col min="53" max="53" width="23.7109375" style="11" bestFit="1" customWidth="1"/>
    <col min="54" max="54" width="17" style="11" bestFit="1" customWidth="1"/>
    <col min="55" max="55" width="18.85546875" style="11" bestFit="1" customWidth="1"/>
    <col min="56" max="56" width="24.5703125" style="11" bestFit="1" customWidth="1"/>
    <col min="57" max="57" width="24.42578125" style="11" customWidth="1"/>
    <col min="58" max="58" width="25.28515625" style="11" customWidth="1"/>
    <col min="59" max="61" width="17.85546875" style="11" customWidth="1"/>
    <col min="62" max="62" width="24.85546875" style="11" customWidth="1"/>
    <col min="63" max="63" width="20.85546875" style="11" bestFit="1" customWidth="1"/>
    <col min="64" max="64" width="23.7109375" style="11" customWidth="1"/>
    <col min="65" max="65" width="18.140625" style="11" bestFit="1" customWidth="1"/>
    <col min="66" max="66" width="15.140625" style="11" bestFit="1" customWidth="1"/>
    <col min="67" max="68" width="9.28515625" style="11" bestFit="1" customWidth="1"/>
    <col min="69" max="69" width="12.5703125" style="11" bestFit="1" customWidth="1"/>
    <col min="70" max="70" width="14.5703125" style="11" bestFit="1" customWidth="1"/>
    <col min="71" max="71" width="15.28515625" style="11" bestFit="1" customWidth="1"/>
    <col min="72" max="72" width="5.7109375" style="11" customWidth="1"/>
    <col min="73" max="73" width="56.5703125" style="11" bestFit="1" customWidth="1"/>
    <col min="74" max="74" width="17.5703125" style="11" customWidth="1"/>
    <col min="75" max="75" width="5.28515625" style="11" customWidth="1"/>
    <col min="76" max="76" width="64.85546875" style="11" bestFit="1" customWidth="1"/>
    <col min="77" max="77" width="17.7109375" style="11" customWidth="1"/>
    <col min="78" max="78" width="19.28515625" style="11" customWidth="1"/>
    <col min="79" max="79" width="18.5703125" style="11" customWidth="1"/>
    <col min="80" max="16384" width="9.140625" style="11"/>
  </cols>
  <sheetData>
    <row r="1" spans="1:78" s="15" customFormat="1" x14ac:dyDescent="0.25">
      <c r="A1" s="12" t="s">
        <v>0</v>
      </c>
      <c r="B1" s="12" t="s">
        <v>139</v>
      </c>
      <c r="C1" s="9" t="s">
        <v>231</v>
      </c>
      <c r="D1" s="12" t="s">
        <v>1</v>
      </c>
      <c r="E1" s="12" t="s">
        <v>2</v>
      </c>
      <c r="F1" s="9" t="s">
        <v>118</v>
      </c>
      <c r="G1" s="12" t="s">
        <v>141</v>
      </c>
      <c r="H1" s="9" t="s">
        <v>593</v>
      </c>
      <c r="I1" s="12" t="s">
        <v>142</v>
      </c>
      <c r="J1" s="12" t="s">
        <v>589</v>
      </c>
      <c r="K1" s="12" t="s">
        <v>590</v>
      </c>
      <c r="L1" s="12" t="s">
        <v>591</v>
      </c>
      <c r="M1" s="9" t="s">
        <v>592</v>
      </c>
      <c r="N1" s="12" t="s">
        <v>143</v>
      </c>
      <c r="O1" s="12" t="s">
        <v>3</v>
      </c>
      <c r="P1" s="2" t="s">
        <v>212</v>
      </c>
      <c r="Q1" s="2"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4" t="s">
        <v>596</v>
      </c>
      <c r="BV1" s="12" t="s">
        <v>221</v>
      </c>
      <c r="BW1" s="12" t="s">
        <v>191</v>
      </c>
      <c r="BX1" s="14" t="s">
        <v>597</v>
      </c>
      <c r="BY1" s="12" t="s">
        <v>192</v>
      </c>
      <c r="BZ1" s="12" t="s">
        <v>193</v>
      </c>
    </row>
    <row r="2" spans="1:78" x14ac:dyDescent="0.25">
      <c r="A2" s="11">
        <v>202324</v>
      </c>
      <c r="B2" s="11" t="s">
        <v>909</v>
      </c>
      <c r="C2" s="24" t="s">
        <v>1609</v>
      </c>
      <c r="D2" s="11" t="s">
        <v>377</v>
      </c>
      <c r="E2" s="11" t="s">
        <v>234</v>
      </c>
      <c r="F2" s="11">
        <v>1</v>
      </c>
      <c r="G2" s="11" t="s">
        <v>378</v>
      </c>
      <c r="H2" s="11" t="s">
        <v>1610</v>
      </c>
      <c r="I2" s="13">
        <v>45295</v>
      </c>
      <c r="J2" s="11">
        <v>4</v>
      </c>
      <c r="K2" s="11">
        <v>1</v>
      </c>
      <c r="L2" s="11">
        <v>2024</v>
      </c>
      <c r="M2" s="11" t="s">
        <v>599</v>
      </c>
      <c r="N2" s="11" t="s">
        <v>12</v>
      </c>
      <c r="O2" s="11" t="s">
        <v>10</v>
      </c>
      <c r="P2" s="11">
        <v>-38.613745000000002</v>
      </c>
      <c r="Q2" s="11">
        <v>145.54013399999999</v>
      </c>
      <c r="R2" s="11" t="s">
        <v>588</v>
      </c>
      <c r="S2" s="11" t="s">
        <v>588</v>
      </c>
      <c r="T2" s="11">
        <v>3</v>
      </c>
      <c r="U2" s="11">
        <v>3</v>
      </c>
      <c r="V2" s="11" t="s">
        <v>588</v>
      </c>
      <c r="W2" s="11" t="s">
        <v>588</v>
      </c>
      <c r="X2" s="11">
        <v>1</v>
      </c>
      <c r="Y2" s="11">
        <v>1</v>
      </c>
      <c r="Z2" s="11" t="s">
        <v>8</v>
      </c>
      <c r="AA2" s="13">
        <v>45295</v>
      </c>
      <c r="AB2" s="11">
        <v>4</v>
      </c>
      <c r="AC2" s="11">
        <v>1</v>
      </c>
      <c r="AD2" s="11">
        <v>2024</v>
      </c>
      <c r="AE2" s="13" t="s">
        <v>599</v>
      </c>
      <c r="AF2" s="11" t="s">
        <v>12</v>
      </c>
      <c r="AG2" s="13" t="s">
        <v>588</v>
      </c>
      <c r="AH2" s="11" t="s">
        <v>588</v>
      </c>
      <c r="AI2" s="11" t="s">
        <v>588</v>
      </c>
      <c r="AJ2" s="11" t="s">
        <v>588</v>
      </c>
      <c r="AK2" s="13" t="s">
        <v>588</v>
      </c>
      <c r="AL2" s="11" t="s">
        <v>588</v>
      </c>
      <c r="AM2" s="13" t="s">
        <v>588</v>
      </c>
      <c r="AN2" s="11" t="s">
        <v>588</v>
      </c>
      <c r="AO2" s="13" t="s">
        <v>588</v>
      </c>
      <c r="AP2" s="13">
        <v>45316</v>
      </c>
      <c r="AQ2" s="11" t="s">
        <v>12</v>
      </c>
      <c r="AR2" s="11" t="s">
        <v>195</v>
      </c>
      <c r="AS2" s="11">
        <v>3</v>
      </c>
      <c r="AT2" s="11">
        <v>3</v>
      </c>
      <c r="AU2" s="7">
        <v>45332</v>
      </c>
      <c r="AV2" s="13">
        <v>45352</v>
      </c>
      <c r="AW2" s="11" t="s">
        <v>22</v>
      </c>
      <c r="AX2" s="11" t="s">
        <v>588</v>
      </c>
      <c r="AY2" s="11" t="s">
        <v>588</v>
      </c>
      <c r="AZ2" s="11" t="s">
        <v>588</v>
      </c>
      <c r="BA2" s="7" t="s">
        <v>588</v>
      </c>
      <c r="BB2" s="11" t="s">
        <v>588</v>
      </c>
      <c r="BC2" s="11" t="s">
        <v>588</v>
      </c>
      <c r="BD2" s="11" t="s">
        <v>588</v>
      </c>
      <c r="BE2" s="11" t="s">
        <v>588</v>
      </c>
      <c r="BF2" s="11" t="s">
        <v>588</v>
      </c>
      <c r="BG2" s="7" t="s">
        <v>588</v>
      </c>
      <c r="BH2" s="11" t="s">
        <v>588</v>
      </c>
      <c r="BI2" s="11" t="s">
        <v>588</v>
      </c>
      <c r="BJ2" s="11" t="s">
        <v>588</v>
      </c>
      <c r="BK2" s="11" t="s">
        <v>588</v>
      </c>
      <c r="BL2" s="11" t="s">
        <v>588</v>
      </c>
      <c r="BM2" s="11">
        <v>5</v>
      </c>
      <c r="BN2" s="11">
        <v>5</v>
      </c>
      <c r="BO2" s="11" t="s">
        <v>8</v>
      </c>
      <c r="BP2" s="11">
        <v>2</v>
      </c>
      <c r="BQ2" s="13">
        <v>45352</v>
      </c>
      <c r="BR2" s="11" t="s">
        <v>22</v>
      </c>
      <c r="BS2" s="11" t="s">
        <v>41</v>
      </c>
      <c r="BT2" s="11" t="s">
        <v>588</v>
      </c>
      <c r="BU2" s="11" t="s">
        <v>42</v>
      </c>
      <c r="BV2" s="11" t="s">
        <v>41</v>
      </c>
      <c r="BW2" s="11" t="s">
        <v>588</v>
      </c>
      <c r="BX2" s="11" t="s">
        <v>42</v>
      </c>
      <c r="BY2" s="11" t="s">
        <v>379</v>
      </c>
      <c r="BZ2" s="11" t="s">
        <v>588</v>
      </c>
    </row>
    <row r="3" spans="1:78" x14ac:dyDescent="0.25">
      <c r="A3" s="11">
        <v>202324</v>
      </c>
      <c r="B3" s="11" t="s">
        <v>380</v>
      </c>
      <c r="C3" s="11" t="s">
        <v>380</v>
      </c>
      <c r="D3" s="11" t="s">
        <v>381</v>
      </c>
      <c r="E3" s="11" t="s">
        <v>382</v>
      </c>
      <c r="F3" s="11">
        <v>1</v>
      </c>
      <c r="G3" s="11" t="s">
        <v>383</v>
      </c>
      <c r="H3" s="11" t="s">
        <v>908</v>
      </c>
      <c r="I3" s="13">
        <v>45295</v>
      </c>
      <c r="J3" s="11">
        <v>4</v>
      </c>
      <c r="K3" s="11">
        <v>1</v>
      </c>
      <c r="L3" s="11">
        <v>2024</v>
      </c>
      <c r="M3" s="11" t="s">
        <v>599</v>
      </c>
      <c r="N3" s="11" t="s">
        <v>12</v>
      </c>
      <c r="O3" s="11" t="s">
        <v>51</v>
      </c>
      <c r="P3" s="11" t="s">
        <v>588</v>
      </c>
      <c r="Q3" s="11" t="s">
        <v>588</v>
      </c>
      <c r="R3" s="11">
        <v>-38.621741999999998</v>
      </c>
      <c r="S3" s="11">
        <v>145.54534899999999</v>
      </c>
      <c r="T3" s="11">
        <v>1</v>
      </c>
      <c r="U3" s="11">
        <v>3</v>
      </c>
      <c r="V3" s="11" t="s">
        <v>588</v>
      </c>
      <c r="W3" s="11" t="s">
        <v>588</v>
      </c>
      <c r="X3" s="11">
        <v>2</v>
      </c>
      <c r="Y3" s="11">
        <v>2</v>
      </c>
      <c r="Z3" s="11" t="s">
        <v>41</v>
      </c>
      <c r="AA3" s="13">
        <v>45295</v>
      </c>
      <c r="AB3" s="11">
        <v>4</v>
      </c>
      <c r="AC3" s="11">
        <v>1</v>
      </c>
      <c r="AD3" s="11">
        <v>2024</v>
      </c>
      <c r="AE3" s="13" t="s">
        <v>599</v>
      </c>
      <c r="AF3" s="11" t="s">
        <v>12</v>
      </c>
      <c r="AG3" s="13" t="s">
        <v>588</v>
      </c>
      <c r="AH3" s="11">
        <v>10</v>
      </c>
      <c r="AI3" s="11">
        <v>2</v>
      </c>
      <c r="AJ3" s="11">
        <v>2024</v>
      </c>
      <c r="AK3" s="11" t="s">
        <v>612</v>
      </c>
      <c r="AL3" s="11" t="s">
        <v>21</v>
      </c>
      <c r="AM3" s="11" t="s">
        <v>20</v>
      </c>
      <c r="AN3" s="11" t="s">
        <v>588</v>
      </c>
      <c r="AO3" s="11" t="s">
        <v>20</v>
      </c>
      <c r="AP3" s="11" t="s">
        <v>588</v>
      </c>
      <c r="AQ3" s="11" t="s">
        <v>588</v>
      </c>
      <c r="AR3" s="11" t="s">
        <v>588</v>
      </c>
      <c r="AS3" s="11" t="s">
        <v>588</v>
      </c>
      <c r="AT3" s="11" t="s">
        <v>588</v>
      </c>
      <c r="AU3" s="11" t="s">
        <v>588</v>
      </c>
      <c r="AV3" s="11" t="s">
        <v>588</v>
      </c>
      <c r="AW3" s="11" t="s">
        <v>588</v>
      </c>
      <c r="AX3" s="11" t="s">
        <v>588</v>
      </c>
      <c r="AY3" s="11" t="s">
        <v>588</v>
      </c>
      <c r="AZ3" s="11" t="s">
        <v>588</v>
      </c>
      <c r="BA3" s="7" t="s">
        <v>588</v>
      </c>
      <c r="BB3" s="11" t="s">
        <v>588</v>
      </c>
      <c r="BC3" s="11" t="s">
        <v>588</v>
      </c>
      <c r="BD3" s="11" t="s">
        <v>588</v>
      </c>
      <c r="BE3" s="11" t="s">
        <v>588</v>
      </c>
      <c r="BF3" s="11" t="s">
        <v>588</v>
      </c>
      <c r="BG3" s="7" t="s">
        <v>588</v>
      </c>
      <c r="BH3" s="11" t="s">
        <v>588</v>
      </c>
      <c r="BI3" s="11" t="s">
        <v>588</v>
      </c>
      <c r="BJ3" s="11" t="s">
        <v>588</v>
      </c>
      <c r="BK3" s="11" t="s">
        <v>588</v>
      </c>
      <c r="BL3" s="11" t="s">
        <v>588</v>
      </c>
      <c r="BM3" s="11" t="s">
        <v>588</v>
      </c>
      <c r="BN3" s="11" t="s">
        <v>588</v>
      </c>
      <c r="BO3" s="11" t="s">
        <v>588</v>
      </c>
      <c r="BP3" s="11" t="s">
        <v>588</v>
      </c>
      <c r="BQ3" s="11" t="s">
        <v>588</v>
      </c>
      <c r="BR3" s="11" t="s">
        <v>588</v>
      </c>
      <c r="BS3" s="11" t="s">
        <v>41</v>
      </c>
      <c r="BT3" s="11" t="s">
        <v>588</v>
      </c>
      <c r="BU3" s="11" t="s">
        <v>42</v>
      </c>
      <c r="BV3" s="11" t="s">
        <v>588</v>
      </c>
      <c r="BW3" s="11" t="s">
        <v>588</v>
      </c>
      <c r="BX3" s="11" t="s">
        <v>588</v>
      </c>
      <c r="BY3" s="11" t="s">
        <v>588</v>
      </c>
      <c r="BZ3" s="11" t="s">
        <v>588</v>
      </c>
    </row>
    <row r="4" spans="1:78" x14ac:dyDescent="0.25">
      <c r="A4" s="11">
        <v>202324</v>
      </c>
      <c r="B4" s="11" t="s">
        <v>242</v>
      </c>
      <c r="C4" s="11" t="s">
        <v>242</v>
      </c>
      <c r="D4" s="11" t="s">
        <v>244</v>
      </c>
      <c r="E4" s="11" t="s">
        <v>243</v>
      </c>
      <c r="F4" s="11">
        <v>1</v>
      </c>
      <c r="G4" s="11" t="s">
        <v>384</v>
      </c>
      <c r="H4" s="11" t="s">
        <v>648</v>
      </c>
      <c r="I4" s="13">
        <v>45292</v>
      </c>
      <c r="J4" s="11">
        <v>1</v>
      </c>
      <c r="K4" s="11">
        <v>1</v>
      </c>
      <c r="L4" s="11">
        <v>2024</v>
      </c>
      <c r="M4" s="11" t="s">
        <v>600</v>
      </c>
      <c r="N4" s="11" t="s">
        <v>12</v>
      </c>
      <c r="O4" s="11" t="s">
        <v>51</v>
      </c>
      <c r="P4" s="11" t="s">
        <v>588</v>
      </c>
      <c r="Q4" s="11" t="s">
        <v>588</v>
      </c>
      <c r="R4" s="11">
        <v>-38.611350999999999</v>
      </c>
      <c r="S4" s="11">
        <v>145.53840600000001</v>
      </c>
      <c r="T4" s="11">
        <v>3</v>
      </c>
      <c r="U4" s="11">
        <v>3</v>
      </c>
      <c r="V4" s="11" t="s">
        <v>588</v>
      </c>
      <c r="W4" s="11" t="s">
        <v>588</v>
      </c>
      <c r="X4" s="11">
        <v>3</v>
      </c>
      <c r="Y4" s="11">
        <v>3</v>
      </c>
      <c r="Z4" s="11" t="s">
        <v>8</v>
      </c>
      <c r="AA4" s="13">
        <v>45304</v>
      </c>
      <c r="AB4" s="11">
        <v>13</v>
      </c>
      <c r="AC4" s="11">
        <v>1</v>
      </c>
      <c r="AD4" s="11">
        <v>2024</v>
      </c>
      <c r="AE4" s="13" t="s">
        <v>601</v>
      </c>
      <c r="AF4" s="11" t="s">
        <v>588</v>
      </c>
      <c r="AG4" s="13" t="s">
        <v>588</v>
      </c>
      <c r="AH4" s="11" t="s">
        <v>588</v>
      </c>
      <c r="AI4" s="11" t="s">
        <v>588</v>
      </c>
      <c r="AJ4" s="11" t="s">
        <v>588</v>
      </c>
      <c r="AK4" s="13" t="s">
        <v>588</v>
      </c>
      <c r="AL4" s="11" t="s">
        <v>588</v>
      </c>
      <c r="AM4" s="13" t="s">
        <v>588</v>
      </c>
      <c r="AN4" s="11" t="s">
        <v>588</v>
      </c>
      <c r="AO4" s="13" t="s">
        <v>588</v>
      </c>
      <c r="AP4" s="13">
        <v>45316</v>
      </c>
      <c r="AQ4" s="11" t="s">
        <v>12</v>
      </c>
      <c r="AR4" s="11" t="s">
        <v>195</v>
      </c>
      <c r="AS4" s="11">
        <v>3</v>
      </c>
      <c r="AT4" s="11">
        <v>3</v>
      </c>
      <c r="AU4" s="7" t="s">
        <v>588</v>
      </c>
      <c r="AV4" s="11" t="s">
        <v>588</v>
      </c>
      <c r="AW4" s="11" t="s">
        <v>588</v>
      </c>
      <c r="AX4" s="11" t="s">
        <v>588</v>
      </c>
      <c r="AY4" s="11" t="s">
        <v>588</v>
      </c>
      <c r="AZ4" s="11" t="s">
        <v>588</v>
      </c>
      <c r="BA4" s="7" t="s">
        <v>588</v>
      </c>
      <c r="BB4" s="11" t="s">
        <v>588</v>
      </c>
      <c r="BC4" s="11" t="s">
        <v>588</v>
      </c>
      <c r="BD4" s="11" t="s">
        <v>588</v>
      </c>
      <c r="BE4" s="11" t="s">
        <v>588</v>
      </c>
      <c r="BF4" s="11" t="s">
        <v>588</v>
      </c>
      <c r="BG4" s="7" t="s">
        <v>588</v>
      </c>
      <c r="BH4" s="11" t="s">
        <v>588</v>
      </c>
      <c r="BI4" s="11" t="s">
        <v>588</v>
      </c>
      <c r="BJ4" s="11" t="s">
        <v>588</v>
      </c>
      <c r="BK4" s="11" t="s">
        <v>588</v>
      </c>
      <c r="BL4" s="11" t="s">
        <v>588</v>
      </c>
      <c r="BM4" s="11">
        <v>3</v>
      </c>
      <c r="BN4" s="11">
        <v>3</v>
      </c>
      <c r="BO4" s="11" t="s">
        <v>8</v>
      </c>
      <c r="BP4" s="11">
        <v>3</v>
      </c>
      <c r="BQ4" s="13">
        <v>45352</v>
      </c>
      <c r="BR4" s="11" t="s">
        <v>22</v>
      </c>
      <c r="BS4" s="11" t="s">
        <v>8</v>
      </c>
      <c r="BT4" s="11" t="s">
        <v>13</v>
      </c>
      <c r="BU4" s="11" t="s">
        <v>13</v>
      </c>
      <c r="BV4" s="11" t="s">
        <v>8</v>
      </c>
      <c r="BW4" s="11" t="s">
        <v>18</v>
      </c>
      <c r="BX4" s="11" t="s">
        <v>18</v>
      </c>
      <c r="BY4" s="11" t="s">
        <v>588</v>
      </c>
      <c r="BZ4" s="11" t="s">
        <v>588</v>
      </c>
    </row>
    <row r="5" spans="1:78" x14ac:dyDescent="0.25">
      <c r="A5" s="11">
        <v>202324</v>
      </c>
      <c r="B5" s="11" t="s">
        <v>247</v>
      </c>
      <c r="C5" s="11" t="s">
        <v>247</v>
      </c>
      <c r="D5" s="11" t="s">
        <v>248</v>
      </c>
      <c r="E5" s="11" t="s">
        <v>249</v>
      </c>
      <c r="F5" s="11">
        <v>1</v>
      </c>
      <c r="G5" s="11" t="s">
        <v>385</v>
      </c>
      <c r="H5" s="11" t="s">
        <v>649</v>
      </c>
      <c r="I5" s="13">
        <v>45261</v>
      </c>
      <c r="J5" s="11">
        <v>1</v>
      </c>
      <c r="K5" s="11">
        <v>12</v>
      </c>
      <c r="L5" s="11">
        <v>2023</v>
      </c>
      <c r="M5" s="11" t="s">
        <v>598</v>
      </c>
      <c r="N5" s="11" t="s">
        <v>7</v>
      </c>
      <c r="O5" s="11" t="s">
        <v>10</v>
      </c>
      <c r="P5" s="11">
        <v>-38.606825000000001</v>
      </c>
      <c r="Q5" s="11">
        <v>145.53378799999999</v>
      </c>
      <c r="R5" s="11" t="s">
        <v>588</v>
      </c>
      <c r="S5" s="11" t="s">
        <v>588</v>
      </c>
      <c r="T5" s="11">
        <v>3</v>
      </c>
      <c r="U5" s="11">
        <v>3</v>
      </c>
      <c r="V5" s="11" t="s">
        <v>588</v>
      </c>
      <c r="W5" s="11" t="s">
        <v>588</v>
      </c>
      <c r="X5" s="11">
        <v>2</v>
      </c>
      <c r="Y5" s="11">
        <v>2</v>
      </c>
      <c r="Z5" s="11" t="s">
        <v>41</v>
      </c>
      <c r="AA5" s="13">
        <v>45261</v>
      </c>
      <c r="AB5" s="11">
        <v>1</v>
      </c>
      <c r="AC5" s="11">
        <v>12</v>
      </c>
      <c r="AD5" s="11">
        <v>2023</v>
      </c>
      <c r="AE5" s="13" t="s">
        <v>598</v>
      </c>
      <c r="AF5" s="11" t="s">
        <v>7</v>
      </c>
      <c r="AG5" s="13">
        <v>45289</v>
      </c>
      <c r="AH5" s="11">
        <v>29</v>
      </c>
      <c r="AI5" s="11">
        <v>12</v>
      </c>
      <c r="AJ5" s="11">
        <v>2023</v>
      </c>
      <c r="AK5" s="13" t="s">
        <v>615</v>
      </c>
      <c r="AL5" s="11" t="s">
        <v>7</v>
      </c>
      <c r="AM5" s="11" t="s">
        <v>20</v>
      </c>
      <c r="AN5" s="11" t="s">
        <v>588</v>
      </c>
      <c r="AO5" s="11" t="s">
        <v>20</v>
      </c>
      <c r="AP5" s="11" t="s">
        <v>588</v>
      </c>
      <c r="AQ5" s="11" t="s">
        <v>588</v>
      </c>
      <c r="AR5" s="11" t="s">
        <v>588</v>
      </c>
      <c r="AS5" s="11" t="s">
        <v>588</v>
      </c>
      <c r="AT5" s="11" t="s">
        <v>588</v>
      </c>
      <c r="AU5" s="7" t="s">
        <v>588</v>
      </c>
      <c r="AV5" s="11" t="s">
        <v>588</v>
      </c>
      <c r="AW5" s="11" t="s">
        <v>588</v>
      </c>
      <c r="AX5" s="11" t="s">
        <v>588</v>
      </c>
      <c r="AY5" s="11" t="s">
        <v>588</v>
      </c>
      <c r="AZ5" s="11" t="s">
        <v>588</v>
      </c>
      <c r="BA5" s="7" t="s">
        <v>588</v>
      </c>
      <c r="BB5" s="11" t="s">
        <v>588</v>
      </c>
      <c r="BC5" s="11" t="s">
        <v>588</v>
      </c>
      <c r="BD5" s="11" t="s">
        <v>588</v>
      </c>
      <c r="BE5" s="11" t="s">
        <v>588</v>
      </c>
      <c r="BF5" s="11" t="s">
        <v>588</v>
      </c>
      <c r="BG5" s="7" t="s">
        <v>588</v>
      </c>
      <c r="BH5" s="11" t="s">
        <v>588</v>
      </c>
      <c r="BI5" s="11" t="s">
        <v>588</v>
      </c>
      <c r="BJ5" s="11" t="s">
        <v>588</v>
      </c>
      <c r="BK5" s="11" t="s">
        <v>588</v>
      </c>
      <c r="BL5" s="11" t="s">
        <v>588</v>
      </c>
      <c r="BM5" s="11" t="s">
        <v>588</v>
      </c>
      <c r="BN5" s="11" t="s">
        <v>588</v>
      </c>
      <c r="BO5" s="11" t="s">
        <v>588</v>
      </c>
      <c r="BP5" s="11" t="s">
        <v>588</v>
      </c>
      <c r="BQ5" s="11" t="s">
        <v>588</v>
      </c>
      <c r="BR5" s="11" t="s">
        <v>588</v>
      </c>
      <c r="BS5" s="11" t="s">
        <v>41</v>
      </c>
      <c r="BT5" s="11" t="s">
        <v>588</v>
      </c>
      <c r="BU5" s="11" t="s">
        <v>42</v>
      </c>
      <c r="BV5" s="11" t="s">
        <v>588</v>
      </c>
      <c r="BW5" s="11" t="s">
        <v>588</v>
      </c>
      <c r="BX5" s="11" t="s">
        <v>588</v>
      </c>
      <c r="BY5" s="11" t="s">
        <v>588</v>
      </c>
      <c r="BZ5" s="11" t="s">
        <v>588</v>
      </c>
    </row>
    <row r="6" spans="1:78" x14ac:dyDescent="0.25">
      <c r="A6" s="11">
        <v>202324</v>
      </c>
      <c r="B6" s="11" t="s">
        <v>247</v>
      </c>
      <c r="C6" s="11" t="s">
        <v>247</v>
      </c>
      <c r="D6" s="11" t="s">
        <v>248</v>
      </c>
      <c r="E6" s="11" t="s">
        <v>249</v>
      </c>
      <c r="F6" s="11">
        <v>2</v>
      </c>
      <c r="G6" s="11" t="s">
        <v>386</v>
      </c>
      <c r="H6" s="11" t="s">
        <v>650</v>
      </c>
      <c r="I6" s="13">
        <v>45304</v>
      </c>
      <c r="J6" s="11">
        <v>13</v>
      </c>
      <c r="K6" s="11">
        <v>1</v>
      </c>
      <c r="L6" s="11">
        <v>2024</v>
      </c>
      <c r="M6" s="11" t="s">
        <v>601</v>
      </c>
      <c r="N6" s="11" t="s">
        <v>12</v>
      </c>
      <c r="O6" s="11" t="s">
        <v>10</v>
      </c>
      <c r="P6" s="11">
        <v>-38.606901999999998</v>
      </c>
      <c r="Q6" s="11">
        <v>145.53393299999999</v>
      </c>
      <c r="R6" s="11" t="s">
        <v>588</v>
      </c>
      <c r="S6" s="11" t="s">
        <v>588</v>
      </c>
      <c r="T6" s="11">
        <v>3</v>
      </c>
      <c r="U6" s="11">
        <v>3</v>
      </c>
      <c r="V6" s="11" t="s">
        <v>588</v>
      </c>
      <c r="W6" s="11" t="s">
        <v>588</v>
      </c>
      <c r="X6" s="11">
        <v>2</v>
      </c>
      <c r="Y6" s="11">
        <v>2</v>
      </c>
      <c r="Z6" s="11" t="s">
        <v>41</v>
      </c>
      <c r="AA6" s="13">
        <v>45304</v>
      </c>
      <c r="AB6" s="11">
        <v>13</v>
      </c>
      <c r="AC6" s="11">
        <v>1</v>
      </c>
      <c r="AD6" s="11">
        <v>2024</v>
      </c>
      <c r="AE6" s="13" t="s">
        <v>601</v>
      </c>
      <c r="AF6" s="11" t="s">
        <v>12</v>
      </c>
      <c r="AG6" s="13">
        <v>45316</v>
      </c>
      <c r="AH6" s="11">
        <v>25</v>
      </c>
      <c r="AI6" s="11">
        <v>1</v>
      </c>
      <c r="AJ6" s="11">
        <v>2024</v>
      </c>
      <c r="AK6" s="13" t="s">
        <v>651</v>
      </c>
      <c r="AL6" s="11" t="s">
        <v>12</v>
      </c>
      <c r="AM6" s="11" t="s">
        <v>20</v>
      </c>
      <c r="AN6" s="11" t="s">
        <v>588</v>
      </c>
      <c r="AO6" s="11" t="s">
        <v>20</v>
      </c>
      <c r="AP6" s="11" t="s">
        <v>588</v>
      </c>
      <c r="AQ6" s="11" t="s">
        <v>588</v>
      </c>
      <c r="AR6" s="11" t="s">
        <v>588</v>
      </c>
      <c r="AS6" s="11" t="s">
        <v>588</v>
      </c>
      <c r="AT6" s="11" t="s">
        <v>588</v>
      </c>
      <c r="AU6" s="7" t="s">
        <v>588</v>
      </c>
      <c r="AV6" s="11" t="s">
        <v>588</v>
      </c>
      <c r="AW6" s="11" t="s">
        <v>588</v>
      </c>
      <c r="AX6" s="11" t="s">
        <v>588</v>
      </c>
      <c r="AY6" s="11" t="s">
        <v>588</v>
      </c>
      <c r="AZ6" s="11" t="s">
        <v>588</v>
      </c>
      <c r="BA6" s="7" t="s">
        <v>588</v>
      </c>
      <c r="BB6" s="11" t="s">
        <v>588</v>
      </c>
      <c r="BC6" s="11" t="s">
        <v>588</v>
      </c>
      <c r="BD6" s="11" t="s">
        <v>588</v>
      </c>
      <c r="BE6" s="11" t="s">
        <v>588</v>
      </c>
      <c r="BF6" s="11" t="s">
        <v>588</v>
      </c>
      <c r="BG6" s="7" t="s">
        <v>588</v>
      </c>
      <c r="BH6" s="11" t="s">
        <v>588</v>
      </c>
      <c r="BI6" s="11" t="s">
        <v>588</v>
      </c>
      <c r="BJ6" s="11" t="s">
        <v>588</v>
      </c>
      <c r="BK6" s="11" t="s">
        <v>588</v>
      </c>
      <c r="BL6" s="11" t="s">
        <v>588</v>
      </c>
      <c r="BM6" s="11" t="s">
        <v>588</v>
      </c>
      <c r="BN6" s="11" t="s">
        <v>588</v>
      </c>
      <c r="BO6" s="11" t="s">
        <v>588</v>
      </c>
      <c r="BP6" s="11" t="s">
        <v>588</v>
      </c>
      <c r="BQ6" s="11" t="s">
        <v>588</v>
      </c>
      <c r="BR6" s="11" t="s">
        <v>588</v>
      </c>
      <c r="BS6" s="11" t="s">
        <v>41</v>
      </c>
      <c r="BT6" s="11" t="s">
        <v>588</v>
      </c>
      <c r="BU6" s="11" t="s">
        <v>42</v>
      </c>
      <c r="BV6" s="11" t="s">
        <v>588</v>
      </c>
      <c r="BW6" s="11" t="s">
        <v>588</v>
      </c>
      <c r="BX6" s="11" t="s">
        <v>588</v>
      </c>
      <c r="BY6" s="11" t="s">
        <v>588</v>
      </c>
      <c r="BZ6" s="11" t="s">
        <v>588</v>
      </c>
    </row>
    <row r="7" spans="1:78" x14ac:dyDescent="0.25">
      <c r="A7" s="11">
        <v>202324</v>
      </c>
      <c r="B7" s="11" t="s">
        <v>247</v>
      </c>
      <c r="C7" s="11" t="s">
        <v>247</v>
      </c>
      <c r="D7" s="11" t="s">
        <v>248</v>
      </c>
      <c r="E7" s="11" t="s">
        <v>249</v>
      </c>
      <c r="F7" s="11">
        <v>3</v>
      </c>
      <c r="G7" s="11" t="s">
        <v>387</v>
      </c>
      <c r="H7" s="11" t="s">
        <v>652</v>
      </c>
      <c r="I7" s="13">
        <v>45356</v>
      </c>
      <c r="J7" s="11">
        <v>5</v>
      </c>
      <c r="K7" s="11">
        <v>3</v>
      </c>
      <c r="L7" s="11">
        <v>2024</v>
      </c>
      <c r="M7" s="11" t="s">
        <v>602</v>
      </c>
      <c r="N7" s="11" t="s">
        <v>22</v>
      </c>
      <c r="O7" s="11" t="s">
        <v>10</v>
      </c>
      <c r="P7" s="11">
        <v>-38.607626000000003</v>
      </c>
      <c r="Q7" s="11">
        <v>145.53421499999999</v>
      </c>
      <c r="R7" s="11" t="s">
        <v>588</v>
      </c>
      <c r="S7" s="11" t="s">
        <v>588</v>
      </c>
      <c r="T7" s="11">
        <v>2</v>
      </c>
      <c r="U7" s="11">
        <v>2</v>
      </c>
      <c r="V7" s="11" t="s">
        <v>588</v>
      </c>
      <c r="W7" s="11" t="s">
        <v>588</v>
      </c>
      <c r="X7" s="11">
        <v>1</v>
      </c>
      <c r="Y7" s="11">
        <v>1</v>
      </c>
      <c r="Z7" s="11" t="s">
        <v>8</v>
      </c>
      <c r="AA7" s="13">
        <v>45356</v>
      </c>
      <c r="AB7" s="11">
        <v>5</v>
      </c>
      <c r="AC7" s="11">
        <v>3</v>
      </c>
      <c r="AD7" s="11">
        <v>2024</v>
      </c>
      <c r="AE7" s="13" t="s">
        <v>602</v>
      </c>
      <c r="AF7" s="11" t="s">
        <v>588</v>
      </c>
      <c r="AG7" s="11" t="s">
        <v>588</v>
      </c>
      <c r="AH7" s="11" t="s">
        <v>588</v>
      </c>
      <c r="AI7" s="11" t="s">
        <v>588</v>
      </c>
      <c r="AJ7" s="11" t="s">
        <v>588</v>
      </c>
      <c r="AK7" s="13" t="s">
        <v>588</v>
      </c>
      <c r="AL7" s="11" t="s">
        <v>588</v>
      </c>
      <c r="AM7" s="11" t="s">
        <v>588</v>
      </c>
      <c r="AN7" s="11" t="s">
        <v>588</v>
      </c>
      <c r="AO7" s="11" t="s">
        <v>588</v>
      </c>
      <c r="AP7" s="13">
        <v>45366</v>
      </c>
      <c r="AQ7" s="11" t="s">
        <v>22</v>
      </c>
      <c r="AR7" s="11" t="s">
        <v>195</v>
      </c>
      <c r="AS7" s="11">
        <v>1</v>
      </c>
      <c r="AT7" s="11">
        <v>2</v>
      </c>
      <c r="AU7" s="7">
        <v>45373</v>
      </c>
      <c r="AV7" s="13">
        <v>45387</v>
      </c>
      <c r="AW7" s="11" t="s">
        <v>72</v>
      </c>
      <c r="AX7" s="11" t="s">
        <v>20</v>
      </c>
      <c r="AY7" s="11" t="s">
        <v>588</v>
      </c>
      <c r="AZ7" s="11" t="s">
        <v>20</v>
      </c>
      <c r="BA7" s="7" t="s">
        <v>588</v>
      </c>
      <c r="BB7" s="11" t="s">
        <v>588</v>
      </c>
      <c r="BC7" s="11" t="s">
        <v>588</v>
      </c>
      <c r="BD7" s="11" t="s">
        <v>588</v>
      </c>
      <c r="BE7" s="11" t="s">
        <v>588</v>
      </c>
      <c r="BF7" s="11" t="s">
        <v>588</v>
      </c>
      <c r="BG7" s="7" t="s">
        <v>588</v>
      </c>
      <c r="BH7" s="11" t="s">
        <v>588</v>
      </c>
      <c r="BI7" s="11" t="s">
        <v>588</v>
      </c>
      <c r="BJ7" s="11" t="s">
        <v>588</v>
      </c>
      <c r="BK7" s="11" t="s">
        <v>588</v>
      </c>
      <c r="BL7" s="11" t="s">
        <v>588</v>
      </c>
      <c r="BM7" s="11">
        <v>3</v>
      </c>
      <c r="BN7" s="11">
        <v>3</v>
      </c>
      <c r="BO7" s="11" t="s">
        <v>41</v>
      </c>
      <c r="BP7" s="11" t="s">
        <v>588</v>
      </c>
      <c r="BQ7" s="11" t="s">
        <v>588</v>
      </c>
      <c r="BR7" s="11" t="s">
        <v>588</v>
      </c>
      <c r="BS7" s="11" t="s">
        <v>41</v>
      </c>
      <c r="BT7" s="11" t="s">
        <v>588</v>
      </c>
      <c r="BU7" s="11" t="s">
        <v>42</v>
      </c>
      <c r="BV7" s="11" t="s">
        <v>41</v>
      </c>
      <c r="BW7" s="11" t="s">
        <v>588</v>
      </c>
      <c r="BX7" s="11" t="s">
        <v>42</v>
      </c>
      <c r="BY7" s="11" t="s">
        <v>588</v>
      </c>
      <c r="BZ7" s="11" t="s">
        <v>588</v>
      </c>
    </row>
    <row r="8" spans="1:78" x14ac:dyDescent="0.25">
      <c r="A8" s="11">
        <v>202324</v>
      </c>
      <c r="B8" s="11" t="s">
        <v>57</v>
      </c>
      <c r="C8" s="11" t="s">
        <v>57</v>
      </c>
      <c r="D8" s="11" t="s">
        <v>84</v>
      </c>
      <c r="E8" s="11" t="s">
        <v>16</v>
      </c>
      <c r="F8" s="11">
        <v>1</v>
      </c>
      <c r="G8" s="11" t="s">
        <v>653</v>
      </c>
      <c r="H8" s="11" t="s">
        <v>653</v>
      </c>
      <c r="I8" s="13">
        <v>45272</v>
      </c>
      <c r="J8" s="11">
        <v>12</v>
      </c>
      <c r="K8" s="11">
        <v>12</v>
      </c>
      <c r="L8" s="11">
        <v>2023</v>
      </c>
      <c r="M8" s="11" t="s">
        <v>603</v>
      </c>
      <c r="N8" s="11" t="s">
        <v>7</v>
      </c>
      <c r="O8" s="11" t="s">
        <v>10</v>
      </c>
      <c r="P8" s="11" t="s">
        <v>588</v>
      </c>
      <c r="Q8" s="11" t="s">
        <v>588</v>
      </c>
      <c r="R8" s="11">
        <v>-38.675387999999998</v>
      </c>
      <c r="S8" s="11">
        <v>145.602982</v>
      </c>
      <c r="T8" s="11">
        <v>3</v>
      </c>
      <c r="U8" s="11">
        <v>3</v>
      </c>
      <c r="V8" s="11" t="s">
        <v>588</v>
      </c>
      <c r="W8" s="11" t="s">
        <v>588</v>
      </c>
      <c r="X8" s="11">
        <v>23</v>
      </c>
      <c r="Y8" s="11">
        <v>21</v>
      </c>
      <c r="Z8" s="11" t="s">
        <v>8</v>
      </c>
      <c r="AA8" s="13">
        <v>45298</v>
      </c>
      <c r="AB8" s="11">
        <v>7</v>
      </c>
      <c r="AC8" s="11">
        <v>1</v>
      </c>
      <c r="AD8" s="11">
        <v>2024</v>
      </c>
      <c r="AE8" s="13" t="s">
        <v>644</v>
      </c>
      <c r="AF8" s="11" t="s">
        <v>588</v>
      </c>
      <c r="AG8" s="11" t="s">
        <v>588</v>
      </c>
      <c r="AH8" s="11" t="s">
        <v>588</v>
      </c>
      <c r="AI8" s="11" t="s">
        <v>588</v>
      </c>
      <c r="AJ8" s="11" t="s">
        <v>588</v>
      </c>
      <c r="AK8" s="13" t="s">
        <v>588</v>
      </c>
      <c r="AL8" s="11" t="s">
        <v>588</v>
      </c>
      <c r="AM8" s="11" t="s">
        <v>588</v>
      </c>
      <c r="AN8" s="11" t="s">
        <v>588</v>
      </c>
      <c r="AO8" s="11" t="s">
        <v>588</v>
      </c>
      <c r="AP8" s="13">
        <v>45298</v>
      </c>
      <c r="AQ8" s="11" t="s">
        <v>12</v>
      </c>
      <c r="AR8" s="11" t="s">
        <v>195</v>
      </c>
      <c r="AS8" s="11">
        <v>3</v>
      </c>
      <c r="AT8" s="11">
        <v>3</v>
      </c>
      <c r="AU8" s="7">
        <v>45304</v>
      </c>
      <c r="AV8" s="13">
        <v>45305</v>
      </c>
      <c r="AW8" s="11" t="s">
        <v>12</v>
      </c>
      <c r="AX8" s="11" t="s">
        <v>20</v>
      </c>
      <c r="AY8" s="11" t="s">
        <v>588</v>
      </c>
      <c r="AZ8" s="11" t="s">
        <v>20</v>
      </c>
      <c r="BA8" s="7">
        <v>45304</v>
      </c>
      <c r="BB8" s="13">
        <v>45305</v>
      </c>
      <c r="BC8" s="11" t="s">
        <v>12</v>
      </c>
      <c r="BD8" s="11" t="s">
        <v>20</v>
      </c>
      <c r="BE8" s="11" t="s">
        <v>588</v>
      </c>
      <c r="BF8" s="11" t="s">
        <v>20</v>
      </c>
      <c r="BG8" s="7">
        <v>45327</v>
      </c>
      <c r="BH8" s="13">
        <v>45330</v>
      </c>
      <c r="BI8" s="11" t="s">
        <v>21</v>
      </c>
      <c r="BJ8" s="11" t="s">
        <v>20</v>
      </c>
      <c r="BK8" s="11" t="s">
        <v>588</v>
      </c>
      <c r="BL8" s="11" t="s">
        <v>20</v>
      </c>
      <c r="BM8" s="11">
        <v>42</v>
      </c>
      <c r="BN8" s="11">
        <v>29</v>
      </c>
      <c r="BO8" s="11" t="s">
        <v>41</v>
      </c>
      <c r="BP8" s="11" t="s">
        <v>588</v>
      </c>
      <c r="BQ8" s="11" t="s">
        <v>588</v>
      </c>
      <c r="BR8" s="11" t="s">
        <v>588</v>
      </c>
      <c r="BS8" s="11" t="s">
        <v>8</v>
      </c>
      <c r="BT8" s="11" t="s">
        <v>112</v>
      </c>
      <c r="BU8" s="11" t="s">
        <v>112</v>
      </c>
      <c r="BV8" s="11" t="s">
        <v>8</v>
      </c>
      <c r="BW8" s="11" t="s">
        <v>229</v>
      </c>
      <c r="BX8" s="11" t="s">
        <v>229</v>
      </c>
      <c r="BY8" s="11" t="s">
        <v>588</v>
      </c>
      <c r="BZ8" s="11" t="s">
        <v>588</v>
      </c>
    </row>
    <row r="9" spans="1:78" x14ac:dyDescent="0.25">
      <c r="A9" s="11">
        <v>202324</v>
      </c>
      <c r="B9" s="11" t="s">
        <v>23</v>
      </c>
      <c r="C9" s="11" t="s">
        <v>23</v>
      </c>
      <c r="D9" s="11" t="s">
        <v>61</v>
      </c>
      <c r="E9" s="11" t="s">
        <v>16</v>
      </c>
      <c r="F9" s="11">
        <v>1</v>
      </c>
      <c r="G9" s="11" t="s">
        <v>654</v>
      </c>
      <c r="H9" s="11" t="s">
        <v>654</v>
      </c>
      <c r="I9" s="13">
        <v>45227</v>
      </c>
      <c r="J9" s="11">
        <v>28</v>
      </c>
      <c r="K9" s="11">
        <v>10</v>
      </c>
      <c r="L9" s="11">
        <v>2023</v>
      </c>
      <c r="M9" s="11" t="s">
        <v>604</v>
      </c>
      <c r="N9" s="11" t="s">
        <v>29</v>
      </c>
      <c r="O9" s="11" t="s">
        <v>19</v>
      </c>
      <c r="P9" s="11" t="s">
        <v>588</v>
      </c>
      <c r="Q9" s="11" t="s">
        <v>588</v>
      </c>
      <c r="R9" s="11">
        <v>-38.673771000000002</v>
      </c>
      <c r="S9" s="11">
        <v>145.62200899999999</v>
      </c>
      <c r="T9" s="11">
        <v>1</v>
      </c>
      <c r="U9" s="11">
        <v>1</v>
      </c>
      <c r="V9" s="11" t="s">
        <v>588</v>
      </c>
      <c r="W9" s="11" t="s">
        <v>588</v>
      </c>
      <c r="X9" s="11">
        <v>3</v>
      </c>
      <c r="Y9" s="11">
        <v>3</v>
      </c>
      <c r="Z9" s="11" t="s">
        <v>41</v>
      </c>
      <c r="AA9" s="13">
        <v>45227</v>
      </c>
      <c r="AB9" s="11">
        <v>28</v>
      </c>
      <c r="AC9" s="11">
        <v>10</v>
      </c>
      <c r="AD9" s="11">
        <v>2023</v>
      </c>
      <c r="AE9" s="13" t="s">
        <v>604</v>
      </c>
      <c r="AF9" s="11" t="s">
        <v>29</v>
      </c>
      <c r="AG9" s="13">
        <v>45229</v>
      </c>
      <c r="AH9" s="11">
        <v>30</v>
      </c>
      <c r="AI9" s="11">
        <v>10</v>
      </c>
      <c r="AJ9" s="11">
        <v>2023</v>
      </c>
      <c r="AK9" s="13" t="s">
        <v>655</v>
      </c>
      <c r="AL9" s="11" t="s">
        <v>29</v>
      </c>
      <c r="AM9" s="11" t="s">
        <v>20</v>
      </c>
      <c r="AN9" s="11" t="s">
        <v>588</v>
      </c>
      <c r="AO9" s="11" t="s">
        <v>20</v>
      </c>
      <c r="AP9" s="11" t="s">
        <v>588</v>
      </c>
      <c r="AQ9" s="11" t="s">
        <v>588</v>
      </c>
      <c r="AR9" s="11" t="s">
        <v>588</v>
      </c>
      <c r="AS9" s="11" t="s">
        <v>588</v>
      </c>
      <c r="AT9" s="11" t="s">
        <v>588</v>
      </c>
      <c r="AU9" s="7" t="s">
        <v>588</v>
      </c>
      <c r="AV9" s="11" t="s">
        <v>588</v>
      </c>
      <c r="AW9" s="11" t="s">
        <v>588</v>
      </c>
      <c r="AX9" s="11" t="s">
        <v>588</v>
      </c>
      <c r="AY9" s="11" t="s">
        <v>588</v>
      </c>
      <c r="AZ9" s="11" t="s">
        <v>588</v>
      </c>
      <c r="BA9" s="7" t="s">
        <v>588</v>
      </c>
      <c r="BB9" s="11" t="s">
        <v>588</v>
      </c>
      <c r="BC9" s="11" t="s">
        <v>588</v>
      </c>
      <c r="BD9" s="11" t="s">
        <v>588</v>
      </c>
      <c r="BE9" s="11" t="s">
        <v>588</v>
      </c>
      <c r="BF9" s="11" t="s">
        <v>588</v>
      </c>
      <c r="BG9" s="7" t="s">
        <v>588</v>
      </c>
      <c r="BH9" s="11" t="s">
        <v>588</v>
      </c>
      <c r="BI9" s="11" t="s">
        <v>588</v>
      </c>
      <c r="BJ9" s="11" t="s">
        <v>588</v>
      </c>
      <c r="BK9" s="11" t="s">
        <v>588</v>
      </c>
      <c r="BL9" s="11" t="s">
        <v>588</v>
      </c>
      <c r="BM9" s="11" t="s">
        <v>588</v>
      </c>
      <c r="BN9" s="11" t="s">
        <v>588</v>
      </c>
      <c r="BO9" s="11" t="s">
        <v>588</v>
      </c>
      <c r="BP9" s="11" t="s">
        <v>588</v>
      </c>
      <c r="BQ9" s="11" t="s">
        <v>588</v>
      </c>
      <c r="BR9" s="11" t="s">
        <v>588</v>
      </c>
      <c r="BS9" s="11" t="s">
        <v>8</v>
      </c>
      <c r="BT9" s="11" t="s">
        <v>65</v>
      </c>
      <c r="BU9" s="11" t="s">
        <v>65</v>
      </c>
      <c r="BV9" s="11" t="s">
        <v>588</v>
      </c>
      <c r="BW9" s="11" t="s">
        <v>588</v>
      </c>
      <c r="BX9" s="11" t="s">
        <v>588</v>
      </c>
      <c r="BY9" s="11" t="s">
        <v>588</v>
      </c>
      <c r="BZ9" s="11" t="s">
        <v>588</v>
      </c>
    </row>
    <row r="10" spans="1:78" x14ac:dyDescent="0.25">
      <c r="A10" s="11">
        <v>202324</v>
      </c>
      <c r="B10" s="11" t="s">
        <v>23</v>
      </c>
      <c r="C10" s="11" t="s">
        <v>23</v>
      </c>
      <c r="D10" s="11" t="s">
        <v>61</v>
      </c>
      <c r="E10" s="11" t="s">
        <v>16</v>
      </c>
      <c r="F10" s="11">
        <v>2</v>
      </c>
      <c r="G10" s="11" t="s">
        <v>656</v>
      </c>
      <c r="H10" s="11" t="s">
        <v>656</v>
      </c>
      <c r="I10" s="13">
        <v>45232</v>
      </c>
      <c r="J10" s="11">
        <v>2</v>
      </c>
      <c r="K10" s="11">
        <v>11</v>
      </c>
      <c r="L10" s="11">
        <v>2023</v>
      </c>
      <c r="M10" s="11" t="s">
        <v>605</v>
      </c>
      <c r="N10" s="11" t="s">
        <v>17</v>
      </c>
      <c r="O10" s="11" t="s">
        <v>51</v>
      </c>
      <c r="P10" s="11" t="s">
        <v>588</v>
      </c>
      <c r="Q10" s="11" t="s">
        <v>588</v>
      </c>
      <c r="R10" s="11">
        <v>-38.672395000000002</v>
      </c>
      <c r="S10" s="11">
        <v>145.62589500000001</v>
      </c>
      <c r="T10" s="11">
        <v>1</v>
      </c>
      <c r="U10" s="11">
        <v>1</v>
      </c>
      <c r="V10" s="11" t="s">
        <v>588</v>
      </c>
      <c r="W10" s="11" t="s">
        <v>588</v>
      </c>
      <c r="X10" s="11">
        <v>4</v>
      </c>
      <c r="Y10" s="11">
        <v>4</v>
      </c>
      <c r="Z10" s="11" t="s">
        <v>41</v>
      </c>
      <c r="AA10" s="13">
        <v>45234</v>
      </c>
      <c r="AB10" s="11">
        <v>4</v>
      </c>
      <c r="AC10" s="11">
        <v>11</v>
      </c>
      <c r="AD10" s="11">
        <v>2023</v>
      </c>
      <c r="AE10" s="13" t="s">
        <v>657</v>
      </c>
      <c r="AF10" s="11" t="s">
        <v>17</v>
      </c>
      <c r="AG10" s="13">
        <v>45235</v>
      </c>
      <c r="AH10" s="11">
        <v>5</v>
      </c>
      <c r="AI10" s="11">
        <v>11</v>
      </c>
      <c r="AJ10" s="11">
        <v>2023</v>
      </c>
      <c r="AK10" s="13" t="s">
        <v>658</v>
      </c>
      <c r="AL10" s="11" t="s">
        <v>17</v>
      </c>
      <c r="AM10" s="11" t="s">
        <v>20</v>
      </c>
      <c r="AN10" s="11" t="s">
        <v>588</v>
      </c>
      <c r="AO10" s="11" t="s">
        <v>48</v>
      </c>
      <c r="AP10" s="11" t="s">
        <v>588</v>
      </c>
      <c r="AQ10" s="11" t="s">
        <v>588</v>
      </c>
      <c r="AR10" s="11" t="s">
        <v>588</v>
      </c>
      <c r="AS10" s="11" t="s">
        <v>588</v>
      </c>
      <c r="AT10" s="11" t="s">
        <v>588</v>
      </c>
      <c r="AU10" s="7" t="s">
        <v>588</v>
      </c>
      <c r="AV10" s="11" t="s">
        <v>588</v>
      </c>
      <c r="AW10" s="11" t="s">
        <v>588</v>
      </c>
      <c r="AX10" s="11" t="s">
        <v>588</v>
      </c>
      <c r="AY10" s="11" t="s">
        <v>588</v>
      </c>
      <c r="AZ10" s="11" t="s">
        <v>588</v>
      </c>
      <c r="BA10" s="7" t="s">
        <v>588</v>
      </c>
      <c r="BB10" s="11" t="s">
        <v>588</v>
      </c>
      <c r="BC10" s="11" t="s">
        <v>588</v>
      </c>
      <c r="BD10" s="11" t="s">
        <v>588</v>
      </c>
      <c r="BE10" s="11" t="s">
        <v>588</v>
      </c>
      <c r="BF10" s="11" t="s">
        <v>588</v>
      </c>
      <c r="BG10" s="7" t="s">
        <v>588</v>
      </c>
      <c r="BH10" s="11" t="s">
        <v>588</v>
      </c>
      <c r="BI10" s="11" t="s">
        <v>588</v>
      </c>
      <c r="BJ10" s="11" t="s">
        <v>588</v>
      </c>
      <c r="BK10" s="11" t="s">
        <v>588</v>
      </c>
      <c r="BL10" s="11" t="s">
        <v>588</v>
      </c>
      <c r="BM10" s="11" t="s">
        <v>588</v>
      </c>
      <c r="BN10" s="11" t="s">
        <v>588</v>
      </c>
      <c r="BO10" s="11" t="s">
        <v>588</v>
      </c>
      <c r="BP10" s="11" t="s">
        <v>588</v>
      </c>
      <c r="BQ10" s="11" t="s">
        <v>588</v>
      </c>
      <c r="BR10" s="11" t="s">
        <v>588</v>
      </c>
      <c r="BS10" s="11" t="s">
        <v>8</v>
      </c>
      <c r="BT10" s="11" t="s">
        <v>65</v>
      </c>
      <c r="BU10" s="11" t="s">
        <v>65</v>
      </c>
      <c r="BV10" s="11" t="s">
        <v>588</v>
      </c>
      <c r="BW10" s="11" t="s">
        <v>588</v>
      </c>
      <c r="BX10" s="11" t="s">
        <v>588</v>
      </c>
      <c r="BY10" s="11" t="s">
        <v>588</v>
      </c>
      <c r="BZ10" s="11" t="s">
        <v>588</v>
      </c>
    </row>
    <row r="11" spans="1:78" x14ac:dyDescent="0.25">
      <c r="A11" s="11">
        <v>202324</v>
      </c>
      <c r="B11" s="11" t="s">
        <v>23</v>
      </c>
      <c r="C11" s="11" t="s">
        <v>23</v>
      </c>
      <c r="D11" s="11" t="s">
        <v>61</v>
      </c>
      <c r="E11" s="11" t="s">
        <v>16</v>
      </c>
      <c r="F11" s="11">
        <v>3</v>
      </c>
      <c r="G11" s="11" t="s">
        <v>659</v>
      </c>
      <c r="H11" s="11" t="s">
        <v>659</v>
      </c>
      <c r="I11" s="13">
        <v>45273</v>
      </c>
      <c r="J11" s="11">
        <v>13</v>
      </c>
      <c r="K11" s="11">
        <v>12</v>
      </c>
      <c r="L11" s="11">
        <v>2023</v>
      </c>
      <c r="M11" s="11" t="s">
        <v>606</v>
      </c>
      <c r="N11" s="11" t="s">
        <v>7</v>
      </c>
      <c r="O11" s="11" t="s">
        <v>19</v>
      </c>
      <c r="P11" s="11" t="s">
        <v>588</v>
      </c>
      <c r="Q11" s="11" t="s">
        <v>588</v>
      </c>
      <c r="R11" s="11">
        <v>-38.673771000000002</v>
      </c>
      <c r="S11" s="11">
        <v>145.62200899999999</v>
      </c>
      <c r="T11" s="11">
        <v>3</v>
      </c>
      <c r="U11" s="11">
        <v>3</v>
      </c>
      <c r="V11" s="11" t="s">
        <v>588</v>
      </c>
      <c r="W11" s="11" t="s">
        <v>588</v>
      </c>
      <c r="X11" s="11">
        <v>21</v>
      </c>
      <c r="Y11" s="11">
        <v>19</v>
      </c>
      <c r="Z11" s="11" t="s">
        <v>8</v>
      </c>
      <c r="AA11" s="13">
        <v>45304</v>
      </c>
      <c r="AB11" s="11">
        <v>13</v>
      </c>
      <c r="AC11" s="11">
        <v>1</v>
      </c>
      <c r="AD11" s="11">
        <v>2024</v>
      </c>
      <c r="AE11" s="13" t="s">
        <v>601</v>
      </c>
      <c r="AF11" s="11" t="s">
        <v>588</v>
      </c>
      <c r="AG11" s="11" t="s">
        <v>588</v>
      </c>
      <c r="AH11" s="11" t="s">
        <v>588</v>
      </c>
      <c r="AI11" s="11" t="s">
        <v>588</v>
      </c>
      <c r="AJ11" s="11" t="s">
        <v>588</v>
      </c>
      <c r="AK11" s="13" t="s">
        <v>588</v>
      </c>
      <c r="AL11" s="11" t="s">
        <v>588</v>
      </c>
      <c r="AM11" s="11" t="s">
        <v>588</v>
      </c>
      <c r="AN11" s="11" t="s">
        <v>588</v>
      </c>
      <c r="AO11" s="11" t="s">
        <v>588</v>
      </c>
      <c r="AP11" s="13">
        <v>45305</v>
      </c>
      <c r="AQ11" s="11" t="s">
        <v>12</v>
      </c>
      <c r="AR11" s="11" t="s">
        <v>195</v>
      </c>
      <c r="AS11" s="11">
        <v>3</v>
      </c>
      <c r="AT11" s="11">
        <v>3</v>
      </c>
      <c r="AU11" s="7">
        <v>45313</v>
      </c>
      <c r="AV11" s="13">
        <v>45315</v>
      </c>
      <c r="AW11" s="11" t="s">
        <v>12</v>
      </c>
      <c r="AX11" s="11" t="s">
        <v>20</v>
      </c>
      <c r="AY11" s="11" t="s">
        <v>588</v>
      </c>
      <c r="AZ11" s="11" t="s">
        <v>20</v>
      </c>
      <c r="BA11" s="7">
        <v>45326</v>
      </c>
      <c r="BB11" s="13">
        <v>45328</v>
      </c>
      <c r="BC11" s="11" t="s">
        <v>21</v>
      </c>
      <c r="BD11" s="11" t="s">
        <v>20</v>
      </c>
      <c r="BE11" s="11" t="s">
        <v>588</v>
      </c>
      <c r="BF11" s="11" t="s">
        <v>20</v>
      </c>
      <c r="BG11" s="7" t="s">
        <v>588</v>
      </c>
      <c r="BH11" s="11" t="s">
        <v>588</v>
      </c>
      <c r="BI11" s="11" t="s">
        <v>588</v>
      </c>
      <c r="BJ11" s="11" t="s">
        <v>588</v>
      </c>
      <c r="BK11" s="11" t="s">
        <v>588</v>
      </c>
      <c r="BL11" s="11" t="s">
        <v>588</v>
      </c>
      <c r="BM11" s="11">
        <v>40</v>
      </c>
      <c r="BN11" s="11">
        <v>30</v>
      </c>
      <c r="BO11" s="11" t="s">
        <v>8</v>
      </c>
      <c r="BP11" s="11">
        <v>1</v>
      </c>
      <c r="BQ11" s="13">
        <v>45339</v>
      </c>
      <c r="BR11" s="11" t="s">
        <v>21</v>
      </c>
      <c r="BS11" s="11" t="s">
        <v>8</v>
      </c>
      <c r="BT11" s="11" t="s">
        <v>113</v>
      </c>
      <c r="BU11" s="11" t="s">
        <v>113</v>
      </c>
      <c r="BV11" s="11" t="s">
        <v>8</v>
      </c>
      <c r="BW11" s="11" t="s">
        <v>113</v>
      </c>
      <c r="BX11" s="11" t="s">
        <v>113</v>
      </c>
      <c r="BY11" s="11" t="s">
        <v>588</v>
      </c>
      <c r="BZ11" s="11" t="s">
        <v>588</v>
      </c>
    </row>
    <row r="12" spans="1:78" x14ac:dyDescent="0.25">
      <c r="A12" s="11">
        <v>202324</v>
      </c>
      <c r="B12" s="11" t="s">
        <v>114</v>
      </c>
      <c r="C12" s="11" t="s">
        <v>114</v>
      </c>
      <c r="D12" s="11" t="s">
        <v>109</v>
      </c>
      <c r="E12" s="11" t="s">
        <v>16</v>
      </c>
      <c r="F12" s="11">
        <v>1</v>
      </c>
      <c r="G12" s="11" t="s">
        <v>660</v>
      </c>
      <c r="H12" s="11" t="s">
        <v>660</v>
      </c>
      <c r="I12" s="13">
        <v>45293</v>
      </c>
      <c r="J12" s="11">
        <v>2</v>
      </c>
      <c r="K12" s="11">
        <v>1</v>
      </c>
      <c r="L12" s="11">
        <v>2024</v>
      </c>
      <c r="M12" s="11" t="s">
        <v>607</v>
      </c>
      <c r="N12" s="11" t="s">
        <v>12</v>
      </c>
      <c r="O12" s="11" t="s">
        <v>10</v>
      </c>
      <c r="P12" s="11" t="s">
        <v>588</v>
      </c>
      <c r="Q12" s="11" t="s">
        <v>588</v>
      </c>
      <c r="R12" s="11">
        <v>-38.661960999999998</v>
      </c>
      <c r="S12" s="11">
        <v>145.58178599999999</v>
      </c>
      <c r="T12" s="11">
        <v>2</v>
      </c>
      <c r="U12" s="11">
        <v>2</v>
      </c>
      <c r="V12" s="11" t="s">
        <v>588</v>
      </c>
      <c r="W12" s="11" t="s">
        <v>588</v>
      </c>
      <c r="X12" s="11">
        <v>6</v>
      </c>
      <c r="Y12" s="11">
        <v>6</v>
      </c>
      <c r="Z12" s="11" t="s">
        <v>41</v>
      </c>
      <c r="AA12" s="13">
        <v>45306</v>
      </c>
      <c r="AB12" s="11">
        <v>15</v>
      </c>
      <c r="AC12" s="11">
        <v>1</v>
      </c>
      <c r="AD12" s="11">
        <v>2024</v>
      </c>
      <c r="AE12" s="13" t="s">
        <v>631</v>
      </c>
      <c r="AF12" s="11" t="s">
        <v>12</v>
      </c>
      <c r="AG12" s="13">
        <v>45311</v>
      </c>
      <c r="AH12" s="11">
        <v>20</v>
      </c>
      <c r="AI12" s="11">
        <v>1</v>
      </c>
      <c r="AJ12" s="11">
        <v>2024</v>
      </c>
      <c r="AK12" s="13" t="s">
        <v>661</v>
      </c>
      <c r="AL12" s="11" t="s">
        <v>12</v>
      </c>
      <c r="AM12" s="11" t="s">
        <v>20</v>
      </c>
      <c r="AN12" s="11" t="s">
        <v>588</v>
      </c>
      <c r="AO12" s="11" t="s">
        <v>11</v>
      </c>
      <c r="AP12" s="11" t="s">
        <v>588</v>
      </c>
      <c r="AQ12" s="11" t="s">
        <v>588</v>
      </c>
      <c r="AR12" s="11" t="s">
        <v>588</v>
      </c>
      <c r="AS12" s="11" t="s">
        <v>588</v>
      </c>
      <c r="AT12" s="11" t="s">
        <v>588</v>
      </c>
      <c r="AU12" s="7" t="s">
        <v>588</v>
      </c>
      <c r="AV12" s="11" t="s">
        <v>588</v>
      </c>
      <c r="AW12" s="11" t="s">
        <v>588</v>
      </c>
      <c r="AX12" s="11" t="s">
        <v>588</v>
      </c>
      <c r="AY12" s="11" t="s">
        <v>588</v>
      </c>
      <c r="AZ12" s="11" t="s">
        <v>588</v>
      </c>
      <c r="BA12" s="7" t="s">
        <v>588</v>
      </c>
      <c r="BB12" s="11" t="s">
        <v>588</v>
      </c>
      <c r="BC12" s="11" t="s">
        <v>588</v>
      </c>
      <c r="BD12" s="11" t="s">
        <v>588</v>
      </c>
      <c r="BE12" s="11" t="s">
        <v>588</v>
      </c>
      <c r="BF12" s="11" t="s">
        <v>588</v>
      </c>
      <c r="BG12" s="7" t="s">
        <v>588</v>
      </c>
      <c r="BH12" s="11" t="s">
        <v>588</v>
      </c>
      <c r="BI12" s="11" t="s">
        <v>588</v>
      </c>
      <c r="BJ12" s="11" t="s">
        <v>588</v>
      </c>
      <c r="BK12" s="11" t="s">
        <v>588</v>
      </c>
      <c r="BL12" s="11" t="s">
        <v>588</v>
      </c>
      <c r="BM12" s="11" t="s">
        <v>588</v>
      </c>
      <c r="BN12" s="11" t="s">
        <v>588</v>
      </c>
      <c r="BO12" s="11" t="s">
        <v>588</v>
      </c>
      <c r="BP12" s="11" t="s">
        <v>588</v>
      </c>
      <c r="BQ12" s="11" t="s">
        <v>588</v>
      </c>
      <c r="BR12" s="11" t="s">
        <v>588</v>
      </c>
      <c r="BS12" s="11" t="s">
        <v>8</v>
      </c>
      <c r="BT12" s="11" t="s">
        <v>9</v>
      </c>
      <c r="BU12" s="11" t="s">
        <v>9</v>
      </c>
      <c r="BV12" s="11" t="s">
        <v>588</v>
      </c>
      <c r="BW12" s="11" t="s">
        <v>588</v>
      </c>
      <c r="BX12" s="11" t="s">
        <v>588</v>
      </c>
      <c r="BY12" s="11" t="s">
        <v>588</v>
      </c>
      <c r="BZ12" s="11" t="s">
        <v>588</v>
      </c>
    </row>
    <row r="13" spans="1:78" x14ac:dyDescent="0.25">
      <c r="A13" s="11">
        <v>202324</v>
      </c>
      <c r="B13" s="11" t="s">
        <v>14</v>
      </c>
      <c r="C13" s="11" t="s">
        <v>14</v>
      </c>
      <c r="D13" s="11" t="s">
        <v>82</v>
      </c>
      <c r="E13" s="11" t="s">
        <v>16</v>
      </c>
      <c r="F13" s="11">
        <v>1</v>
      </c>
      <c r="G13" s="11" t="s">
        <v>662</v>
      </c>
      <c r="H13" s="11" t="s">
        <v>662</v>
      </c>
      <c r="I13" s="13">
        <v>45275</v>
      </c>
      <c r="J13" s="11">
        <v>15</v>
      </c>
      <c r="K13" s="11">
        <v>12</v>
      </c>
      <c r="L13" s="11">
        <v>2023</v>
      </c>
      <c r="M13" s="11" t="s">
        <v>608</v>
      </c>
      <c r="N13" s="11" t="s">
        <v>7</v>
      </c>
      <c r="O13" s="11" t="s">
        <v>19</v>
      </c>
      <c r="P13" s="11">
        <v>-38.659759999999999</v>
      </c>
      <c r="Q13" s="11">
        <v>145.58099999999999</v>
      </c>
      <c r="R13" s="11" t="s">
        <v>588</v>
      </c>
      <c r="S13" s="11" t="s">
        <v>588</v>
      </c>
      <c r="T13" s="11">
        <v>2</v>
      </c>
      <c r="U13" s="11">
        <v>2</v>
      </c>
      <c r="V13" s="11" t="s">
        <v>588</v>
      </c>
      <c r="W13" s="11" t="s">
        <v>588</v>
      </c>
      <c r="X13" s="11">
        <v>3</v>
      </c>
      <c r="Y13" s="11">
        <v>3</v>
      </c>
      <c r="Z13" s="11" t="s">
        <v>41</v>
      </c>
      <c r="AA13" s="13">
        <v>45277</v>
      </c>
      <c r="AB13" s="11">
        <v>17</v>
      </c>
      <c r="AC13" s="11">
        <v>12</v>
      </c>
      <c r="AD13" s="11">
        <v>2023</v>
      </c>
      <c r="AE13" s="13" t="s">
        <v>663</v>
      </c>
      <c r="AF13" s="11" t="s">
        <v>7</v>
      </c>
      <c r="AG13" s="13">
        <v>45279</v>
      </c>
      <c r="AH13" s="11">
        <v>19</v>
      </c>
      <c r="AI13" s="11">
        <v>12</v>
      </c>
      <c r="AJ13" s="11">
        <v>2023</v>
      </c>
      <c r="AK13" s="13" t="s">
        <v>622</v>
      </c>
      <c r="AL13" s="11" t="s">
        <v>7</v>
      </c>
      <c r="AM13" s="11" t="s">
        <v>20</v>
      </c>
      <c r="AN13" s="11" t="s">
        <v>588</v>
      </c>
      <c r="AO13" s="11" t="s">
        <v>11</v>
      </c>
      <c r="AP13" s="11" t="s">
        <v>588</v>
      </c>
      <c r="AQ13" s="11" t="s">
        <v>588</v>
      </c>
      <c r="AR13" s="11" t="s">
        <v>588</v>
      </c>
      <c r="AS13" s="11" t="s">
        <v>588</v>
      </c>
      <c r="AT13" s="11" t="s">
        <v>588</v>
      </c>
      <c r="AU13" s="7" t="s">
        <v>588</v>
      </c>
      <c r="AV13" s="11" t="s">
        <v>588</v>
      </c>
      <c r="AW13" s="11" t="s">
        <v>588</v>
      </c>
      <c r="AX13" s="11" t="s">
        <v>588</v>
      </c>
      <c r="AY13" s="11" t="s">
        <v>588</v>
      </c>
      <c r="AZ13" s="11" t="s">
        <v>588</v>
      </c>
      <c r="BA13" s="7" t="s">
        <v>588</v>
      </c>
      <c r="BB13" s="11" t="s">
        <v>588</v>
      </c>
      <c r="BC13" s="11" t="s">
        <v>588</v>
      </c>
      <c r="BD13" s="11" t="s">
        <v>588</v>
      </c>
      <c r="BE13" s="11" t="s">
        <v>588</v>
      </c>
      <c r="BF13" s="11" t="s">
        <v>588</v>
      </c>
      <c r="BG13" s="7" t="s">
        <v>588</v>
      </c>
      <c r="BH13" s="11" t="s">
        <v>588</v>
      </c>
      <c r="BI13" s="11" t="s">
        <v>588</v>
      </c>
      <c r="BJ13" s="11" t="s">
        <v>588</v>
      </c>
      <c r="BK13" s="11" t="s">
        <v>588</v>
      </c>
      <c r="BL13" s="11" t="s">
        <v>588</v>
      </c>
      <c r="BM13" s="11" t="s">
        <v>588</v>
      </c>
      <c r="BN13" s="11" t="s">
        <v>588</v>
      </c>
      <c r="BO13" s="11" t="s">
        <v>588</v>
      </c>
      <c r="BP13" s="11" t="s">
        <v>588</v>
      </c>
      <c r="BQ13" s="11" t="s">
        <v>588</v>
      </c>
      <c r="BR13" s="11" t="s">
        <v>588</v>
      </c>
      <c r="BS13" s="11" t="s">
        <v>8</v>
      </c>
      <c r="BT13" s="11" t="s">
        <v>9</v>
      </c>
      <c r="BU13" s="11" t="s">
        <v>9</v>
      </c>
      <c r="BV13" s="11" t="s">
        <v>588</v>
      </c>
      <c r="BW13" s="11" t="s">
        <v>588</v>
      </c>
      <c r="BX13" s="11" t="s">
        <v>588</v>
      </c>
      <c r="BY13" s="11" t="s">
        <v>588</v>
      </c>
      <c r="BZ13" s="11" t="s">
        <v>588</v>
      </c>
    </row>
    <row r="14" spans="1:78" x14ac:dyDescent="0.25">
      <c r="A14" s="11">
        <v>202324</v>
      </c>
      <c r="B14" s="11" t="s">
        <v>14</v>
      </c>
      <c r="C14" s="11" t="s">
        <v>14</v>
      </c>
      <c r="D14" s="11" t="s">
        <v>82</v>
      </c>
      <c r="E14" s="11" t="s">
        <v>16</v>
      </c>
      <c r="F14" s="11">
        <v>2</v>
      </c>
      <c r="G14" s="11" t="s">
        <v>664</v>
      </c>
      <c r="H14" s="11" t="s">
        <v>664</v>
      </c>
      <c r="I14" s="13">
        <v>45295</v>
      </c>
      <c r="J14" s="11">
        <v>4</v>
      </c>
      <c r="K14" s="11">
        <v>1</v>
      </c>
      <c r="L14" s="11">
        <v>2024</v>
      </c>
      <c r="M14" s="11" t="s">
        <v>599</v>
      </c>
      <c r="N14" s="11" t="s">
        <v>12</v>
      </c>
      <c r="O14" s="11" t="s">
        <v>19</v>
      </c>
      <c r="P14" s="11" t="s">
        <v>588</v>
      </c>
      <c r="Q14" s="11" t="s">
        <v>588</v>
      </c>
      <c r="R14" s="11">
        <v>-38.659362000000002</v>
      </c>
      <c r="S14" s="11">
        <v>145.58063999999999</v>
      </c>
      <c r="T14" s="11">
        <v>2</v>
      </c>
      <c r="U14" s="11">
        <v>2</v>
      </c>
      <c r="V14" s="11" t="s">
        <v>588</v>
      </c>
      <c r="W14" s="11" t="s">
        <v>588</v>
      </c>
      <c r="X14" s="11">
        <v>7</v>
      </c>
      <c r="Y14" s="11">
        <v>7</v>
      </c>
      <c r="Z14" s="11" t="s">
        <v>8</v>
      </c>
      <c r="AA14" s="13">
        <v>45318</v>
      </c>
      <c r="AB14" s="11">
        <v>27</v>
      </c>
      <c r="AC14" s="11">
        <v>1</v>
      </c>
      <c r="AD14" s="11">
        <v>2024</v>
      </c>
      <c r="AE14" s="13" t="s">
        <v>611</v>
      </c>
      <c r="AF14" s="11" t="s">
        <v>588</v>
      </c>
      <c r="AG14" s="11" t="s">
        <v>588</v>
      </c>
      <c r="AH14" s="11" t="s">
        <v>588</v>
      </c>
      <c r="AI14" s="11" t="s">
        <v>588</v>
      </c>
      <c r="AJ14" s="11" t="s">
        <v>588</v>
      </c>
      <c r="AK14" s="13" t="s">
        <v>588</v>
      </c>
      <c r="AL14" s="11" t="s">
        <v>588</v>
      </c>
      <c r="AM14" s="11" t="s">
        <v>588</v>
      </c>
      <c r="AN14" s="11" t="s">
        <v>588</v>
      </c>
      <c r="AO14" s="11" t="s">
        <v>588</v>
      </c>
      <c r="AP14" s="13">
        <v>45319</v>
      </c>
      <c r="AQ14" s="11" t="s">
        <v>12</v>
      </c>
      <c r="AR14" s="11" t="s">
        <v>195</v>
      </c>
      <c r="AS14" s="11">
        <v>2</v>
      </c>
      <c r="AT14" s="11">
        <v>2</v>
      </c>
      <c r="AU14" s="7">
        <v>45334</v>
      </c>
      <c r="AV14" s="13">
        <v>45338</v>
      </c>
      <c r="AW14" s="11" t="s">
        <v>21</v>
      </c>
      <c r="AX14" s="11" t="s">
        <v>20</v>
      </c>
      <c r="AY14" s="11" t="s">
        <v>588</v>
      </c>
      <c r="AZ14" s="11" t="s">
        <v>20</v>
      </c>
      <c r="BA14" s="7">
        <v>45339</v>
      </c>
      <c r="BB14" s="13">
        <v>45340</v>
      </c>
      <c r="BC14" s="11" t="s">
        <v>21</v>
      </c>
      <c r="BD14" s="11" t="s">
        <v>20</v>
      </c>
      <c r="BE14" s="11" t="s">
        <v>588</v>
      </c>
      <c r="BF14" s="11" t="s">
        <v>32</v>
      </c>
      <c r="BG14" s="7" t="s">
        <v>588</v>
      </c>
      <c r="BH14" s="11" t="s">
        <v>588</v>
      </c>
      <c r="BI14" s="11" t="s">
        <v>588</v>
      </c>
      <c r="BJ14" s="11" t="s">
        <v>588</v>
      </c>
      <c r="BK14" s="11" t="s">
        <v>588</v>
      </c>
      <c r="BL14" s="11" t="s">
        <v>588</v>
      </c>
      <c r="BM14" s="11">
        <v>14</v>
      </c>
      <c r="BN14" s="11">
        <v>14</v>
      </c>
      <c r="BO14" s="11" t="s">
        <v>41</v>
      </c>
      <c r="BP14" s="11" t="s">
        <v>588</v>
      </c>
      <c r="BQ14" s="11" t="s">
        <v>588</v>
      </c>
      <c r="BR14" s="11" t="s">
        <v>588</v>
      </c>
      <c r="BS14" s="11" t="s">
        <v>8</v>
      </c>
      <c r="BT14" s="11" t="s">
        <v>9</v>
      </c>
      <c r="BU14" s="11" t="s">
        <v>9</v>
      </c>
      <c r="BV14" s="11" t="s">
        <v>8</v>
      </c>
      <c r="BW14" s="11" t="s">
        <v>96</v>
      </c>
      <c r="BX14" s="11" t="s">
        <v>96</v>
      </c>
      <c r="BY14" s="11" t="s">
        <v>588</v>
      </c>
      <c r="BZ14" s="11" t="s">
        <v>588</v>
      </c>
    </row>
    <row r="15" spans="1:78" x14ac:dyDescent="0.25">
      <c r="A15" s="11">
        <v>202324</v>
      </c>
      <c r="B15" s="11" t="s">
        <v>759</v>
      </c>
      <c r="C15" s="11" t="s">
        <v>460</v>
      </c>
      <c r="D15" s="11" t="s">
        <v>388</v>
      </c>
      <c r="E15" s="11" t="s">
        <v>267</v>
      </c>
      <c r="F15" s="11">
        <v>1</v>
      </c>
      <c r="G15" s="11" t="s">
        <v>389</v>
      </c>
      <c r="H15" s="11" t="s">
        <v>665</v>
      </c>
      <c r="I15" s="13">
        <v>45255</v>
      </c>
      <c r="J15" s="11">
        <v>25</v>
      </c>
      <c r="K15" s="11">
        <v>11</v>
      </c>
      <c r="L15" s="11">
        <v>2023</v>
      </c>
      <c r="M15" s="11" t="s">
        <v>609</v>
      </c>
      <c r="N15" s="11" t="s">
        <v>17</v>
      </c>
      <c r="O15" s="11" t="s">
        <v>10</v>
      </c>
      <c r="P15" s="11" t="s">
        <v>588</v>
      </c>
      <c r="Q15" s="11" t="s">
        <v>588</v>
      </c>
      <c r="R15" s="11">
        <v>-38.644027999999999</v>
      </c>
      <c r="S15" s="11">
        <v>145.55789200000001</v>
      </c>
      <c r="T15" s="11">
        <v>1</v>
      </c>
      <c r="U15" s="11">
        <v>3</v>
      </c>
      <c r="V15" s="11" t="s">
        <v>588</v>
      </c>
      <c r="W15" s="11" t="s">
        <v>588</v>
      </c>
      <c r="X15" s="11">
        <v>2</v>
      </c>
      <c r="Y15" s="11">
        <v>2</v>
      </c>
      <c r="Z15" s="11" t="s">
        <v>41</v>
      </c>
      <c r="AA15" s="13">
        <v>45255</v>
      </c>
      <c r="AB15" s="11">
        <v>25</v>
      </c>
      <c r="AC15" s="11">
        <v>11</v>
      </c>
      <c r="AD15" s="11">
        <v>2023</v>
      </c>
      <c r="AE15" s="13" t="s">
        <v>609</v>
      </c>
      <c r="AF15" s="11" t="s">
        <v>17</v>
      </c>
      <c r="AG15" s="13">
        <v>45274</v>
      </c>
      <c r="AH15" s="11">
        <v>14</v>
      </c>
      <c r="AI15" s="11">
        <v>12</v>
      </c>
      <c r="AJ15" s="11">
        <v>2023</v>
      </c>
      <c r="AK15" s="13" t="s">
        <v>610</v>
      </c>
      <c r="AL15" s="11" t="s">
        <v>7</v>
      </c>
      <c r="AM15" s="11" t="s">
        <v>20</v>
      </c>
      <c r="AN15" s="11" t="s">
        <v>588</v>
      </c>
      <c r="AO15" s="11" t="s">
        <v>20</v>
      </c>
      <c r="AP15" s="11" t="s">
        <v>588</v>
      </c>
      <c r="AQ15" s="11" t="s">
        <v>588</v>
      </c>
      <c r="AR15" s="11" t="s">
        <v>588</v>
      </c>
      <c r="AS15" s="11" t="s">
        <v>588</v>
      </c>
      <c r="AT15" s="11" t="s">
        <v>588</v>
      </c>
      <c r="AU15" s="7" t="s">
        <v>588</v>
      </c>
      <c r="AV15" s="11" t="s">
        <v>588</v>
      </c>
      <c r="AW15" s="11" t="s">
        <v>588</v>
      </c>
      <c r="AX15" s="11" t="s">
        <v>588</v>
      </c>
      <c r="AY15" s="11" t="s">
        <v>588</v>
      </c>
      <c r="AZ15" s="11" t="s">
        <v>588</v>
      </c>
      <c r="BA15" s="7" t="s">
        <v>588</v>
      </c>
      <c r="BB15" s="11" t="s">
        <v>588</v>
      </c>
      <c r="BC15" s="11" t="s">
        <v>588</v>
      </c>
      <c r="BD15" s="11" t="s">
        <v>588</v>
      </c>
      <c r="BE15" s="11" t="s">
        <v>588</v>
      </c>
      <c r="BF15" s="11" t="s">
        <v>588</v>
      </c>
      <c r="BG15" s="7" t="s">
        <v>588</v>
      </c>
      <c r="BH15" s="11" t="s">
        <v>588</v>
      </c>
      <c r="BI15" s="11" t="s">
        <v>588</v>
      </c>
      <c r="BJ15" s="11" t="s">
        <v>588</v>
      </c>
      <c r="BK15" s="11" t="s">
        <v>588</v>
      </c>
      <c r="BL15" s="11" t="s">
        <v>588</v>
      </c>
      <c r="BM15" s="11" t="s">
        <v>588</v>
      </c>
      <c r="BN15" s="11" t="s">
        <v>588</v>
      </c>
      <c r="BO15" s="11" t="s">
        <v>588</v>
      </c>
      <c r="BP15" s="11" t="s">
        <v>588</v>
      </c>
      <c r="BQ15" s="11" t="s">
        <v>588</v>
      </c>
      <c r="BR15" s="11" t="s">
        <v>588</v>
      </c>
      <c r="BS15" s="11" t="s">
        <v>41</v>
      </c>
      <c r="BT15" s="11" t="s">
        <v>588</v>
      </c>
      <c r="BU15" s="11" t="s">
        <v>42</v>
      </c>
      <c r="BV15" s="11" t="s">
        <v>588</v>
      </c>
      <c r="BW15" s="11" t="s">
        <v>588</v>
      </c>
      <c r="BX15" s="11" t="s">
        <v>588</v>
      </c>
      <c r="BY15" s="11" t="s">
        <v>315</v>
      </c>
      <c r="BZ15" s="11" t="s">
        <v>588</v>
      </c>
    </row>
    <row r="16" spans="1:78" x14ac:dyDescent="0.25">
      <c r="A16" s="11">
        <v>202324</v>
      </c>
      <c r="B16" s="11" t="s">
        <v>390</v>
      </c>
      <c r="C16" s="11" t="s">
        <v>265</v>
      </c>
      <c r="D16" s="11" t="s">
        <v>388</v>
      </c>
      <c r="E16" s="11" t="s">
        <v>267</v>
      </c>
      <c r="F16" s="11">
        <v>2</v>
      </c>
      <c r="G16" s="11" t="s">
        <v>391</v>
      </c>
      <c r="H16" s="11" t="s">
        <v>666</v>
      </c>
      <c r="I16" s="13">
        <v>45274</v>
      </c>
      <c r="J16" s="11">
        <v>14</v>
      </c>
      <c r="K16" s="11">
        <v>12</v>
      </c>
      <c r="L16" s="11">
        <v>2023</v>
      </c>
      <c r="M16" s="11" t="s">
        <v>610</v>
      </c>
      <c r="N16" s="11" t="s">
        <v>7</v>
      </c>
      <c r="O16" s="11" t="s">
        <v>51</v>
      </c>
      <c r="P16" s="11" t="s">
        <v>588</v>
      </c>
      <c r="Q16" s="11" t="s">
        <v>588</v>
      </c>
      <c r="R16" s="11">
        <v>-38.646042000000001</v>
      </c>
      <c r="S16" s="11">
        <v>145.55928</v>
      </c>
      <c r="T16" s="11">
        <v>3</v>
      </c>
      <c r="U16" s="11">
        <v>3</v>
      </c>
      <c r="V16" s="11" t="s">
        <v>588</v>
      </c>
      <c r="W16" s="11" t="s">
        <v>588</v>
      </c>
      <c r="X16" s="11">
        <v>2</v>
      </c>
      <c r="Y16" s="11">
        <v>2</v>
      </c>
      <c r="Z16" s="11" t="s">
        <v>41</v>
      </c>
      <c r="AA16" s="13">
        <v>45274</v>
      </c>
      <c r="AB16" s="11">
        <v>14</v>
      </c>
      <c r="AC16" s="11">
        <v>12</v>
      </c>
      <c r="AD16" s="11">
        <v>2023</v>
      </c>
      <c r="AE16" s="13" t="s">
        <v>610</v>
      </c>
      <c r="AF16" s="11" t="s">
        <v>7</v>
      </c>
      <c r="AG16" s="13">
        <v>45284</v>
      </c>
      <c r="AH16" s="11">
        <v>24</v>
      </c>
      <c r="AI16" s="11">
        <v>12</v>
      </c>
      <c r="AJ16" s="11">
        <v>2023</v>
      </c>
      <c r="AK16" s="13" t="s">
        <v>667</v>
      </c>
      <c r="AL16" s="11" t="s">
        <v>7</v>
      </c>
      <c r="AM16" s="11" t="s">
        <v>20</v>
      </c>
      <c r="AN16" s="11" t="s">
        <v>588</v>
      </c>
      <c r="AO16" s="11" t="s">
        <v>20</v>
      </c>
      <c r="AP16" s="11" t="s">
        <v>588</v>
      </c>
      <c r="AQ16" s="11" t="s">
        <v>588</v>
      </c>
      <c r="AR16" s="11" t="s">
        <v>588</v>
      </c>
      <c r="AS16" s="11" t="s">
        <v>588</v>
      </c>
      <c r="AT16" s="11" t="s">
        <v>588</v>
      </c>
      <c r="AU16" s="7" t="s">
        <v>588</v>
      </c>
      <c r="AV16" s="11" t="s">
        <v>588</v>
      </c>
      <c r="AW16" s="11" t="s">
        <v>588</v>
      </c>
      <c r="AX16" s="11" t="s">
        <v>588</v>
      </c>
      <c r="AY16" s="11" t="s">
        <v>588</v>
      </c>
      <c r="AZ16" s="11" t="s">
        <v>588</v>
      </c>
      <c r="BA16" s="7" t="s">
        <v>588</v>
      </c>
      <c r="BB16" s="11" t="s">
        <v>588</v>
      </c>
      <c r="BC16" s="11" t="s">
        <v>588</v>
      </c>
      <c r="BD16" s="11" t="s">
        <v>588</v>
      </c>
      <c r="BE16" s="11" t="s">
        <v>588</v>
      </c>
      <c r="BF16" s="11" t="s">
        <v>588</v>
      </c>
      <c r="BG16" s="7" t="s">
        <v>588</v>
      </c>
      <c r="BH16" s="11" t="s">
        <v>588</v>
      </c>
      <c r="BI16" s="11" t="s">
        <v>588</v>
      </c>
      <c r="BJ16" s="11" t="s">
        <v>588</v>
      </c>
      <c r="BK16" s="11" t="s">
        <v>588</v>
      </c>
      <c r="BL16" s="11" t="s">
        <v>588</v>
      </c>
      <c r="BM16" s="11" t="s">
        <v>588</v>
      </c>
      <c r="BN16" s="11" t="s">
        <v>588</v>
      </c>
      <c r="BO16" s="11" t="s">
        <v>588</v>
      </c>
      <c r="BP16" s="11" t="s">
        <v>588</v>
      </c>
      <c r="BQ16" s="11" t="s">
        <v>588</v>
      </c>
      <c r="BR16" s="11" t="s">
        <v>588</v>
      </c>
      <c r="BS16" s="11" t="s">
        <v>8</v>
      </c>
      <c r="BT16" s="11" t="s">
        <v>9</v>
      </c>
      <c r="BU16" s="11" t="s">
        <v>9</v>
      </c>
      <c r="BV16" s="11" t="s">
        <v>588</v>
      </c>
      <c r="BW16" s="11" t="s">
        <v>588</v>
      </c>
      <c r="BX16" s="11" t="s">
        <v>588</v>
      </c>
      <c r="BY16" s="11" t="s">
        <v>588</v>
      </c>
      <c r="BZ16" s="11" t="s">
        <v>588</v>
      </c>
    </row>
    <row r="17" spans="1:78" x14ac:dyDescent="0.25">
      <c r="A17" s="11">
        <v>202324</v>
      </c>
      <c r="B17" s="11" t="s">
        <v>390</v>
      </c>
      <c r="C17" s="11" t="s">
        <v>265</v>
      </c>
      <c r="D17" s="11" t="s">
        <v>388</v>
      </c>
      <c r="E17" s="11" t="s">
        <v>267</v>
      </c>
      <c r="F17" s="11">
        <v>3</v>
      </c>
      <c r="G17" s="11" t="s">
        <v>392</v>
      </c>
      <c r="H17" s="11" t="s">
        <v>668</v>
      </c>
      <c r="I17" s="13">
        <v>45292</v>
      </c>
      <c r="J17" s="11">
        <v>1</v>
      </c>
      <c r="K17" s="11">
        <v>1</v>
      </c>
      <c r="L17" s="11">
        <v>2024</v>
      </c>
      <c r="M17" s="11" t="s">
        <v>600</v>
      </c>
      <c r="N17" s="11" t="s">
        <v>12</v>
      </c>
      <c r="O17" s="11" t="s">
        <v>51</v>
      </c>
      <c r="P17" s="11" t="s">
        <v>588</v>
      </c>
      <c r="Q17" s="11" t="s">
        <v>588</v>
      </c>
      <c r="R17" s="11">
        <v>-38.646042000000001</v>
      </c>
      <c r="S17" s="11">
        <v>145.55928</v>
      </c>
      <c r="T17" s="11">
        <v>1</v>
      </c>
      <c r="U17" s="11">
        <v>3</v>
      </c>
      <c r="V17" s="11" t="s">
        <v>588</v>
      </c>
      <c r="W17" s="11" t="s">
        <v>588</v>
      </c>
      <c r="X17" s="11">
        <v>2</v>
      </c>
      <c r="Y17" s="11">
        <v>2</v>
      </c>
      <c r="Z17" s="11" t="s">
        <v>41</v>
      </c>
      <c r="AA17" s="13">
        <v>45292</v>
      </c>
      <c r="AB17" s="11">
        <v>1</v>
      </c>
      <c r="AC17" s="11">
        <v>1</v>
      </c>
      <c r="AD17" s="11">
        <v>2024</v>
      </c>
      <c r="AE17" s="13" t="s">
        <v>600</v>
      </c>
      <c r="AF17" s="11" t="s">
        <v>12</v>
      </c>
      <c r="AG17" s="13">
        <v>45314</v>
      </c>
      <c r="AH17" s="11">
        <v>23</v>
      </c>
      <c r="AI17" s="11">
        <v>1</v>
      </c>
      <c r="AJ17" s="11">
        <v>2024</v>
      </c>
      <c r="AK17" s="13" t="s">
        <v>669</v>
      </c>
      <c r="AL17" s="11" t="s">
        <v>12</v>
      </c>
      <c r="AM17" s="11" t="s">
        <v>20</v>
      </c>
      <c r="AN17" s="11" t="s">
        <v>588</v>
      </c>
      <c r="AO17" s="11" t="s">
        <v>20</v>
      </c>
      <c r="AP17" s="13" t="s">
        <v>588</v>
      </c>
      <c r="AQ17" s="11" t="s">
        <v>588</v>
      </c>
      <c r="AR17" s="11" t="s">
        <v>588</v>
      </c>
      <c r="AS17" s="11" t="s">
        <v>588</v>
      </c>
      <c r="AT17" s="11" t="s">
        <v>588</v>
      </c>
      <c r="AU17" s="7" t="s">
        <v>588</v>
      </c>
      <c r="AV17" s="13" t="s">
        <v>588</v>
      </c>
      <c r="AW17" s="11" t="s">
        <v>588</v>
      </c>
      <c r="AX17" s="11" t="s">
        <v>588</v>
      </c>
      <c r="AY17" s="11" t="s">
        <v>588</v>
      </c>
      <c r="AZ17" s="11" t="s">
        <v>588</v>
      </c>
      <c r="BA17" s="7" t="s">
        <v>588</v>
      </c>
      <c r="BB17" s="13" t="s">
        <v>588</v>
      </c>
      <c r="BC17" s="11" t="s">
        <v>588</v>
      </c>
      <c r="BD17" s="11" t="s">
        <v>588</v>
      </c>
      <c r="BE17" s="11" t="s">
        <v>588</v>
      </c>
      <c r="BF17" s="11" t="s">
        <v>588</v>
      </c>
      <c r="BG17" s="7" t="s">
        <v>588</v>
      </c>
      <c r="BH17" s="11" t="s">
        <v>588</v>
      </c>
      <c r="BI17" s="11" t="s">
        <v>588</v>
      </c>
      <c r="BJ17" s="11" t="s">
        <v>588</v>
      </c>
      <c r="BK17" s="11" t="s">
        <v>588</v>
      </c>
      <c r="BL17" s="11" t="s">
        <v>588</v>
      </c>
      <c r="BM17" s="11" t="s">
        <v>588</v>
      </c>
      <c r="BN17" s="11" t="s">
        <v>588</v>
      </c>
      <c r="BO17" s="11" t="s">
        <v>588</v>
      </c>
      <c r="BP17" s="11" t="s">
        <v>588</v>
      </c>
      <c r="BQ17" s="13" t="s">
        <v>588</v>
      </c>
      <c r="BR17" s="11" t="s">
        <v>588</v>
      </c>
      <c r="BS17" s="11" t="s">
        <v>8</v>
      </c>
      <c r="BT17" s="11" t="s">
        <v>9</v>
      </c>
      <c r="BU17" s="11" t="s">
        <v>9</v>
      </c>
      <c r="BV17" s="11" t="s">
        <v>588</v>
      </c>
      <c r="BW17" s="11" t="s">
        <v>588</v>
      </c>
      <c r="BX17" s="11" t="s">
        <v>588</v>
      </c>
      <c r="BY17" s="11" t="s">
        <v>588</v>
      </c>
      <c r="BZ17" s="11" t="s">
        <v>588</v>
      </c>
    </row>
    <row r="18" spans="1:78" x14ac:dyDescent="0.25">
      <c r="A18" s="11">
        <v>202324</v>
      </c>
      <c r="B18" s="11" t="s">
        <v>269</v>
      </c>
      <c r="C18" s="11" t="s">
        <v>269</v>
      </c>
      <c r="D18" s="11" t="s">
        <v>270</v>
      </c>
      <c r="E18" s="11" t="s">
        <v>16</v>
      </c>
      <c r="F18" s="11">
        <v>1</v>
      </c>
      <c r="G18" s="11" t="s">
        <v>393</v>
      </c>
      <c r="H18" s="11" t="s">
        <v>670</v>
      </c>
      <c r="I18" s="13">
        <v>45318</v>
      </c>
      <c r="J18" s="11">
        <v>27</v>
      </c>
      <c r="K18" s="11">
        <v>1</v>
      </c>
      <c r="L18" s="11">
        <v>2024</v>
      </c>
      <c r="M18" s="11" t="s">
        <v>611</v>
      </c>
      <c r="N18" s="11" t="s">
        <v>12</v>
      </c>
      <c r="O18" s="11" t="s">
        <v>10</v>
      </c>
      <c r="P18" s="11" t="s">
        <v>588</v>
      </c>
      <c r="Q18" s="11" t="s">
        <v>588</v>
      </c>
      <c r="R18" s="11">
        <v>-38.631790000000002</v>
      </c>
      <c r="S18" s="11">
        <v>145.550781</v>
      </c>
      <c r="T18" s="11">
        <v>1</v>
      </c>
      <c r="U18" s="11">
        <v>3</v>
      </c>
      <c r="V18" s="11" t="s">
        <v>588</v>
      </c>
      <c r="W18" s="11" t="s">
        <v>588</v>
      </c>
      <c r="X18" s="11">
        <v>2</v>
      </c>
      <c r="Y18" s="11">
        <v>2</v>
      </c>
      <c r="Z18" s="11" t="s">
        <v>41</v>
      </c>
      <c r="AA18" s="13">
        <v>45318</v>
      </c>
      <c r="AB18" s="11">
        <v>27</v>
      </c>
      <c r="AC18" s="11">
        <v>1</v>
      </c>
      <c r="AD18" s="11">
        <v>2024</v>
      </c>
      <c r="AE18" s="13" t="s">
        <v>611</v>
      </c>
      <c r="AF18" s="11" t="s">
        <v>12</v>
      </c>
      <c r="AG18" s="13">
        <v>45332</v>
      </c>
      <c r="AH18" s="11">
        <v>10</v>
      </c>
      <c r="AI18" s="11">
        <v>2</v>
      </c>
      <c r="AJ18" s="11">
        <v>2024</v>
      </c>
      <c r="AK18" s="13" t="s">
        <v>612</v>
      </c>
      <c r="AL18" s="11" t="s">
        <v>21</v>
      </c>
      <c r="AM18" s="11" t="s">
        <v>20</v>
      </c>
      <c r="AN18" s="11" t="s">
        <v>588</v>
      </c>
      <c r="AO18" s="11" t="s">
        <v>20</v>
      </c>
      <c r="AP18" s="11" t="s">
        <v>588</v>
      </c>
      <c r="AQ18" s="11" t="s">
        <v>588</v>
      </c>
      <c r="AR18" s="11" t="s">
        <v>588</v>
      </c>
      <c r="AS18" s="11" t="s">
        <v>588</v>
      </c>
      <c r="AT18" s="11" t="s">
        <v>588</v>
      </c>
      <c r="AU18" s="7" t="s">
        <v>588</v>
      </c>
      <c r="AV18" s="11" t="s">
        <v>588</v>
      </c>
      <c r="AW18" s="11" t="s">
        <v>588</v>
      </c>
      <c r="AX18" s="11" t="s">
        <v>588</v>
      </c>
      <c r="AY18" s="11" t="s">
        <v>588</v>
      </c>
      <c r="AZ18" s="11" t="s">
        <v>588</v>
      </c>
      <c r="BA18" s="7" t="s">
        <v>588</v>
      </c>
      <c r="BB18" s="11" t="s">
        <v>588</v>
      </c>
      <c r="BC18" s="11" t="s">
        <v>588</v>
      </c>
      <c r="BD18" s="11" t="s">
        <v>588</v>
      </c>
      <c r="BE18" s="11" t="s">
        <v>588</v>
      </c>
      <c r="BF18" s="11" t="s">
        <v>588</v>
      </c>
      <c r="BG18" s="7" t="s">
        <v>588</v>
      </c>
      <c r="BH18" s="11" t="s">
        <v>588</v>
      </c>
      <c r="BI18" s="11" t="s">
        <v>588</v>
      </c>
      <c r="BJ18" s="11" t="s">
        <v>588</v>
      </c>
      <c r="BK18" s="11" t="s">
        <v>588</v>
      </c>
      <c r="BL18" s="11" t="s">
        <v>588</v>
      </c>
      <c r="BM18" s="11" t="s">
        <v>588</v>
      </c>
      <c r="BN18" s="11" t="s">
        <v>588</v>
      </c>
      <c r="BO18" s="11" t="s">
        <v>588</v>
      </c>
      <c r="BP18" s="11" t="s">
        <v>588</v>
      </c>
      <c r="BQ18" s="11" t="s">
        <v>588</v>
      </c>
      <c r="BR18" s="11" t="s">
        <v>588</v>
      </c>
      <c r="BS18" s="11" t="s">
        <v>41</v>
      </c>
      <c r="BT18" s="11" t="s">
        <v>588</v>
      </c>
      <c r="BU18" s="11" t="s">
        <v>42</v>
      </c>
      <c r="BV18" s="11" t="s">
        <v>588</v>
      </c>
      <c r="BW18" s="11" t="s">
        <v>588</v>
      </c>
      <c r="BX18" s="11" t="s">
        <v>588</v>
      </c>
      <c r="BY18" s="11" t="s">
        <v>588</v>
      </c>
      <c r="BZ18" s="11" t="s">
        <v>588</v>
      </c>
    </row>
    <row r="19" spans="1:78" x14ac:dyDescent="0.25">
      <c r="A19" s="11">
        <v>202324</v>
      </c>
      <c r="B19" s="11" t="s">
        <v>269</v>
      </c>
      <c r="C19" s="11" t="s">
        <v>269</v>
      </c>
      <c r="D19" s="11" t="s">
        <v>270</v>
      </c>
      <c r="E19" s="11" t="s">
        <v>16</v>
      </c>
      <c r="F19" s="11">
        <v>2</v>
      </c>
      <c r="G19" s="11" t="s">
        <v>394</v>
      </c>
      <c r="H19" s="11" t="s">
        <v>671</v>
      </c>
      <c r="I19" s="13">
        <v>45332</v>
      </c>
      <c r="J19" s="11">
        <v>10</v>
      </c>
      <c r="K19" s="11">
        <v>2</v>
      </c>
      <c r="L19" s="11">
        <v>2024</v>
      </c>
      <c r="M19" s="11" t="s">
        <v>612</v>
      </c>
      <c r="N19" s="11" t="s">
        <v>21</v>
      </c>
      <c r="O19" s="11" t="s">
        <v>10</v>
      </c>
      <c r="P19" s="11">
        <v>-38.631953000000003</v>
      </c>
      <c r="Q19" s="11">
        <v>145.55080899999999</v>
      </c>
      <c r="R19" s="11" t="s">
        <v>588</v>
      </c>
      <c r="S19" s="11" t="s">
        <v>588</v>
      </c>
      <c r="T19" s="11">
        <v>1</v>
      </c>
      <c r="U19" s="11">
        <v>1</v>
      </c>
      <c r="V19" s="11" t="s">
        <v>588</v>
      </c>
      <c r="W19" s="11" t="s">
        <v>588</v>
      </c>
      <c r="X19" s="11">
        <v>2</v>
      </c>
      <c r="Y19" s="11">
        <v>2</v>
      </c>
      <c r="Z19" s="11" t="s">
        <v>41</v>
      </c>
      <c r="AA19" s="13">
        <v>45332</v>
      </c>
      <c r="AB19" s="11">
        <v>10</v>
      </c>
      <c r="AC19" s="11">
        <v>2</v>
      </c>
      <c r="AD19" s="11">
        <v>2024</v>
      </c>
      <c r="AE19" s="13" t="s">
        <v>612</v>
      </c>
      <c r="AF19" s="11" t="s">
        <v>21</v>
      </c>
      <c r="AG19" s="13">
        <v>45333</v>
      </c>
      <c r="AH19" s="11">
        <v>11</v>
      </c>
      <c r="AI19" s="11">
        <v>2</v>
      </c>
      <c r="AJ19" s="11">
        <v>2024</v>
      </c>
      <c r="AK19" s="13" t="s">
        <v>672</v>
      </c>
      <c r="AL19" s="11" t="s">
        <v>21</v>
      </c>
      <c r="AM19" s="11" t="s">
        <v>20</v>
      </c>
      <c r="AN19" s="11" t="s">
        <v>588</v>
      </c>
      <c r="AO19" s="11" t="s">
        <v>20</v>
      </c>
      <c r="AP19" s="11" t="s">
        <v>588</v>
      </c>
      <c r="AQ19" s="11" t="s">
        <v>588</v>
      </c>
      <c r="AR19" s="11" t="s">
        <v>588</v>
      </c>
      <c r="AS19" s="11" t="s">
        <v>588</v>
      </c>
      <c r="AT19" s="11" t="s">
        <v>588</v>
      </c>
      <c r="AU19" s="7" t="s">
        <v>588</v>
      </c>
      <c r="AV19" s="11" t="s">
        <v>588</v>
      </c>
      <c r="AW19" s="11" t="s">
        <v>588</v>
      </c>
      <c r="AX19" s="11" t="s">
        <v>588</v>
      </c>
      <c r="AY19" s="11" t="s">
        <v>588</v>
      </c>
      <c r="AZ19" s="11" t="s">
        <v>588</v>
      </c>
      <c r="BA19" s="7" t="s">
        <v>588</v>
      </c>
      <c r="BB19" s="11" t="s">
        <v>588</v>
      </c>
      <c r="BC19" s="11" t="s">
        <v>588</v>
      </c>
      <c r="BD19" s="11" t="s">
        <v>588</v>
      </c>
      <c r="BE19" s="11" t="s">
        <v>588</v>
      </c>
      <c r="BF19" s="11" t="s">
        <v>588</v>
      </c>
      <c r="BG19" s="7" t="s">
        <v>588</v>
      </c>
      <c r="BH19" s="11" t="s">
        <v>588</v>
      </c>
      <c r="BI19" s="11" t="s">
        <v>588</v>
      </c>
      <c r="BJ19" s="11" t="s">
        <v>588</v>
      </c>
      <c r="BK19" s="11" t="s">
        <v>588</v>
      </c>
      <c r="BL19" s="11" t="s">
        <v>588</v>
      </c>
      <c r="BM19" s="11" t="s">
        <v>588</v>
      </c>
      <c r="BN19" s="11" t="s">
        <v>588</v>
      </c>
      <c r="BO19" s="11" t="s">
        <v>588</v>
      </c>
      <c r="BP19" s="11" t="s">
        <v>588</v>
      </c>
      <c r="BQ19" s="11" t="s">
        <v>588</v>
      </c>
      <c r="BR19" s="11" t="s">
        <v>588</v>
      </c>
      <c r="BS19" s="11" t="s">
        <v>41</v>
      </c>
      <c r="BT19" s="11" t="s">
        <v>588</v>
      </c>
      <c r="BU19" s="11" t="s">
        <v>42</v>
      </c>
      <c r="BV19" s="11" t="s">
        <v>588</v>
      </c>
      <c r="BW19" s="11" t="s">
        <v>588</v>
      </c>
      <c r="BX19" s="11" t="s">
        <v>588</v>
      </c>
      <c r="BY19" s="11" t="s">
        <v>588</v>
      </c>
      <c r="BZ19" s="11" t="s">
        <v>588</v>
      </c>
    </row>
    <row r="20" spans="1:78" x14ac:dyDescent="0.25">
      <c r="A20" s="11">
        <v>202324</v>
      </c>
      <c r="B20" s="11" t="s">
        <v>760</v>
      </c>
      <c r="C20" s="11" t="s">
        <v>574</v>
      </c>
      <c r="D20" s="11" t="s">
        <v>275</v>
      </c>
      <c r="E20" s="11" t="s">
        <v>276</v>
      </c>
      <c r="F20" s="11">
        <v>1</v>
      </c>
      <c r="G20" s="11" t="s">
        <v>395</v>
      </c>
      <c r="H20" s="11" t="s">
        <v>673</v>
      </c>
      <c r="I20" s="13">
        <v>45292</v>
      </c>
      <c r="J20" s="11">
        <v>1</v>
      </c>
      <c r="K20" s="11">
        <v>1</v>
      </c>
      <c r="L20" s="11">
        <v>2024</v>
      </c>
      <c r="M20" s="11" t="s">
        <v>600</v>
      </c>
      <c r="N20" s="11" t="s">
        <v>12</v>
      </c>
      <c r="O20" s="11" t="s">
        <v>10</v>
      </c>
      <c r="P20" s="11" t="s">
        <v>588</v>
      </c>
      <c r="Q20" s="11" t="s">
        <v>588</v>
      </c>
      <c r="R20" s="11">
        <v>-38.643135000000001</v>
      </c>
      <c r="S20" s="11">
        <v>145.557343</v>
      </c>
      <c r="T20" s="11">
        <v>1</v>
      </c>
      <c r="U20" s="11">
        <v>3</v>
      </c>
      <c r="V20" s="11" t="s">
        <v>588</v>
      </c>
      <c r="W20" s="11" t="s">
        <v>588</v>
      </c>
      <c r="X20" s="11">
        <v>2</v>
      </c>
      <c r="Y20" s="11">
        <v>2</v>
      </c>
      <c r="Z20" s="11" t="s">
        <v>41</v>
      </c>
      <c r="AA20" s="13">
        <v>45292</v>
      </c>
      <c r="AB20" s="11">
        <v>1</v>
      </c>
      <c r="AC20" s="11">
        <v>1</v>
      </c>
      <c r="AD20" s="11">
        <v>2024</v>
      </c>
      <c r="AE20" s="13" t="s">
        <v>600</v>
      </c>
      <c r="AF20" s="11" t="s">
        <v>12</v>
      </c>
      <c r="AG20" s="13">
        <v>45314</v>
      </c>
      <c r="AH20" s="11">
        <v>23</v>
      </c>
      <c r="AI20" s="11">
        <v>1</v>
      </c>
      <c r="AJ20" s="11">
        <v>2024</v>
      </c>
      <c r="AK20" s="13" t="s">
        <v>669</v>
      </c>
      <c r="AL20" s="11" t="s">
        <v>12</v>
      </c>
      <c r="AM20" s="11" t="s">
        <v>20</v>
      </c>
      <c r="AN20" s="11" t="s">
        <v>588</v>
      </c>
      <c r="AO20" s="11" t="s">
        <v>11</v>
      </c>
      <c r="AP20" s="11" t="s">
        <v>588</v>
      </c>
      <c r="AQ20" s="11" t="s">
        <v>588</v>
      </c>
      <c r="AR20" s="11" t="s">
        <v>588</v>
      </c>
      <c r="AS20" s="11" t="s">
        <v>588</v>
      </c>
      <c r="AT20" s="11" t="s">
        <v>588</v>
      </c>
      <c r="AU20" s="7" t="s">
        <v>588</v>
      </c>
      <c r="AV20" s="11" t="s">
        <v>588</v>
      </c>
      <c r="AW20" s="11" t="s">
        <v>588</v>
      </c>
      <c r="AX20" s="11" t="s">
        <v>588</v>
      </c>
      <c r="AY20" s="11" t="s">
        <v>588</v>
      </c>
      <c r="AZ20" s="11" t="s">
        <v>588</v>
      </c>
      <c r="BA20" s="7" t="s">
        <v>588</v>
      </c>
      <c r="BB20" s="11" t="s">
        <v>588</v>
      </c>
      <c r="BC20" s="11" t="s">
        <v>588</v>
      </c>
      <c r="BD20" s="11" t="s">
        <v>588</v>
      </c>
      <c r="BE20" s="11" t="s">
        <v>588</v>
      </c>
      <c r="BF20" s="11" t="s">
        <v>588</v>
      </c>
      <c r="BG20" s="7" t="s">
        <v>588</v>
      </c>
      <c r="BH20" s="11" t="s">
        <v>588</v>
      </c>
      <c r="BI20" s="11" t="s">
        <v>588</v>
      </c>
      <c r="BJ20" s="11" t="s">
        <v>588</v>
      </c>
      <c r="BK20" s="11" t="s">
        <v>588</v>
      </c>
      <c r="BL20" s="11" t="s">
        <v>588</v>
      </c>
      <c r="BM20" s="11" t="s">
        <v>588</v>
      </c>
      <c r="BN20" s="11" t="s">
        <v>588</v>
      </c>
      <c r="BO20" s="11" t="s">
        <v>588</v>
      </c>
      <c r="BP20" s="11" t="s">
        <v>588</v>
      </c>
      <c r="BQ20" s="11" t="s">
        <v>588</v>
      </c>
      <c r="BR20" s="11" t="s">
        <v>588</v>
      </c>
      <c r="BS20" s="11" t="s">
        <v>8</v>
      </c>
      <c r="BT20" s="11" t="s">
        <v>9</v>
      </c>
      <c r="BU20" s="11" t="s">
        <v>9</v>
      </c>
      <c r="BV20" s="11" t="s">
        <v>588</v>
      </c>
      <c r="BW20" s="11" t="s">
        <v>588</v>
      </c>
      <c r="BX20" s="11" t="s">
        <v>588</v>
      </c>
      <c r="BY20" s="11" t="s">
        <v>396</v>
      </c>
      <c r="BZ20" s="11" t="s">
        <v>588</v>
      </c>
    </row>
    <row r="21" spans="1:78" x14ac:dyDescent="0.25">
      <c r="A21" s="11">
        <v>202324</v>
      </c>
      <c r="B21" s="11" t="s">
        <v>284</v>
      </c>
      <c r="C21" s="11" t="s">
        <v>284</v>
      </c>
      <c r="D21" s="11" t="s">
        <v>285</v>
      </c>
      <c r="E21" s="11" t="s">
        <v>16</v>
      </c>
      <c r="F21" s="11">
        <v>1</v>
      </c>
      <c r="G21" s="11" t="s">
        <v>397</v>
      </c>
      <c r="H21" s="11" t="s">
        <v>674</v>
      </c>
      <c r="I21" s="13">
        <v>45249</v>
      </c>
      <c r="J21" s="11">
        <v>19</v>
      </c>
      <c r="K21" s="11">
        <v>11</v>
      </c>
      <c r="L21" s="11">
        <v>2023</v>
      </c>
      <c r="M21" s="11" t="s">
        <v>613</v>
      </c>
      <c r="N21" s="11" t="s">
        <v>17</v>
      </c>
      <c r="O21" s="11" t="s">
        <v>51</v>
      </c>
      <c r="P21" s="11" t="s">
        <v>588</v>
      </c>
      <c r="Q21" s="11" t="s">
        <v>588</v>
      </c>
      <c r="R21" s="11">
        <v>-38.587066</v>
      </c>
      <c r="S21" s="11">
        <v>145.51530099999999</v>
      </c>
      <c r="T21" s="11">
        <v>1</v>
      </c>
      <c r="U21" s="11">
        <v>1</v>
      </c>
      <c r="V21" s="13" t="s">
        <v>588</v>
      </c>
      <c r="W21" s="11" t="s">
        <v>588</v>
      </c>
      <c r="X21" s="11">
        <v>3</v>
      </c>
      <c r="Y21" s="11">
        <v>3</v>
      </c>
      <c r="Z21" s="11" t="s">
        <v>41</v>
      </c>
      <c r="AA21" s="13">
        <v>45250</v>
      </c>
      <c r="AB21" s="11">
        <v>20</v>
      </c>
      <c r="AC21" s="11">
        <v>11</v>
      </c>
      <c r="AD21" s="11">
        <v>2023</v>
      </c>
      <c r="AE21" s="13" t="s">
        <v>628</v>
      </c>
      <c r="AF21" s="11" t="s">
        <v>17</v>
      </c>
      <c r="AG21" s="13">
        <v>45252</v>
      </c>
      <c r="AH21" s="11">
        <v>22</v>
      </c>
      <c r="AI21" s="11">
        <v>11</v>
      </c>
      <c r="AJ21" s="11">
        <v>2023</v>
      </c>
      <c r="AK21" s="13" t="s">
        <v>675</v>
      </c>
      <c r="AL21" s="11" t="s">
        <v>17</v>
      </c>
      <c r="AM21" s="11" t="s">
        <v>20</v>
      </c>
      <c r="AN21" s="11" t="s">
        <v>588</v>
      </c>
      <c r="AO21" s="11" t="s">
        <v>48</v>
      </c>
      <c r="AP21" s="13" t="s">
        <v>588</v>
      </c>
      <c r="AQ21" s="11" t="s">
        <v>588</v>
      </c>
      <c r="AR21" s="11" t="s">
        <v>588</v>
      </c>
      <c r="AS21" s="11" t="s">
        <v>588</v>
      </c>
      <c r="AT21" s="11" t="s">
        <v>588</v>
      </c>
      <c r="AU21" s="7" t="s">
        <v>588</v>
      </c>
      <c r="AV21" s="13" t="s">
        <v>588</v>
      </c>
      <c r="AW21" s="11" t="s">
        <v>588</v>
      </c>
      <c r="AX21" s="11" t="s">
        <v>588</v>
      </c>
      <c r="AY21" s="11" t="s">
        <v>588</v>
      </c>
      <c r="AZ21" s="11" t="s">
        <v>588</v>
      </c>
      <c r="BA21" s="7" t="s">
        <v>588</v>
      </c>
      <c r="BB21" s="11" t="s">
        <v>588</v>
      </c>
      <c r="BC21" s="11" t="s">
        <v>588</v>
      </c>
      <c r="BD21" s="11" t="s">
        <v>588</v>
      </c>
      <c r="BE21" s="11" t="s">
        <v>588</v>
      </c>
      <c r="BF21" s="11" t="s">
        <v>588</v>
      </c>
      <c r="BG21" s="7" t="s">
        <v>588</v>
      </c>
      <c r="BH21" s="11" t="s">
        <v>588</v>
      </c>
      <c r="BI21" s="11" t="s">
        <v>588</v>
      </c>
      <c r="BJ21" s="11" t="s">
        <v>588</v>
      </c>
      <c r="BK21" s="11" t="s">
        <v>588</v>
      </c>
      <c r="BL21" s="11" t="s">
        <v>588</v>
      </c>
      <c r="BM21" s="11" t="s">
        <v>588</v>
      </c>
      <c r="BN21" s="11" t="s">
        <v>588</v>
      </c>
      <c r="BO21" s="11" t="s">
        <v>588</v>
      </c>
      <c r="BP21" s="11" t="s">
        <v>588</v>
      </c>
      <c r="BQ21" s="13" t="s">
        <v>588</v>
      </c>
      <c r="BR21" s="11" t="s">
        <v>588</v>
      </c>
      <c r="BS21" s="11" t="s">
        <v>8</v>
      </c>
      <c r="BT21" s="11" t="s">
        <v>9</v>
      </c>
      <c r="BU21" s="11" t="s">
        <v>9</v>
      </c>
      <c r="BV21" s="11" t="s">
        <v>588</v>
      </c>
      <c r="BW21" s="11" t="s">
        <v>588</v>
      </c>
      <c r="BX21" s="11" t="s">
        <v>588</v>
      </c>
      <c r="BY21" s="11" t="s">
        <v>588</v>
      </c>
      <c r="BZ21" s="11" t="s">
        <v>588</v>
      </c>
    </row>
    <row r="22" spans="1:78" x14ac:dyDescent="0.25">
      <c r="A22" s="11">
        <v>202324</v>
      </c>
      <c r="B22" s="11" t="s">
        <v>284</v>
      </c>
      <c r="C22" s="11" t="s">
        <v>284</v>
      </c>
      <c r="D22" s="11" t="s">
        <v>285</v>
      </c>
      <c r="E22" s="11" t="s">
        <v>16</v>
      </c>
      <c r="F22" s="11">
        <v>2</v>
      </c>
      <c r="G22" s="11" t="s">
        <v>398</v>
      </c>
      <c r="H22" s="11" t="s">
        <v>676</v>
      </c>
      <c r="I22" s="13">
        <v>45264</v>
      </c>
      <c r="J22" s="11">
        <v>4</v>
      </c>
      <c r="K22" s="11">
        <v>12</v>
      </c>
      <c r="L22" s="11">
        <v>2023</v>
      </c>
      <c r="M22" s="11" t="s">
        <v>614</v>
      </c>
      <c r="N22" s="11" t="s">
        <v>7</v>
      </c>
      <c r="O22" s="11" t="s">
        <v>10</v>
      </c>
      <c r="P22" s="11">
        <v>-38.589379999999998</v>
      </c>
      <c r="Q22" s="11">
        <v>145.51694699999999</v>
      </c>
      <c r="R22" s="11" t="s">
        <v>588</v>
      </c>
      <c r="S22" s="11" t="s">
        <v>588</v>
      </c>
      <c r="T22" s="11">
        <v>3</v>
      </c>
      <c r="U22" s="11">
        <v>3</v>
      </c>
      <c r="V22" s="11" t="s">
        <v>588</v>
      </c>
      <c r="W22" s="11" t="s">
        <v>588</v>
      </c>
      <c r="X22" s="11">
        <v>2</v>
      </c>
      <c r="Y22" s="11">
        <v>2</v>
      </c>
      <c r="Z22" s="11" t="s">
        <v>41</v>
      </c>
      <c r="AA22" s="13">
        <v>45264</v>
      </c>
      <c r="AB22" s="11">
        <v>4</v>
      </c>
      <c r="AC22" s="11">
        <v>12</v>
      </c>
      <c r="AD22" s="11">
        <v>2023</v>
      </c>
      <c r="AE22" s="13" t="s">
        <v>614</v>
      </c>
      <c r="AF22" s="11" t="s">
        <v>7</v>
      </c>
      <c r="AG22" s="13">
        <v>45267</v>
      </c>
      <c r="AH22" s="11">
        <v>7</v>
      </c>
      <c r="AI22" s="11">
        <v>12</v>
      </c>
      <c r="AJ22" s="11">
        <v>2023</v>
      </c>
      <c r="AK22" s="13" t="s">
        <v>636</v>
      </c>
      <c r="AL22" s="11" t="s">
        <v>7</v>
      </c>
      <c r="AM22" s="11" t="s">
        <v>20</v>
      </c>
      <c r="AN22" s="11" t="s">
        <v>588</v>
      </c>
      <c r="AO22" s="11" t="s">
        <v>20</v>
      </c>
      <c r="AP22" s="11" t="s">
        <v>588</v>
      </c>
      <c r="AQ22" s="11" t="s">
        <v>588</v>
      </c>
      <c r="AR22" s="11" t="s">
        <v>588</v>
      </c>
      <c r="AS22" s="11" t="s">
        <v>588</v>
      </c>
      <c r="AT22" s="11" t="s">
        <v>588</v>
      </c>
      <c r="AU22" s="7" t="s">
        <v>588</v>
      </c>
      <c r="AV22" s="11" t="s">
        <v>588</v>
      </c>
      <c r="AW22" s="11" t="s">
        <v>588</v>
      </c>
      <c r="AX22" s="11" t="s">
        <v>588</v>
      </c>
      <c r="AY22" s="11" t="s">
        <v>588</v>
      </c>
      <c r="AZ22" s="11" t="s">
        <v>588</v>
      </c>
      <c r="BA22" s="7" t="s">
        <v>588</v>
      </c>
      <c r="BB22" s="11" t="s">
        <v>588</v>
      </c>
      <c r="BC22" s="11" t="s">
        <v>588</v>
      </c>
      <c r="BD22" s="11" t="s">
        <v>588</v>
      </c>
      <c r="BE22" s="11" t="s">
        <v>588</v>
      </c>
      <c r="BF22" s="11" t="s">
        <v>588</v>
      </c>
      <c r="BG22" s="7" t="s">
        <v>588</v>
      </c>
      <c r="BH22" s="11" t="s">
        <v>588</v>
      </c>
      <c r="BI22" s="11" t="s">
        <v>588</v>
      </c>
      <c r="BJ22" s="11" t="s">
        <v>588</v>
      </c>
      <c r="BK22" s="11" t="s">
        <v>588</v>
      </c>
      <c r="BL22" s="11" t="s">
        <v>588</v>
      </c>
      <c r="BM22" s="11" t="s">
        <v>588</v>
      </c>
      <c r="BN22" s="11" t="s">
        <v>588</v>
      </c>
      <c r="BO22" s="11" t="s">
        <v>588</v>
      </c>
      <c r="BP22" s="11" t="s">
        <v>588</v>
      </c>
      <c r="BQ22" s="11" t="s">
        <v>588</v>
      </c>
      <c r="BR22" s="11" t="s">
        <v>588</v>
      </c>
      <c r="BS22" s="11" t="s">
        <v>8</v>
      </c>
      <c r="BT22" s="11" t="s">
        <v>13</v>
      </c>
      <c r="BU22" s="11" t="s">
        <v>13</v>
      </c>
      <c r="BV22" s="11" t="s">
        <v>588</v>
      </c>
      <c r="BW22" s="11" t="s">
        <v>588</v>
      </c>
      <c r="BX22" s="11" t="s">
        <v>588</v>
      </c>
      <c r="BY22" s="11" t="s">
        <v>588</v>
      </c>
      <c r="BZ22" s="11" t="s">
        <v>588</v>
      </c>
    </row>
    <row r="23" spans="1:78" x14ac:dyDescent="0.25">
      <c r="A23" s="11">
        <v>202324</v>
      </c>
      <c r="B23" s="11" t="s">
        <v>284</v>
      </c>
      <c r="C23" s="11" t="s">
        <v>284</v>
      </c>
      <c r="D23" s="11" t="s">
        <v>285</v>
      </c>
      <c r="E23" s="11" t="s">
        <v>16</v>
      </c>
      <c r="F23" s="11">
        <v>3</v>
      </c>
      <c r="G23" s="11" t="s">
        <v>399</v>
      </c>
      <c r="H23" s="11" t="s">
        <v>677</v>
      </c>
      <c r="I23" s="13">
        <v>45289</v>
      </c>
      <c r="J23" s="11">
        <v>29</v>
      </c>
      <c r="K23" s="11">
        <v>12</v>
      </c>
      <c r="L23" s="11">
        <v>2023</v>
      </c>
      <c r="M23" s="11" t="s">
        <v>615</v>
      </c>
      <c r="N23" s="11" t="s">
        <v>7</v>
      </c>
      <c r="O23" s="11" t="s">
        <v>51</v>
      </c>
      <c r="P23" s="11">
        <v>-38.590125</v>
      </c>
      <c r="Q23" s="11">
        <v>145.51796999999999</v>
      </c>
      <c r="R23" s="11" t="s">
        <v>588</v>
      </c>
      <c r="S23" s="11" t="s">
        <v>588</v>
      </c>
      <c r="T23" s="11">
        <v>3</v>
      </c>
      <c r="U23" s="11">
        <v>3</v>
      </c>
      <c r="V23" s="11" t="s">
        <v>588</v>
      </c>
      <c r="W23" s="11" t="s">
        <v>588</v>
      </c>
      <c r="X23" s="11">
        <v>3</v>
      </c>
      <c r="Y23" s="11">
        <v>3</v>
      </c>
      <c r="Z23" s="11" t="s">
        <v>8</v>
      </c>
      <c r="AA23" s="13">
        <v>45301</v>
      </c>
      <c r="AB23" s="11">
        <v>10</v>
      </c>
      <c r="AC23" s="11">
        <v>1</v>
      </c>
      <c r="AD23" s="11">
        <v>2024</v>
      </c>
      <c r="AE23" s="13" t="s">
        <v>678</v>
      </c>
      <c r="AF23" s="11" t="s">
        <v>588</v>
      </c>
      <c r="AG23" s="13" t="s">
        <v>588</v>
      </c>
      <c r="AH23" s="11" t="s">
        <v>588</v>
      </c>
      <c r="AI23" s="11" t="s">
        <v>588</v>
      </c>
      <c r="AJ23" s="11" t="s">
        <v>588</v>
      </c>
      <c r="AK23" s="13" t="s">
        <v>588</v>
      </c>
      <c r="AL23" s="11" t="s">
        <v>588</v>
      </c>
      <c r="AM23" s="13" t="s">
        <v>588</v>
      </c>
      <c r="AN23" s="11" t="s">
        <v>588</v>
      </c>
      <c r="AO23" s="13" t="s">
        <v>588</v>
      </c>
      <c r="AP23" s="13">
        <v>45313</v>
      </c>
      <c r="AQ23" s="11" t="s">
        <v>12</v>
      </c>
      <c r="AR23" s="11" t="s">
        <v>195</v>
      </c>
      <c r="AS23" s="11">
        <v>3</v>
      </c>
      <c r="AT23" s="11">
        <v>3</v>
      </c>
      <c r="AU23" s="7">
        <v>45336</v>
      </c>
      <c r="AV23" s="13">
        <v>45341</v>
      </c>
      <c r="AW23" s="11" t="s">
        <v>21</v>
      </c>
      <c r="AX23" s="11" t="s">
        <v>20</v>
      </c>
      <c r="AY23" s="11" t="s">
        <v>588</v>
      </c>
      <c r="AZ23" s="11" t="s">
        <v>20</v>
      </c>
      <c r="BA23" s="7">
        <v>45336</v>
      </c>
      <c r="BB23" s="13">
        <v>45341</v>
      </c>
      <c r="BC23" s="11" t="s">
        <v>21</v>
      </c>
      <c r="BD23" s="11" t="s">
        <v>20</v>
      </c>
      <c r="BE23" s="11" t="s">
        <v>588</v>
      </c>
      <c r="BF23" s="11" t="s">
        <v>20</v>
      </c>
      <c r="BG23" s="7" t="s">
        <v>588</v>
      </c>
      <c r="BH23" s="11" t="s">
        <v>588</v>
      </c>
      <c r="BI23" s="11" t="s">
        <v>588</v>
      </c>
      <c r="BJ23" s="11" t="s">
        <v>588</v>
      </c>
      <c r="BK23" s="11" t="s">
        <v>588</v>
      </c>
      <c r="BL23" s="11" t="s">
        <v>588</v>
      </c>
      <c r="BM23" s="11">
        <v>7</v>
      </c>
      <c r="BN23" s="11">
        <v>7</v>
      </c>
      <c r="BO23" s="11" t="s">
        <v>8</v>
      </c>
      <c r="BP23" s="11">
        <v>1</v>
      </c>
      <c r="BQ23" s="13">
        <v>45349</v>
      </c>
      <c r="BR23" s="11" t="s">
        <v>21</v>
      </c>
      <c r="BS23" s="11" t="s">
        <v>8</v>
      </c>
      <c r="BT23" s="11" t="s">
        <v>13</v>
      </c>
      <c r="BU23" s="11" t="s">
        <v>13</v>
      </c>
      <c r="BV23" s="11" t="s">
        <v>8</v>
      </c>
      <c r="BW23" s="11" t="s">
        <v>65</v>
      </c>
      <c r="BX23" s="11" t="s">
        <v>65</v>
      </c>
      <c r="BY23" s="11" t="s">
        <v>588</v>
      </c>
      <c r="BZ23" s="11" t="s">
        <v>588</v>
      </c>
    </row>
    <row r="24" spans="1:78" x14ac:dyDescent="0.25">
      <c r="A24" s="11">
        <v>202324</v>
      </c>
      <c r="B24" s="11" t="s">
        <v>400</v>
      </c>
      <c r="C24" s="11" t="s">
        <v>400</v>
      </c>
      <c r="D24" s="11" t="s">
        <v>293</v>
      </c>
      <c r="E24" s="11" t="s">
        <v>16</v>
      </c>
      <c r="F24" s="11">
        <v>1</v>
      </c>
      <c r="G24" s="11" t="s">
        <v>401</v>
      </c>
      <c r="H24" s="11" t="s">
        <v>679</v>
      </c>
      <c r="I24" s="13">
        <v>45305</v>
      </c>
      <c r="J24" s="11">
        <v>14</v>
      </c>
      <c r="K24" s="11">
        <v>1</v>
      </c>
      <c r="L24" s="11">
        <v>2024</v>
      </c>
      <c r="M24" s="11" t="s">
        <v>616</v>
      </c>
      <c r="N24" s="11" t="s">
        <v>12</v>
      </c>
      <c r="O24" s="11" t="s">
        <v>10</v>
      </c>
      <c r="P24" s="11" t="s">
        <v>588</v>
      </c>
      <c r="Q24" s="11" t="s">
        <v>588</v>
      </c>
      <c r="R24" s="11">
        <v>-38.651350999999998</v>
      </c>
      <c r="S24" s="11">
        <v>145.56097800000001</v>
      </c>
      <c r="T24" s="11">
        <v>2</v>
      </c>
      <c r="U24" s="11">
        <v>3</v>
      </c>
      <c r="V24" s="11" t="s">
        <v>588</v>
      </c>
      <c r="W24" s="11" t="s">
        <v>588</v>
      </c>
      <c r="X24" s="11">
        <v>2</v>
      </c>
      <c r="Y24" s="11">
        <v>2</v>
      </c>
      <c r="Z24" s="11" t="s">
        <v>41</v>
      </c>
      <c r="AA24" s="13">
        <v>45305</v>
      </c>
      <c r="AB24" s="11">
        <v>14</v>
      </c>
      <c r="AC24" s="11">
        <v>1</v>
      </c>
      <c r="AD24" s="11">
        <v>2024</v>
      </c>
      <c r="AE24" s="13" t="s">
        <v>616</v>
      </c>
      <c r="AF24" s="11" t="s">
        <v>12</v>
      </c>
      <c r="AG24" s="13">
        <v>45333</v>
      </c>
      <c r="AH24" s="11">
        <v>11</v>
      </c>
      <c r="AI24" s="11">
        <v>2</v>
      </c>
      <c r="AJ24" s="11">
        <v>2024</v>
      </c>
      <c r="AK24" s="13" t="s">
        <v>672</v>
      </c>
      <c r="AL24" s="11" t="s">
        <v>21</v>
      </c>
      <c r="AM24" s="11" t="s">
        <v>20</v>
      </c>
      <c r="AN24" s="11" t="s">
        <v>588</v>
      </c>
      <c r="AO24" s="11" t="s">
        <v>20</v>
      </c>
      <c r="AP24" s="13" t="s">
        <v>588</v>
      </c>
      <c r="AQ24" s="11" t="s">
        <v>588</v>
      </c>
      <c r="AR24" s="11" t="s">
        <v>588</v>
      </c>
      <c r="AS24" s="11" t="s">
        <v>588</v>
      </c>
      <c r="AT24" s="11" t="s">
        <v>588</v>
      </c>
      <c r="AU24" s="7" t="s">
        <v>588</v>
      </c>
      <c r="AV24" s="11" t="s">
        <v>588</v>
      </c>
      <c r="AW24" s="11" t="s">
        <v>588</v>
      </c>
      <c r="AX24" s="11" t="s">
        <v>588</v>
      </c>
      <c r="AY24" s="11" t="s">
        <v>588</v>
      </c>
      <c r="AZ24" s="11" t="s">
        <v>588</v>
      </c>
      <c r="BA24" s="7" t="s">
        <v>588</v>
      </c>
      <c r="BB24" s="11" t="s">
        <v>588</v>
      </c>
      <c r="BC24" s="11" t="s">
        <v>588</v>
      </c>
      <c r="BD24" s="11" t="s">
        <v>588</v>
      </c>
      <c r="BE24" s="11" t="s">
        <v>588</v>
      </c>
      <c r="BF24" s="11" t="s">
        <v>588</v>
      </c>
      <c r="BG24" s="7" t="s">
        <v>588</v>
      </c>
      <c r="BH24" s="11" t="s">
        <v>588</v>
      </c>
      <c r="BI24" s="11" t="s">
        <v>588</v>
      </c>
      <c r="BJ24" s="11" t="s">
        <v>588</v>
      </c>
      <c r="BK24" s="11" t="s">
        <v>588</v>
      </c>
      <c r="BL24" s="11" t="s">
        <v>588</v>
      </c>
      <c r="BM24" s="11" t="s">
        <v>588</v>
      </c>
      <c r="BN24" s="11" t="s">
        <v>588</v>
      </c>
      <c r="BO24" s="11" t="s">
        <v>588</v>
      </c>
      <c r="BP24" s="11" t="s">
        <v>588</v>
      </c>
      <c r="BQ24" s="13" t="s">
        <v>588</v>
      </c>
      <c r="BR24" s="11" t="s">
        <v>588</v>
      </c>
      <c r="BS24" s="11" t="s">
        <v>8</v>
      </c>
      <c r="BT24" s="11" t="s">
        <v>13</v>
      </c>
      <c r="BU24" s="11" t="s">
        <v>13</v>
      </c>
      <c r="BV24" s="11" t="s">
        <v>588</v>
      </c>
      <c r="BW24" s="11" t="s">
        <v>588</v>
      </c>
      <c r="BX24" s="11" t="s">
        <v>588</v>
      </c>
      <c r="BY24" s="11" t="s">
        <v>588</v>
      </c>
      <c r="BZ24" s="11" t="s">
        <v>588</v>
      </c>
    </row>
    <row r="25" spans="1:78" x14ac:dyDescent="0.25">
      <c r="A25" s="11">
        <v>202324</v>
      </c>
      <c r="B25" s="11" t="s">
        <v>73</v>
      </c>
      <c r="C25" s="11" t="s">
        <v>73</v>
      </c>
      <c r="D25" s="11" t="s">
        <v>115</v>
      </c>
      <c r="E25" s="11" t="s">
        <v>49</v>
      </c>
      <c r="F25" s="11">
        <v>1</v>
      </c>
      <c r="G25" s="11" t="s">
        <v>680</v>
      </c>
      <c r="H25" s="11" t="s">
        <v>680</v>
      </c>
      <c r="I25" s="13">
        <v>45257</v>
      </c>
      <c r="J25" s="11">
        <v>27</v>
      </c>
      <c r="K25" s="11">
        <v>11</v>
      </c>
      <c r="L25" s="11">
        <v>2023</v>
      </c>
      <c r="M25" s="11" t="s">
        <v>617</v>
      </c>
      <c r="N25" s="11" t="s">
        <v>17</v>
      </c>
      <c r="O25" s="11" t="s">
        <v>10</v>
      </c>
      <c r="P25" s="11" t="s">
        <v>588</v>
      </c>
      <c r="Q25" s="11" t="s">
        <v>588</v>
      </c>
      <c r="R25" s="11">
        <v>-38.639896</v>
      </c>
      <c r="S25" s="11">
        <v>145.718414</v>
      </c>
      <c r="T25" s="11">
        <v>3</v>
      </c>
      <c r="U25" s="11">
        <v>3</v>
      </c>
      <c r="V25" s="11" t="s">
        <v>588</v>
      </c>
      <c r="W25" s="11" t="s">
        <v>588</v>
      </c>
      <c r="X25" s="11">
        <v>5</v>
      </c>
      <c r="Y25" s="11">
        <v>5</v>
      </c>
      <c r="Z25" s="11" t="s">
        <v>41</v>
      </c>
      <c r="AA25" s="13">
        <v>45628</v>
      </c>
      <c r="AB25" s="11">
        <v>2</v>
      </c>
      <c r="AC25" s="11">
        <v>12</v>
      </c>
      <c r="AD25" s="11">
        <v>2024</v>
      </c>
      <c r="AE25" s="13" t="s">
        <v>681</v>
      </c>
      <c r="AF25" s="11" t="s">
        <v>7</v>
      </c>
      <c r="AG25" s="13">
        <v>45630</v>
      </c>
      <c r="AH25" s="11">
        <v>4</v>
      </c>
      <c r="AI25" s="11">
        <v>12</v>
      </c>
      <c r="AJ25" s="11">
        <v>2024</v>
      </c>
      <c r="AK25" s="13" t="s">
        <v>682</v>
      </c>
      <c r="AL25" s="11" t="s">
        <v>7</v>
      </c>
      <c r="AM25" s="11" t="s">
        <v>20</v>
      </c>
      <c r="AN25" s="11" t="s">
        <v>588</v>
      </c>
      <c r="AO25" s="11" t="s">
        <v>20</v>
      </c>
      <c r="AP25" s="13" t="s">
        <v>588</v>
      </c>
      <c r="AQ25" s="11" t="s">
        <v>588</v>
      </c>
      <c r="AR25" s="11" t="s">
        <v>588</v>
      </c>
      <c r="AS25" s="11" t="s">
        <v>588</v>
      </c>
      <c r="AT25" s="11" t="s">
        <v>588</v>
      </c>
      <c r="AU25" s="7" t="s">
        <v>588</v>
      </c>
      <c r="AV25" s="13" t="s">
        <v>588</v>
      </c>
      <c r="AW25" s="11" t="s">
        <v>588</v>
      </c>
      <c r="AX25" s="11" t="s">
        <v>588</v>
      </c>
      <c r="AY25" s="11" t="s">
        <v>588</v>
      </c>
      <c r="AZ25" s="11" t="s">
        <v>588</v>
      </c>
      <c r="BA25" s="7" t="s">
        <v>588</v>
      </c>
      <c r="BB25" s="11" t="s">
        <v>588</v>
      </c>
      <c r="BC25" s="11" t="s">
        <v>588</v>
      </c>
      <c r="BD25" s="11" t="s">
        <v>588</v>
      </c>
      <c r="BE25" s="11" t="s">
        <v>588</v>
      </c>
      <c r="BF25" s="11" t="s">
        <v>588</v>
      </c>
      <c r="BG25" s="7" t="s">
        <v>588</v>
      </c>
      <c r="BH25" s="11" t="s">
        <v>588</v>
      </c>
      <c r="BI25" s="11" t="s">
        <v>588</v>
      </c>
      <c r="BJ25" s="11" t="s">
        <v>588</v>
      </c>
      <c r="BK25" s="11" t="s">
        <v>588</v>
      </c>
      <c r="BL25" s="11" t="s">
        <v>588</v>
      </c>
      <c r="BM25" s="11" t="s">
        <v>588</v>
      </c>
      <c r="BN25" s="11" t="s">
        <v>588</v>
      </c>
      <c r="BO25" s="11" t="s">
        <v>588</v>
      </c>
      <c r="BP25" s="11" t="s">
        <v>588</v>
      </c>
      <c r="BQ25" s="11" t="s">
        <v>588</v>
      </c>
      <c r="BR25" s="11" t="s">
        <v>588</v>
      </c>
      <c r="BS25" s="11" t="s">
        <v>8</v>
      </c>
      <c r="BT25" s="11" t="s">
        <v>9</v>
      </c>
      <c r="BU25" s="11" t="s">
        <v>9</v>
      </c>
      <c r="BV25" s="11" t="s">
        <v>588</v>
      </c>
      <c r="BW25" s="11" t="s">
        <v>588</v>
      </c>
      <c r="BX25" s="11" t="s">
        <v>588</v>
      </c>
      <c r="BY25" s="11" t="s">
        <v>588</v>
      </c>
      <c r="BZ25" s="11" t="s">
        <v>588</v>
      </c>
    </row>
    <row r="26" spans="1:78" x14ac:dyDescent="0.25">
      <c r="A26" s="11">
        <v>202324</v>
      </c>
      <c r="B26" s="11" t="s">
        <v>73</v>
      </c>
      <c r="C26" s="11" t="s">
        <v>73</v>
      </c>
      <c r="D26" s="11" t="s">
        <v>115</v>
      </c>
      <c r="E26" s="11" t="s">
        <v>49</v>
      </c>
      <c r="F26" s="11">
        <v>2</v>
      </c>
      <c r="G26" s="11" t="s">
        <v>683</v>
      </c>
      <c r="H26" s="11" t="s">
        <v>683</v>
      </c>
      <c r="I26" s="13">
        <v>45303</v>
      </c>
      <c r="J26" s="11">
        <v>12</v>
      </c>
      <c r="K26" s="11">
        <v>1</v>
      </c>
      <c r="L26" s="11">
        <v>2024</v>
      </c>
      <c r="M26" s="11" t="s">
        <v>618</v>
      </c>
      <c r="N26" s="11" t="s">
        <v>12</v>
      </c>
      <c r="O26" s="11" t="s">
        <v>10</v>
      </c>
      <c r="P26" s="11" t="s">
        <v>588</v>
      </c>
      <c r="Q26" s="11" t="s">
        <v>588</v>
      </c>
      <c r="R26" s="11">
        <v>-38.639896</v>
      </c>
      <c r="S26" s="11">
        <v>145.718414</v>
      </c>
      <c r="T26" s="11">
        <v>2</v>
      </c>
      <c r="U26" s="11">
        <v>2</v>
      </c>
      <c r="V26" s="11" t="s">
        <v>588</v>
      </c>
      <c r="W26" s="11" t="s">
        <v>588</v>
      </c>
      <c r="X26" s="11">
        <v>5</v>
      </c>
      <c r="Y26" s="11">
        <v>5</v>
      </c>
      <c r="Z26" s="11" t="s">
        <v>41</v>
      </c>
      <c r="AA26" s="13">
        <v>45310</v>
      </c>
      <c r="AB26" s="11">
        <v>19</v>
      </c>
      <c r="AC26" s="11">
        <v>1</v>
      </c>
      <c r="AD26" s="11">
        <v>2024</v>
      </c>
      <c r="AE26" s="13" t="s">
        <v>684</v>
      </c>
      <c r="AF26" s="11" t="s">
        <v>12</v>
      </c>
      <c r="AG26" s="13">
        <v>45312</v>
      </c>
      <c r="AH26" s="11">
        <v>21</v>
      </c>
      <c r="AI26" s="11">
        <v>1</v>
      </c>
      <c r="AJ26" s="11">
        <v>2024</v>
      </c>
      <c r="AK26" s="13" t="s">
        <v>685</v>
      </c>
      <c r="AL26" s="11" t="s">
        <v>12</v>
      </c>
      <c r="AM26" s="11" t="s">
        <v>20</v>
      </c>
      <c r="AN26" s="11" t="s">
        <v>588</v>
      </c>
      <c r="AO26" s="11" t="s">
        <v>20</v>
      </c>
      <c r="AP26" s="13" t="s">
        <v>588</v>
      </c>
      <c r="AQ26" s="11" t="s">
        <v>588</v>
      </c>
      <c r="AR26" s="11" t="s">
        <v>588</v>
      </c>
      <c r="AS26" s="11" t="s">
        <v>588</v>
      </c>
      <c r="AT26" s="11" t="s">
        <v>588</v>
      </c>
      <c r="AU26" s="7" t="s">
        <v>588</v>
      </c>
      <c r="AV26" s="13" t="s">
        <v>588</v>
      </c>
      <c r="AW26" s="11" t="s">
        <v>588</v>
      </c>
      <c r="AX26" s="11" t="s">
        <v>588</v>
      </c>
      <c r="AY26" s="11" t="s">
        <v>588</v>
      </c>
      <c r="AZ26" s="11" t="s">
        <v>588</v>
      </c>
      <c r="BA26" s="7" t="s">
        <v>588</v>
      </c>
      <c r="BB26" s="13" t="s">
        <v>588</v>
      </c>
      <c r="BC26" s="11" t="s">
        <v>588</v>
      </c>
      <c r="BD26" s="11" t="s">
        <v>588</v>
      </c>
      <c r="BE26" s="11" t="s">
        <v>588</v>
      </c>
      <c r="BF26" s="11" t="s">
        <v>588</v>
      </c>
      <c r="BG26" s="7" t="s">
        <v>588</v>
      </c>
      <c r="BH26" s="11" t="s">
        <v>588</v>
      </c>
      <c r="BI26" s="11" t="s">
        <v>588</v>
      </c>
      <c r="BJ26" s="11" t="s">
        <v>588</v>
      </c>
      <c r="BK26" s="11" t="s">
        <v>588</v>
      </c>
      <c r="BL26" s="11" t="s">
        <v>588</v>
      </c>
      <c r="BM26" s="11" t="s">
        <v>588</v>
      </c>
      <c r="BN26" s="11" t="s">
        <v>588</v>
      </c>
      <c r="BO26" s="11" t="s">
        <v>588</v>
      </c>
      <c r="BP26" s="11" t="s">
        <v>588</v>
      </c>
      <c r="BQ26" s="11" t="s">
        <v>588</v>
      </c>
      <c r="BR26" s="11" t="s">
        <v>588</v>
      </c>
      <c r="BS26" s="11" t="s">
        <v>8</v>
      </c>
      <c r="BT26" s="11" t="s">
        <v>9</v>
      </c>
      <c r="BU26" s="11" t="s">
        <v>9</v>
      </c>
      <c r="BV26" s="11" t="s">
        <v>588</v>
      </c>
      <c r="BW26" s="11" t="s">
        <v>588</v>
      </c>
      <c r="BX26" s="11" t="s">
        <v>588</v>
      </c>
      <c r="BY26" s="11" t="s">
        <v>588</v>
      </c>
      <c r="BZ26" s="11" t="s">
        <v>588</v>
      </c>
    </row>
    <row r="27" spans="1:78" x14ac:dyDescent="0.25">
      <c r="A27" s="11">
        <v>202324</v>
      </c>
      <c r="B27" s="11" t="s">
        <v>33</v>
      </c>
      <c r="C27" s="11" t="s">
        <v>33</v>
      </c>
      <c r="D27" s="11" t="s">
        <v>94</v>
      </c>
      <c r="E27" s="11" t="s">
        <v>110</v>
      </c>
      <c r="F27" s="11">
        <v>1</v>
      </c>
      <c r="G27" s="11" t="s">
        <v>686</v>
      </c>
      <c r="H27" s="11" t="s">
        <v>686</v>
      </c>
      <c r="I27" s="13">
        <v>45167</v>
      </c>
      <c r="J27" s="11">
        <v>29</v>
      </c>
      <c r="K27" s="11">
        <v>8</v>
      </c>
      <c r="L27" s="11">
        <v>2023</v>
      </c>
      <c r="M27" s="11" t="s">
        <v>619</v>
      </c>
      <c r="N27" s="11" t="s">
        <v>64</v>
      </c>
      <c r="O27" s="11" t="s">
        <v>10</v>
      </c>
      <c r="P27" s="11">
        <v>-38.635497000000001</v>
      </c>
      <c r="Q27" s="11">
        <v>-145.747152</v>
      </c>
      <c r="R27" s="11" t="s">
        <v>588</v>
      </c>
      <c r="S27" s="11" t="s">
        <v>588</v>
      </c>
      <c r="T27" s="11">
        <v>3</v>
      </c>
      <c r="U27" s="11">
        <v>3</v>
      </c>
      <c r="V27" s="11" t="s">
        <v>588</v>
      </c>
      <c r="W27" s="11" t="s">
        <v>588</v>
      </c>
      <c r="X27" s="11">
        <v>38</v>
      </c>
      <c r="Y27" s="11">
        <v>26</v>
      </c>
      <c r="Z27" s="11" t="s">
        <v>8</v>
      </c>
      <c r="AA27" s="13">
        <v>45194</v>
      </c>
      <c r="AB27" s="11">
        <v>25</v>
      </c>
      <c r="AC27" s="11">
        <v>9</v>
      </c>
      <c r="AD27" s="11">
        <v>2023</v>
      </c>
      <c r="AE27" s="13" t="s">
        <v>687</v>
      </c>
      <c r="AF27" s="11" t="s">
        <v>588</v>
      </c>
      <c r="AG27" s="13" t="s">
        <v>588</v>
      </c>
      <c r="AH27" s="11" t="s">
        <v>588</v>
      </c>
      <c r="AI27" s="11" t="s">
        <v>588</v>
      </c>
      <c r="AJ27" s="11" t="s">
        <v>588</v>
      </c>
      <c r="AK27" s="13" t="s">
        <v>588</v>
      </c>
      <c r="AL27" s="11" t="s">
        <v>588</v>
      </c>
      <c r="AM27" s="11" t="s">
        <v>588</v>
      </c>
      <c r="AN27" s="11" t="s">
        <v>588</v>
      </c>
      <c r="AO27" s="11" t="s">
        <v>588</v>
      </c>
      <c r="AP27" s="13">
        <v>45195</v>
      </c>
      <c r="AQ27" s="11" t="s">
        <v>28</v>
      </c>
      <c r="AR27" s="11" t="s">
        <v>195</v>
      </c>
      <c r="AS27" s="11">
        <v>3</v>
      </c>
      <c r="AT27" s="11">
        <v>3</v>
      </c>
      <c r="AU27" s="7">
        <v>45200</v>
      </c>
      <c r="AV27" s="13">
        <v>45201</v>
      </c>
      <c r="AW27" s="11" t="s">
        <v>29</v>
      </c>
      <c r="AX27" s="11" t="s">
        <v>20</v>
      </c>
      <c r="AY27" s="11" t="s">
        <v>588</v>
      </c>
      <c r="AZ27" s="11" t="s">
        <v>20</v>
      </c>
      <c r="BA27" s="7">
        <v>45205</v>
      </c>
      <c r="BB27" s="13">
        <v>45207</v>
      </c>
      <c r="BC27" s="11" t="s">
        <v>29</v>
      </c>
      <c r="BD27" s="11" t="s">
        <v>20</v>
      </c>
      <c r="BE27" s="11" t="s">
        <v>588</v>
      </c>
      <c r="BF27" s="11" t="s">
        <v>20</v>
      </c>
      <c r="BG27" s="7">
        <v>45205</v>
      </c>
      <c r="BH27" s="13">
        <v>45207</v>
      </c>
      <c r="BI27" s="11" t="s">
        <v>29</v>
      </c>
      <c r="BJ27" s="11" t="s">
        <v>20</v>
      </c>
      <c r="BK27" s="11" t="s">
        <v>588</v>
      </c>
      <c r="BL27" s="11" t="s">
        <v>20</v>
      </c>
      <c r="BM27" s="11">
        <v>15</v>
      </c>
      <c r="BN27" s="11">
        <v>11</v>
      </c>
      <c r="BO27" s="11" t="s">
        <v>41</v>
      </c>
      <c r="BP27" s="11" t="s">
        <v>588</v>
      </c>
      <c r="BQ27" s="11" t="s">
        <v>588</v>
      </c>
      <c r="BR27" s="11" t="s">
        <v>588</v>
      </c>
      <c r="BS27" s="11" t="s">
        <v>8</v>
      </c>
      <c r="BT27" s="11" t="s">
        <v>112</v>
      </c>
      <c r="BU27" s="11" t="s">
        <v>112</v>
      </c>
      <c r="BV27" s="11" t="s">
        <v>8</v>
      </c>
      <c r="BW27" s="11" t="s">
        <v>112</v>
      </c>
      <c r="BX27" s="11" t="s">
        <v>112</v>
      </c>
      <c r="BY27" s="11" t="s">
        <v>588</v>
      </c>
      <c r="BZ27" s="11" t="s">
        <v>588</v>
      </c>
    </row>
    <row r="28" spans="1:78" x14ac:dyDescent="0.25">
      <c r="A28" s="11">
        <v>202324</v>
      </c>
      <c r="B28" s="11" t="s">
        <v>33</v>
      </c>
      <c r="C28" s="11" t="s">
        <v>33</v>
      </c>
      <c r="D28" s="11" t="s">
        <v>94</v>
      </c>
      <c r="E28" s="11" t="s">
        <v>110</v>
      </c>
      <c r="F28" s="11">
        <v>2</v>
      </c>
      <c r="G28" s="11" t="s">
        <v>688</v>
      </c>
      <c r="H28" s="11" t="s">
        <v>688</v>
      </c>
      <c r="I28" s="13">
        <v>45223</v>
      </c>
      <c r="J28" s="11">
        <v>24</v>
      </c>
      <c r="K28" s="11">
        <v>10</v>
      </c>
      <c r="L28" s="11">
        <v>2023</v>
      </c>
      <c r="M28" s="11" t="s">
        <v>620</v>
      </c>
      <c r="N28" s="11" t="s">
        <v>29</v>
      </c>
      <c r="O28" s="11" t="s">
        <v>10</v>
      </c>
      <c r="P28" s="11" t="s">
        <v>588</v>
      </c>
      <c r="Q28" s="11" t="s">
        <v>588</v>
      </c>
      <c r="R28" s="11">
        <v>-38.635300000000001</v>
      </c>
      <c r="S28" s="11">
        <v>145.746002</v>
      </c>
      <c r="T28" s="11">
        <v>3</v>
      </c>
      <c r="U28" s="11">
        <v>3</v>
      </c>
      <c r="V28" s="11" t="s">
        <v>588</v>
      </c>
      <c r="W28" s="11" t="s">
        <v>588</v>
      </c>
      <c r="X28" s="11">
        <v>8</v>
      </c>
      <c r="Y28" s="11">
        <v>7</v>
      </c>
      <c r="Z28" s="11" t="s">
        <v>41</v>
      </c>
      <c r="AA28" s="13">
        <v>45230</v>
      </c>
      <c r="AB28" s="11">
        <v>31</v>
      </c>
      <c r="AC28" s="11">
        <v>10</v>
      </c>
      <c r="AD28" s="11">
        <v>2023</v>
      </c>
      <c r="AE28" s="13" t="s">
        <v>689</v>
      </c>
      <c r="AF28" s="11" t="s">
        <v>29</v>
      </c>
      <c r="AG28" s="13">
        <v>45231</v>
      </c>
      <c r="AH28" s="11">
        <v>1</v>
      </c>
      <c r="AI28" s="11">
        <v>11</v>
      </c>
      <c r="AJ28" s="11">
        <v>2023</v>
      </c>
      <c r="AK28" s="13" t="s">
        <v>690</v>
      </c>
      <c r="AL28" s="11" t="s">
        <v>17</v>
      </c>
      <c r="AM28" s="11" t="s">
        <v>20</v>
      </c>
      <c r="AN28" s="11" t="s">
        <v>588</v>
      </c>
      <c r="AO28" s="11" t="s">
        <v>20</v>
      </c>
      <c r="AP28" s="13" t="s">
        <v>588</v>
      </c>
      <c r="AQ28" s="11" t="s">
        <v>588</v>
      </c>
      <c r="AR28" s="11" t="s">
        <v>588</v>
      </c>
      <c r="AS28" s="11" t="s">
        <v>588</v>
      </c>
      <c r="AT28" s="11" t="s">
        <v>588</v>
      </c>
      <c r="AU28" s="7" t="s">
        <v>588</v>
      </c>
      <c r="AV28" s="11" t="s">
        <v>588</v>
      </c>
      <c r="AW28" s="11" t="s">
        <v>588</v>
      </c>
      <c r="AX28" s="11" t="s">
        <v>588</v>
      </c>
      <c r="AY28" s="11" t="s">
        <v>588</v>
      </c>
      <c r="AZ28" s="11" t="s">
        <v>588</v>
      </c>
      <c r="BA28" s="7" t="s">
        <v>588</v>
      </c>
      <c r="BB28" s="11" t="s">
        <v>588</v>
      </c>
      <c r="BC28" s="11" t="s">
        <v>588</v>
      </c>
      <c r="BD28" s="11" t="s">
        <v>588</v>
      </c>
      <c r="BE28" s="11" t="s">
        <v>588</v>
      </c>
      <c r="BF28" s="11" t="s">
        <v>588</v>
      </c>
      <c r="BG28" s="7" t="s">
        <v>588</v>
      </c>
      <c r="BH28" s="11" t="s">
        <v>588</v>
      </c>
      <c r="BI28" s="11" t="s">
        <v>588</v>
      </c>
      <c r="BJ28" s="11" t="s">
        <v>588</v>
      </c>
      <c r="BK28" s="11" t="s">
        <v>588</v>
      </c>
      <c r="BL28" s="11" t="s">
        <v>588</v>
      </c>
      <c r="BM28" s="11" t="s">
        <v>588</v>
      </c>
      <c r="BN28" s="11" t="s">
        <v>588</v>
      </c>
      <c r="BO28" s="11" t="s">
        <v>588</v>
      </c>
      <c r="BP28" s="11" t="s">
        <v>588</v>
      </c>
      <c r="BQ28" s="13" t="s">
        <v>588</v>
      </c>
      <c r="BR28" s="11" t="s">
        <v>588</v>
      </c>
      <c r="BS28" s="11" t="s">
        <v>8</v>
      </c>
      <c r="BT28" s="11" t="s">
        <v>116</v>
      </c>
      <c r="BU28" s="11" t="s">
        <v>116</v>
      </c>
      <c r="BV28" s="11" t="s">
        <v>588</v>
      </c>
      <c r="BW28" s="11" t="s">
        <v>588</v>
      </c>
      <c r="BX28" s="11" t="s">
        <v>588</v>
      </c>
      <c r="BY28" s="11" t="s">
        <v>588</v>
      </c>
      <c r="BZ28" s="11" t="s">
        <v>588</v>
      </c>
    </row>
    <row r="29" spans="1:78" x14ac:dyDescent="0.25">
      <c r="A29" s="11">
        <v>202324</v>
      </c>
      <c r="B29" s="11" t="s">
        <v>33</v>
      </c>
      <c r="C29" s="11" t="s">
        <v>33</v>
      </c>
      <c r="D29" s="11" t="s">
        <v>94</v>
      </c>
      <c r="E29" s="11" t="s">
        <v>110</v>
      </c>
      <c r="F29" s="11">
        <v>3</v>
      </c>
      <c r="G29" s="11" t="s">
        <v>691</v>
      </c>
      <c r="H29" s="11" t="s">
        <v>691</v>
      </c>
      <c r="I29" s="13">
        <v>45248</v>
      </c>
      <c r="J29" s="11">
        <v>18</v>
      </c>
      <c r="K29" s="11">
        <v>11</v>
      </c>
      <c r="L29" s="11">
        <v>2023</v>
      </c>
      <c r="M29" s="11" t="s">
        <v>621</v>
      </c>
      <c r="N29" s="11" t="s">
        <v>17</v>
      </c>
      <c r="O29" s="11" t="s">
        <v>10</v>
      </c>
      <c r="P29" s="11" t="s">
        <v>588</v>
      </c>
      <c r="Q29" s="11" t="s">
        <v>588</v>
      </c>
      <c r="R29" s="11">
        <v>-38.635300000000001</v>
      </c>
      <c r="S29" s="11">
        <v>145.746002</v>
      </c>
      <c r="T29" s="11">
        <v>3</v>
      </c>
      <c r="U29" s="11">
        <v>3</v>
      </c>
      <c r="V29" s="13">
        <v>45250</v>
      </c>
      <c r="W29" s="11" t="s">
        <v>223</v>
      </c>
      <c r="X29" s="11">
        <v>17</v>
      </c>
      <c r="Y29" s="11">
        <v>15</v>
      </c>
      <c r="Z29" s="11" t="s">
        <v>41</v>
      </c>
      <c r="AA29" s="13">
        <v>45266</v>
      </c>
      <c r="AB29" s="11">
        <v>6</v>
      </c>
      <c r="AC29" s="11">
        <v>12</v>
      </c>
      <c r="AD29" s="11">
        <v>2023</v>
      </c>
      <c r="AE29" s="13" t="s">
        <v>692</v>
      </c>
      <c r="AF29" s="11" t="s">
        <v>7</v>
      </c>
      <c r="AG29" s="13">
        <v>45268</v>
      </c>
      <c r="AH29" s="11">
        <v>8</v>
      </c>
      <c r="AI29" s="11">
        <v>12</v>
      </c>
      <c r="AJ29" s="11">
        <v>2023</v>
      </c>
      <c r="AK29" s="13" t="s">
        <v>693</v>
      </c>
      <c r="AL29" s="11" t="s">
        <v>7</v>
      </c>
      <c r="AM29" s="11" t="s">
        <v>20</v>
      </c>
      <c r="AN29" s="11" t="s">
        <v>588</v>
      </c>
      <c r="AO29" s="11" t="s">
        <v>32</v>
      </c>
      <c r="AP29" s="13" t="s">
        <v>588</v>
      </c>
      <c r="AQ29" s="11" t="s">
        <v>588</v>
      </c>
      <c r="AR29" s="11" t="s">
        <v>588</v>
      </c>
      <c r="AS29" s="11" t="s">
        <v>588</v>
      </c>
      <c r="AT29" s="11" t="s">
        <v>588</v>
      </c>
      <c r="AU29" s="7" t="s">
        <v>588</v>
      </c>
      <c r="AV29" s="11" t="s">
        <v>588</v>
      </c>
      <c r="AW29" s="11" t="s">
        <v>588</v>
      </c>
      <c r="AX29" s="11" t="s">
        <v>588</v>
      </c>
      <c r="AY29" s="11" t="s">
        <v>588</v>
      </c>
      <c r="AZ29" s="11" t="s">
        <v>588</v>
      </c>
      <c r="BA29" s="7" t="s">
        <v>588</v>
      </c>
      <c r="BB29" s="11" t="s">
        <v>588</v>
      </c>
      <c r="BC29" s="11" t="s">
        <v>588</v>
      </c>
      <c r="BD29" s="11" t="s">
        <v>588</v>
      </c>
      <c r="BE29" s="11" t="s">
        <v>588</v>
      </c>
      <c r="BF29" s="11" t="s">
        <v>588</v>
      </c>
      <c r="BG29" s="7" t="s">
        <v>588</v>
      </c>
      <c r="BH29" s="11" t="s">
        <v>588</v>
      </c>
      <c r="BI29" s="11" t="s">
        <v>588</v>
      </c>
      <c r="BJ29" s="11" t="s">
        <v>588</v>
      </c>
      <c r="BK29" s="11" t="s">
        <v>588</v>
      </c>
      <c r="BL29" s="11" t="s">
        <v>588</v>
      </c>
      <c r="BM29" s="11" t="s">
        <v>588</v>
      </c>
      <c r="BN29" s="11" t="s">
        <v>588</v>
      </c>
      <c r="BO29" s="11" t="s">
        <v>588</v>
      </c>
      <c r="BP29" s="11" t="s">
        <v>588</v>
      </c>
      <c r="BQ29" s="13" t="s">
        <v>588</v>
      </c>
      <c r="BR29" s="11" t="s">
        <v>588</v>
      </c>
      <c r="BS29" s="11" t="s">
        <v>8</v>
      </c>
      <c r="BT29" s="11" t="s">
        <v>96</v>
      </c>
      <c r="BU29" s="11" t="s">
        <v>96</v>
      </c>
      <c r="BV29" s="11" t="s">
        <v>588</v>
      </c>
      <c r="BW29" s="11" t="s">
        <v>588</v>
      </c>
      <c r="BX29" s="11" t="s">
        <v>588</v>
      </c>
      <c r="BY29" s="11" t="s">
        <v>588</v>
      </c>
      <c r="BZ29" s="11" t="s">
        <v>588</v>
      </c>
    </row>
    <row r="30" spans="1:78" x14ac:dyDescent="0.25">
      <c r="A30" s="11">
        <v>202324</v>
      </c>
      <c r="B30" s="11" t="s">
        <v>33</v>
      </c>
      <c r="C30" s="11" t="s">
        <v>33</v>
      </c>
      <c r="D30" s="11" t="s">
        <v>94</v>
      </c>
      <c r="E30" s="11" t="s">
        <v>110</v>
      </c>
      <c r="F30" s="11">
        <v>4</v>
      </c>
      <c r="G30" s="11" t="s">
        <v>694</v>
      </c>
      <c r="H30" s="11" t="s">
        <v>694</v>
      </c>
      <c r="I30" s="13">
        <v>45279</v>
      </c>
      <c r="J30" s="11">
        <v>19</v>
      </c>
      <c r="K30" s="11">
        <v>12</v>
      </c>
      <c r="L30" s="11">
        <v>2023</v>
      </c>
      <c r="M30" s="11" t="s">
        <v>622</v>
      </c>
      <c r="N30" s="11" t="s">
        <v>7</v>
      </c>
      <c r="O30" s="11" t="s">
        <v>10</v>
      </c>
      <c r="P30" s="11" t="s">
        <v>588</v>
      </c>
      <c r="Q30" s="11" t="s">
        <v>588</v>
      </c>
      <c r="R30" s="11">
        <v>-38.635300000000001</v>
      </c>
      <c r="S30" s="11">
        <v>145.746002</v>
      </c>
      <c r="T30" s="11">
        <v>2</v>
      </c>
      <c r="U30" s="11">
        <v>2</v>
      </c>
      <c r="V30" s="11" t="s">
        <v>588</v>
      </c>
      <c r="W30" s="11" t="s">
        <v>588</v>
      </c>
      <c r="X30" s="11">
        <v>9</v>
      </c>
      <c r="Y30" s="11">
        <v>8</v>
      </c>
      <c r="Z30" s="11" t="s">
        <v>41</v>
      </c>
      <c r="AA30" s="13">
        <v>45288</v>
      </c>
      <c r="AB30" s="11">
        <v>28</v>
      </c>
      <c r="AC30" s="11">
        <v>12</v>
      </c>
      <c r="AD30" s="11">
        <v>2023</v>
      </c>
      <c r="AE30" s="13" t="s">
        <v>638</v>
      </c>
      <c r="AF30" s="11" t="s">
        <v>7</v>
      </c>
      <c r="AG30" s="13">
        <v>45290</v>
      </c>
      <c r="AH30" s="11">
        <v>30</v>
      </c>
      <c r="AI30" s="11">
        <v>12</v>
      </c>
      <c r="AJ30" s="11">
        <v>2023</v>
      </c>
      <c r="AK30" s="13" t="s">
        <v>695</v>
      </c>
      <c r="AL30" s="11" t="s">
        <v>7</v>
      </c>
      <c r="AM30" s="11" t="s">
        <v>20</v>
      </c>
      <c r="AN30" s="11" t="s">
        <v>588</v>
      </c>
      <c r="AO30" s="11" t="s">
        <v>20</v>
      </c>
      <c r="AP30" s="11" t="s">
        <v>588</v>
      </c>
      <c r="AQ30" s="11" t="s">
        <v>588</v>
      </c>
      <c r="AR30" s="11" t="s">
        <v>588</v>
      </c>
      <c r="AS30" s="11" t="s">
        <v>588</v>
      </c>
      <c r="AT30" s="11" t="s">
        <v>588</v>
      </c>
      <c r="AU30" s="7" t="s">
        <v>588</v>
      </c>
      <c r="AV30" s="11" t="s">
        <v>588</v>
      </c>
      <c r="AW30" s="11" t="s">
        <v>588</v>
      </c>
      <c r="AX30" s="11" t="s">
        <v>588</v>
      </c>
      <c r="AY30" s="11" t="s">
        <v>588</v>
      </c>
      <c r="AZ30" s="11" t="s">
        <v>588</v>
      </c>
      <c r="BA30" s="7" t="s">
        <v>588</v>
      </c>
      <c r="BB30" s="11" t="s">
        <v>588</v>
      </c>
      <c r="BC30" s="11" t="s">
        <v>588</v>
      </c>
      <c r="BD30" s="11" t="s">
        <v>588</v>
      </c>
      <c r="BE30" s="11" t="s">
        <v>588</v>
      </c>
      <c r="BF30" s="11" t="s">
        <v>588</v>
      </c>
      <c r="BG30" s="7" t="s">
        <v>588</v>
      </c>
      <c r="BH30" s="11" t="s">
        <v>588</v>
      </c>
      <c r="BI30" s="11" t="s">
        <v>588</v>
      </c>
      <c r="BJ30" s="11" t="s">
        <v>588</v>
      </c>
      <c r="BK30" s="11" t="s">
        <v>588</v>
      </c>
      <c r="BL30" s="11" t="s">
        <v>588</v>
      </c>
      <c r="BM30" s="11" t="s">
        <v>588</v>
      </c>
      <c r="BN30" s="11" t="s">
        <v>588</v>
      </c>
      <c r="BO30" s="11" t="s">
        <v>588</v>
      </c>
      <c r="BP30" s="11" t="s">
        <v>588</v>
      </c>
      <c r="BQ30" s="11" t="s">
        <v>588</v>
      </c>
      <c r="BR30" s="11" t="s">
        <v>588</v>
      </c>
      <c r="BS30" s="11" t="s">
        <v>8</v>
      </c>
      <c r="BT30" s="11" t="s">
        <v>116</v>
      </c>
      <c r="BU30" s="11" t="s">
        <v>116</v>
      </c>
      <c r="BV30" s="11" t="s">
        <v>588</v>
      </c>
      <c r="BW30" s="11" t="s">
        <v>588</v>
      </c>
      <c r="BX30" s="11" t="s">
        <v>588</v>
      </c>
      <c r="BY30" s="11" t="s">
        <v>588</v>
      </c>
      <c r="BZ30" s="11" t="s">
        <v>588</v>
      </c>
    </row>
    <row r="31" spans="1:78" x14ac:dyDescent="0.25">
      <c r="A31" s="11">
        <v>202324</v>
      </c>
      <c r="B31" s="11" t="s">
        <v>402</v>
      </c>
      <c r="C31" s="11" t="s">
        <v>402</v>
      </c>
      <c r="D31" s="11" t="s">
        <v>302</v>
      </c>
      <c r="E31" s="11" t="s">
        <v>303</v>
      </c>
      <c r="F31" s="11">
        <v>1</v>
      </c>
      <c r="G31" s="11" t="s">
        <v>403</v>
      </c>
      <c r="H31" s="11" t="s">
        <v>696</v>
      </c>
      <c r="I31" s="13" t="s">
        <v>71</v>
      </c>
      <c r="J31" s="13" t="s">
        <v>71</v>
      </c>
      <c r="K31" s="13" t="s">
        <v>71</v>
      </c>
      <c r="L31" s="13" t="s">
        <v>71</v>
      </c>
      <c r="M31" s="13" t="s">
        <v>71</v>
      </c>
      <c r="N31" s="11" t="s">
        <v>17</v>
      </c>
      <c r="O31" s="11" t="s">
        <v>71</v>
      </c>
      <c r="P31" s="11" t="s">
        <v>588</v>
      </c>
      <c r="Q31" s="11" t="s">
        <v>588</v>
      </c>
      <c r="R31" s="11" t="s">
        <v>588</v>
      </c>
      <c r="S31" s="11" t="s">
        <v>588</v>
      </c>
      <c r="T31" s="11">
        <v>0</v>
      </c>
      <c r="U31" s="11">
        <v>1</v>
      </c>
      <c r="V31" s="11" t="s">
        <v>588</v>
      </c>
      <c r="W31" s="11" t="s">
        <v>588</v>
      </c>
      <c r="X31" s="11">
        <v>0</v>
      </c>
      <c r="Y31" s="11">
        <v>0</v>
      </c>
      <c r="Z31" s="11" t="s">
        <v>8</v>
      </c>
      <c r="AA31" s="13" t="s">
        <v>71</v>
      </c>
      <c r="AB31" s="13" t="s">
        <v>71</v>
      </c>
      <c r="AC31" s="13" t="s">
        <v>71</v>
      </c>
      <c r="AD31" s="13" t="s">
        <v>71</v>
      </c>
      <c r="AE31" s="13" t="s">
        <v>71</v>
      </c>
      <c r="AF31" s="11" t="s">
        <v>588</v>
      </c>
      <c r="AG31" s="13" t="s">
        <v>588</v>
      </c>
      <c r="AH31" s="11" t="s">
        <v>588</v>
      </c>
      <c r="AI31" s="11" t="s">
        <v>588</v>
      </c>
      <c r="AJ31" s="11" t="s">
        <v>588</v>
      </c>
      <c r="AK31" s="13" t="s">
        <v>588</v>
      </c>
      <c r="AL31" s="11" t="s">
        <v>588</v>
      </c>
      <c r="AM31" s="13" t="s">
        <v>588</v>
      </c>
      <c r="AN31" s="11" t="s">
        <v>588</v>
      </c>
      <c r="AO31" s="13" t="s">
        <v>588</v>
      </c>
      <c r="AP31" s="13">
        <v>45279</v>
      </c>
      <c r="AQ31" s="11" t="s">
        <v>7</v>
      </c>
      <c r="AR31" s="11" t="s">
        <v>195</v>
      </c>
      <c r="AS31" s="11">
        <v>1</v>
      </c>
      <c r="AT31" s="11">
        <v>1</v>
      </c>
      <c r="AU31" s="7" t="s">
        <v>588</v>
      </c>
      <c r="AV31" s="13" t="s">
        <v>588</v>
      </c>
      <c r="AW31" s="11" t="s">
        <v>588</v>
      </c>
      <c r="AX31" s="11" t="s">
        <v>588</v>
      </c>
      <c r="AY31" s="11" t="s">
        <v>588</v>
      </c>
      <c r="AZ31" s="11" t="s">
        <v>588</v>
      </c>
      <c r="BA31" s="7" t="s">
        <v>588</v>
      </c>
      <c r="BB31" s="13" t="s">
        <v>588</v>
      </c>
      <c r="BC31" s="11" t="s">
        <v>588</v>
      </c>
      <c r="BD31" s="11" t="s">
        <v>588</v>
      </c>
      <c r="BE31" s="11" t="s">
        <v>588</v>
      </c>
      <c r="BF31" s="11" t="s">
        <v>588</v>
      </c>
      <c r="BG31" s="7" t="s">
        <v>588</v>
      </c>
      <c r="BH31" s="11" t="s">
        <v>588</v>
      </c>
      <c r="BI31" s="11" t="s">
        <v>588</v>
      </c>
      <c r="BJ31" s="11" t="s">
        <v>588</v>
      </c>
      <c r="BK31" s="11" t="s">
        <v>588</v>
      </c>
      <c r="BL31" s="11" t="s">
        <v>588</v>
      </c>
      <c r="BM31" s="11">
        <v>11</v>
      </c>
      <c r="BN31" s="11">
        <v>11</v>
      </c>
      <c r="BO31" s="11" t="s">
        <v>8</v>
      </c>
      <c r="BP31" s="11">
        <v>1</v>
      </c>
      <c r="BQ31" s="13">
        <v>45308</v>
      </c>
      <c r="BR31" s="11" t="s">
        <v>12</v>
      </c>
      <c r="BS31" s="11" t="s">
        <v>41</v>
      </c>
      <c r="BT31" s="11" t="s">
        <v>588</v>
      </c>
      <c r="BU31" s="11" t="s">
        <v>42</v>
      </c>
      <c r="BV31" s="11" t="s">
        <v>8</v>
      </c>
      <c r="BW31" s="11" t="s">
        <v>9</v>
      </c>
      <c r="BX31" s="11" t="s">
        <v>9</v>
      </c>
      <c r="BY31" s="11" t="s">
        <v>588</v>
      </c>
      <c r="BZ31" s="11" t="s">
        <v>588</v>
      </c>
    </row>
    <row r="32" spans="1:78" x14ac:dyDescent="0.25">
      <c r="A32" s="11">
        <v>202324</v>
      </c>
      <c r="B32" s="11" t="s">
        <v>308</v>
      </c>
      <c r="C32" s="11" t="s">
        <v>308</v>
      </c>
      <c r="D32" s="11" t="s">
        <v>404</v>
      </c>
      <c r="E32" s="11" t="s">
        <v>405</v>
      </c>
      <c r="F32" s="11">
        <v>1</v>
      </c>
      <c r="G32" s="11" t="s">
        <v>406</v>
      </c>
      <c r="H32" s="11" t="s">
        <v>697</v>
      </c>
      <c r="I32" s="13">
        <v>45187</v>
      </c>
      <c r="J32" s="11">
        <v>18</v>
      </c>
      <c r="K32" s="11">
        <v>9</v>
      </c>
      <c r="L32" s="11">
        <v>2023</v>
      </c>
      <c r="M32" s="11" t="s">
        <v>623</v>
      </c>
      <c r="N32" s="11" t="s">
        <v>28</v>
      </c>
      <c r="O32" s="11" t="s">
        <v>19</v>
      </c>
      <c r="P32" s="11" t="s">
        <v>588</v>
      </c>
      <c r="Q32" s="11" t="s">
        <v>588</v>
      </c>
      <c r="R32" s="11">
        <v>-38.583106999999998</v>
      </c>
      <c r="S32" s="11">
        <v>145.511551</v>
      </c>
      <c r="T32" s="11">
        <v>3</v>
      </c>
      <c r="U32" s="11">
        <v>3</v>
      </c>
      <c r="V32" s="11" t="s">
        <v>588</v>
      </c>
      <c r="W32" s="11" t="s">
        <v>588</v>
      </c>
      <c r="X32" s="11">
        <v>5</v>
      </c>
      <c r="Y32" s="11">
        <v>5</v>
      </c>
      <c r="Z32" s="11" t="s">
        <v>41</v>
      </c>
      <c r="AA32" s="13">
        <v>45201</v>
      </c>
      <c r="AB32" s="11">
        <v>2</v>
      </c>
      <c r="AC32" s="11">
        <v>10</v>
      </c>
      <c r="AD32" s="11">
        <v>2023</v>
      </c>
      <c r="AE32" s="13" t="s">
        <v>698</v>
      </c>
      <c r="AF32" s="11" t="s">
        <v>29</v>
      </c>
      <c r="AG32" s="13">
        <v>45207</v>
      </c>
      <c r="AH32" s="11">
        <v>8</v>
      </c>
      <c r="AI32" s="11">
        <v>10</v>
      </c>
      <c r="AJ32" s="11">
        <v>2023</v>
      </c>
      <c r="AK32" s="13" t="s">
        <v>699</v>
      </c>
      <c r="AL32" s="11" t="s">
        <v>29</v>
      </c>
      <c r="AM32" s="11" t="s">
        <v>20</v>
      </c>
      <c r="AN32" s="11" t="s">
        <v>588</v>
      </c>
      <c r="AO32" s="11" t="s">
        <v>81</v>
      </c>
      <c r="AP32" s="13" t="s">
        <v>588</v>
      </c>
      <c r="AQ32" s="11" t="s">
        <v>588</v>
      </c>
      <c r="AR32" s="11" t="s">
        <v>588</v>
      </c>
      <c r="AS32" s="11" t="s">
        <v>588</v>
      </c>
      <c r="AT32" s="11" t="s">
        <v>588</v>
      </c>
      <c r="AU32" s="7" t="s">
        <v>588</v>
      </c>
      <c r="AV32" s="13" t="s">
        <v>588</v>
      </c>
      <c r="AW32" s="11" t="s">
        <v>588</v>
      </c>
      <c r="AX32" s="11" t="s">
        <v>588</v>
      </c>
      <c r="AY32" s="11" t="s">
        <v>588</v>
      </c>
      <c r="AZ32" s="11" t="s">
        <v>588</v>
      </c>
      <c r="BA32" s="7" t="s">
        <v>588</v>
      </c>
      <c r="BB32" s="13" t="s">
        <v>588</v>
      </c>
      <c r="BC32" s="11" t="s">
        <v>588</v>
      </c>
      <c r="BD32" s="11" t="s">
        <v>588</v>
      </c>
      <c r="BE32" s="11" t="s">
        <v>588</v>
      </c>
      <c r="BF32" s="11" t="s">
        <v>588</v>
      </c>
      <c r="BG32" s="7" t="s">
        <v>588</v>
      </c>
      <c r="BH32" s="11" t="s">
        <v>588</v>
      </c>
      <c r="BI32" s="11" t="s">
        <v>588</v>
      </c>
      <c r="BJ32" s="11" t="s">
        <v>588</v>
      </c>
      <c r="BK32" s="11" t="s">
        <v>588</v>
      </c>
      <c r="BL32" s="11" t="s">
        <v>588</v>
      </c>
      <c r="BM32" s="11" t="s">
        <v>588</v>
      </c>
      <c r="BN32" s="11" t="s">
        <v>588</v>
      </c>
      <c r="BO32" s="11" t="s">
        <v>588</v>
      </c>
      <c r="BP32" s="11" t="s">
        <v>588</v>
      </c>
      <c r="BQ32" s="13" t="s">
        <v>588</v>
      </c>
      <c r="BR32" s="11" t="s">
        <v>588</v>
      </c>
      <c r="BS32" s="11" t="s">
        <v>8</v>
      </c>
      <c r="BT32" s="11" t="s">
        <v>9</v>
      </c>
      <c r="BU32" s="11" t="s">
        <v>9</v>
      </c>
      <c r="BV32" s="11" t="s">
        <v>588</v>
      </c>
      <c r="BW32" s="11" t="s">
        <v>588</v>
      </c>
      <c r="BX32" s="11" t="s">
        <v>588</v>
      </c>
      <c r="BY32" s="11" t="s">
        <v>588</v>
      </c>
      <c r="BZ32" s="11" t="s">
        <v>588</v>
      </c>
    </row>
    <row r="33" spans="1:78" x14ac:dyDescent="0.25">
      <c r="A33" s="11">
        <v>202324</v>
      </c>
      <c r="B33" s="11" t="s">
        <v>308</v>
      </c>
      <c r="C33" s="11" t="s">
        <v>308</v>
      </c>
      <c r="D33" s="11" t="s">
        <v>404</v>
      </c>
      <c r="E33" s="11" t="s">
        <v>405</v>
      </c>
      <c r="F33" s="11">
        <v>2</v>
      </c>
      <c r="G33" s="11" t="s">
        <v>407</v>
      </c>
      <c r="H33" s="11" t="s">
        <v>700</v>
      </c>
      <c r="I33" s="13">
        <v>45273</v>
      </c>
      <c r="J33" s="11">
        <v>13</v>
      </c>
      <c r="K33" s="11">
        <v>12</v>
      </c>
      <c r="L33" s="11">
        <v>2023</v>
      </c>
      <c r="M33" s="11" t="s">
        <v>606</v>
      </c>
      <c r="N33" s="11" t="s">
        <v>7</v>
      </c>
      <c r="O33" s="11" t="s">
        <v>19</v>
      </c>
      <c r="P33" s="11" t="s">
        <v>588</v>
      </c>
      <c r="Q33" s="11" t="s">
        <v>588</v>
      </c>
      <c r="R33" s="11">
        <v>-38.583106999999998</v>
      </c>
      <c r="S33" s="11">
        <v>145.511551</v>
      </c>
      <c r="T33" s="11">
        <v>1</v>
      </c>
      <c r="U33" s="11">
        <v>1</v>
      </c>
      <c r="V33" s="11" t="s">
        <v>588</v>
      </c>
      <c r="W33" s="11" t="s">
        <v>588</v>
      </c>
      <c r="X33" s="11">
        <v>6</v>
      </c>
      <c r="Y33" s="11">
        <v>6</v>
      </c>
      <c r="Z33" s="11" t="s">
        <v>41</v>
      </c>
      <c r="AA33" s="13">
        <v>45291</v>
      </c>
      <c r="AB33" s="11">
        <v>31</v>
      </c>
      <c r="AC33" s="11">
        <v>12</v>
      </c>
      <c r="AD33" s="11">
        <v>2023</v>
      </c>
      <c r="AE33" s="13" t="s">
        <v>701</v>
      </c>
      <c r="AF33" s="11" t="s">
        <v>7</v>
      </c>
      <c r="AG33" s="13">
        <v>45293</v>
      </c>
      <c r="AH33" s="11">
        <v>2</v>
      </c>
      <c r="AI33" s="11">
        <v>1</v>
      </c>
      <c r="AJ33" s="11">
        <v>2024</v>
      </c>
      <c r="AK33" s="13" t="s">
        <v>607</v>
      </c>
      <c r="AL33" s="11" t="s">
        <v>12</v>
      </c>
      <c r="AM33" s="11" t="s">
        <v>20</v>
      </c>
      <c r="AN33" s="11" t="s">
        <v>588</v>
      </c>
      <c r="AO33" s="11" t="s">
        <v>20</v>
      </c>
      <c r="AP33" s="13" t="s">
        <v>588</v>
      </c>
      <c r="AQ33" s="11" t="s">
        <v>588</v>
      </c>
      <c r="AR33" s="11" t="s">
        <v>588</v>
      </c>
      <c r="AS33" s="11" t="s">
        <v>588</v>
      </c>
      <c r="AT33" s="11" t="s">
        <v>588</v>
      </c>
      <c r="AU33" s="7" t="s">
        <v>588</v>
      </c>
      <c r="AV33" s="13" t="s">
        <v>588</v>
      </c>
      <c r="AW33" s="11" t="s">
        <v>588</v>
      </c>
      <c r="AX33" s="11" t="s">
        <v>588</v>
      </c>
      <c r="AY33" s="11" t="s">
        <v>588</v>
      </c>
      <c r="AZ33" s="11" t="s">
        <v>588</v>
      </c>
      <c r="BA33" s="7" t="s">
        <v>588</v>
      </c>
      <c r="BB33" s="13" t="s">
        <v>588</v>
      </c>
      <c r="BC33" s="11" t="s">
        <v>588</v>
      </c>
      <c r="BD33" s="11" t="s">
        <v>588</v>
      </c>
      <c r="BE33" s="11" t="s">
        <v>588</v>
      </c>
      <c r="BF33" s="11" t="s">
        <v>588</v>
      </c>
      <c r="BG33" s="7" t="s">
        <v>588</v>
      </c>
      <c r="BH33" s="11" t="s">
        <v>588</v>
      </c>
      <c r="BI33" s="11" t="s">
        <v>588</v>
      </c>
      <c r="BJ33" s="11" t="s">
        <v>588</v>
      </c>
      <c r="BK33" s="11" t="s">
        <v>588</v>
      </c>
      <c r="BL33" s="11" t="s">
        <v>588</v>
      </c>
      <c r="BM33" s="11" t="s">
        <v>588</v>
      </c>
      <c r="BN33" s="11" t="s">
        <v>588</v>
      </c>
      <c r="BO33" s="11" t="s">
        <v>588</v>
      </c>
      <c r="BP33" s="11" t="s">
        <v>588</v>
      </c>
      <c r="BQ33" s="13" t="s">
        <v>588</v>
      </c>
      <c r="BR33" s="11" t="s">
        <v>588</v>
      </c>
      <c r="BS33" s="11" t="s">
        <v>8</v>
      </c>
      <c r="BT33" s="11" t="s">
        <v>9</v>
      </c>
      <c r="BU33" s="11" t="s">
        <v>9</v>
      </c>
      <c r="BV33" s="11" t="s">
        <v>588</v>
      </c>
      <c r="BW33" s="11" t="s">
        <v>588</v>
      </c>
      <c r="BX33" s="11" t="s">
        <v>588</v>
      </c>
      <c r="BY33" s="11" t="s">
        <v>588</v>
      </c>
      <c r="BZ33" s="11" t="s">
        <v>588</v>
      </c>
    </row>
    <row r="34" spans="1:78" x14ac:dyDescent="0.25">
      <c r="A34" s="11">
        <v>202324</v>
      </c>
      <c r="B34" s="11" t="s">
        <v>308</v>
      </c>
      <c r="C34" s="11" t="s">
        <v>308</v>
      </c>
      <c r="D34" s="11" t="s">
        <v>404</v>
      </c>
      <c r="E34" s="11" t="s">
        <v>405</v>
      </c>
      <c r="F34" s="11">
        <v>3</v>
      </c>
      <c r="G34" s="11" t="s">
        <v>408</v>
      </c>
      <c r="H34" s="11" t="s">
        <v>702</v>
      </c>
      <c r="I34" s="13">
        <v>45297</v>
      </c>
      <c r="J34" s="11">
        <v>6</v>
      </c>
      <c r="K34" s="11">
        <v>1</v>
      </c>
      <c r="L34" s="11">
        <v>2024</v>
      </c>
      <c r="M34" s="11" t="s">
        <v>624</v>
      </c>
      <c r="N34" s="11" t="s">
        <v>12</v>
      </c>
      <c r="O34" s="11" t="s">
        <v>10</v>
      </c>
      <c r="P34" s="11" t="s">
        <v>588</v>
      </c>
      <c r="Q34" s="11" t="s">
        <v>588</v>
      </c>
      <c r="R34" s="11">
        <v>-38.583106999999998</v>
      </c>
      <c r="S34" s="11">
        <v>145.511551</v>
      </c>
      <c r="T34" s="11">
        <v>3</v>
      </c>
      <c r="U34" s="11">
        <v>3</v>
      </c>
      <c r="V34" s="11" t="s">
        <v>588</v>
      </c>
      <c r="W34" s="11" t="s">
        <v>588</v>
      </c>
      <c r="X34" s="11">
        <v>3</v>
      </c>
      <c r="Y34" s="11">
        <v>3</v>
      </c>
      <c r="Z34" s="11" t="s">
        <v>41</v>
      </c>
      <c r="AA34" s="13">
        <v>45300</v>
      </c>
      <c r="AB34" s="11">
        <v>9</v>
      </c>
      <c r="AC34" s="11">
        <v>1</v>
      </c>
      <c r="AD34" s="11">
        <v>2024</v>
      </c>
      <c r="AE34" s="13" t="s">
        <v>646</v>
      </c>
      <c r="AF34" s="11" t="s">
        <v>12</v>
      </c>
      <c r="AG34" s="13">
        <v>45305</v>
      </c>
      <c r="AH34" s="11">
        <v>14</v>
      </c>
      <c r="AI34" s="11">
        <v>1</v>
      </c>
      <c r="AJ34" s="11">
        <v>2024</v>
      </c>
      <c r="AK34" s="13" t="s">
        <v>616</v>
      </c>
      <c r="AL34" s="11" t="s">
        <v>12</v>
      </c>
      <c r="AM34" s="11" t="s">
        <v>20</v>
      </c>
      <c r="AN34" s="11" t="s">
        <v>588</v>
      </c>
      <c r="AO34" s="11" t="s">
        <v>48</v>
      </c>
      <c r="AP34" s="13" t="s">
        <v>588</v>
      </c>
      <c r="AQ34" s="11" t="s">
        <v>588</v>
      </c>
      <c r="AR34" s="11" t="s">
        <v>588</v>
      </c>
      <c r="AS34" s="11" t="s">
        <v>588</v>
      </c>
      <c r="AT34" s="11" t="s">
        <v>588</v>
      </c>
      <c r="AU34" s="7" t="s">
        <v>588</v>
      </c>
      <c r="AV34" s="13" t="s">
        <v>588</v>
      </c>
      <c r="AW34" s="11" t="s">
        <v>588</v>
      </c>
      <c r="AX34" s="11" t="s">
        <v>588</v>
      </c>
      <c r="AY34" s="11" t="s">
        <v>588</v>
      </c>
      <c r="AZ34" s="11" t="s">
        <v>588</v>
      </c>
      <c r="BA34" s="7" t="s">
        <v>588</v>
      </c>
      <c r="BB34" s="13" t="s">
        <v>588</v>
      </c>
      <c r="BC34" s="11" t="s">
        <v>588</v>
      </c>
      <c r="BD34" s="11" t="s">
        <v>588</v>
      </c>
      <c r="BE34" s="11" t="s">
        <v>588</v>
      </c>
      <c r="BF34" s="11" t="s">
        <v>588</v>
      </c>
      <c r="BG34" s="7" t="s">
        <v>588</v>
      </c>
      <c r="BH34" s="11" t="s">
        <v>588</v>
      </c>
      <c r="BI34" s="11" t="s">
        <v>588</v>
      </c>
      <c r="BJ34" s="11" t="s">
        <v>588</v>
      </c>
      <c r="BK34" s="11" t="s">
        <v>588</v>
      </c>
      <c r="BL34" s="11" t="s">
        <v>588</v>
      </c>
      <c r="BM34" s="11" t="s">
        <v>588</v>
      </c>
      <c r="BN34" s="11" t="s">
        <v>588</v>
      </c>
      <c r="BO34" s="11" t="s">
        <v>588</v>
      </c>
      <c r="BP34" s="11" t="s">
        <v>588</v>
      </c>
      <c r="BQ34" s="13" t="s">
        <v>588</v>
      </c>
      <c r="BR34" s="11" t="s">
        <v>588</v>
      </c>
      <c r="BS34" s="11" t="s">
        <v>8</v>
      </c>
      <c r="BT34" s="11" t="s">
        <v>9</v>
      </c>
      <c r="BU34" s="11" t="s">
        <v>9</v>
      </c>
      <c r="BV34" s="11" t="s">
        <v>588</v>
      </c>
      <c r="BW34" s="11" t="s">
        <v>588</v>
      </c>
      <c r="BX34" s="11" t="s">
        <v>588</v>
      </c>
      <c r="BY34" s="11" t="s">
        <v>588</v>
      </c>
      <c r="BZ34" s="11" t="s">
        <v>588</v>
      </c>
    </row>
    <row r="35" spans="1:78" x14ac:dyDescent="0.25">
      <c r="A35" s="11">
        <v>202324</v>
      </c>
      <c r="B35" s="11" t="s">
        <v>308</v>
      </c>
      <c r="C35" s="11" t="s">
        <v>308</v>
      </c>
      <c r="D35" s="11" t="s">
        <v>404</v>
      </c>
      <c r="E35" s="11" t="s">
        <v>405</v>
      </c>
      <c r="F35" s="11">
        <v>4</v>
      </c>
      <c r="G35" s="11" t="s">
        <v>409</v>
      </c>
      <c r="H35" s="11" t="s">
        <v>703</v>
      </c>
      <c r="I35" s="13">
        <v>45340</v>
      </c>
      <c r="J35" s="11">
        <v>18</v>
      </c>
      <c r="K35" s="11">
        <v>2</v>
      </c>
      <c r="L35" s="11">
        <v>2024</v>
      </c>
      <c r="M35" s="11" t="s">
        <v>625</v>
      </c>
      <c r="N35" s="11" t="s">
        <v>21</v>
      </c>
      <c r="O35" s="11" t="s">
        <v>19</v>
      </c>
      <c r="P35" s="11">
        <v>-38.582433999999999</v>
      </c>
      <c r="Q35" s="11">
        <v>145.51127199999999</v>
      </c>
      <c r="R35" s="11" t="s">
        <v>588</v>
      </c>
      <c r="S35" s="11" t="s">
        <v>588</v>
      </c>
      <c r="T35" s="11">
        <v>1</v>
      </c>
      <c r="U35" s="11">
        <v>3</v>
      </c>
      <c r="V35" s="11" t="s">
        <v>588</v>
      </c>
      <c r="W35" s="11" t="s">
        <v>588</v>
      </c>
      <c r="X35" s="11">
        <v>2</v>
      </c>
      <c r="Y35" s="11">
        <v>2</v>
      </c>
      <c r="Z35" s="11" t="s">
        <v>41</v>
      </c>
      <c r="AA35" s="13">
        <v>45340</v>
      </c>
      <c r="AB35" s="11">
        <v>18</v>
      </c>
      <c r="AC35" s="11">
        <v>2</v>
      </c>
      <c r="AD35" s="11">
        <v>2024</v>
      </c>
      <c r="AE35" s="13" t="s">
        <v>625</v>
      </c>
      <c r="AF35" s="11" t="s">
        <v>21</v>
      </c>
      <c r="AG35" s="13">
        <v>45344</v>
      </c>
      <c r="AH35" s="11">
        <v>22</v>
      </c>
      <c r="AI35" s="11">
        <v>2</v>
      </c>
      <c r="AJ35" s="11">
        <v>2024</v>
      </c>
      <c r="AK35" s="13" t="s">
        <v>704</v>
      </c>
      <c r="AL35" s="11" t="s">
        <v>21</v>
      </c>
      <c r="AM35" s="11" t="s">
        <v>20</v>
      </c>
      <c r="AN35" s="11" t="s">
        <v>588</v>
      </c>
      <c r="AO35" s="11" t="s">
        <v>20</v>
      </c>
      <c r="AP35" s="13" t="s">
        <v>588</v>
      </c>
      <c r="AQ35" s="11" t="s">
        <v>588</v>
      </c>
      <c r="AR35" s="11" t="s">
        <v>588</v>
      </c>
      <c r="AS35" s="11" t="s">
        <v>588</v>
      </c>
      <c r="AT35" s="11" t="s">
        <v>588</v>
      </c>
      <c r="AU35" s="7" t="s">
        <v>588</v>
      </c>
      <c r="AV35" s="13" t="s">
        <v>588</v>
      </c>
      <c r="AW35" s="11" t="s">
        <v>588</v>
      </c>
      <c r="AX35" s="11" t="s">
        <v>588</v>
      </c>
      <c r="AY35" s="11" t="s">
        <v>588</v>
      </c>
      <c r="AZ35" s="11" t="s">
        <v>588</v>
      </c>
      <c r="BA35" s="7" t="s">
        <v>588</v>
      </c>
      <c r="BB35" s="13" t="s">
        <v>588</v>
      </c>
      <c r="BC35" s="11" t="s">
        <v>588</v>
      </c>
      <c r="BD35" s="11" t="s">
        <v>588</v>
      </c>
      <c r="BE35" s="11" t="s">
        <v>588</v>
      </c>
      <c r="BF35" s="11" t="s">
        <v>588</v>
      </c>
      <c r="BG35" s="7" t="s">
        <v>588</v>
      </c>
      <c r="BH35" s="11" t="s">
        <v>588</v>
      </c>
      <c r="BI35" s="11" t="s">
        <v>588</v>
      </c>
      <c r="BJ35" s="11" t="s">
        <v>588</v>
      </c>
      <c r="BK35" s="11" t="s">
        <v>588</v>
      </c>
      <c r="BL35" s="11" t="s">
        <v>588</v>
      </c>
      <c r="BM35" s="11" t="s">
        <v>588</v>
      </c>
      <c r="BN35" s="11" t="s">
        <v>588</v>
      </c>
      <c r="BO35" s="11" t="s">
        <v>588</v>
      </c>
      <c r="BP35" s="11" t="s">
        <v>588</v>
      </c>
      <c r="BQ35" s="13" t="s">
        <v>588</v>
      </c>
      <c r="BR35" s="11" t="s">
        <v>588</v>
      </c>
      <c r="BS35" s="11" t="s">
        <v>8</v>
      </c>
      <c r="BT35" s="11" t="s">
        <v>9</v>
      </c>
      <c r="BU35" s="11" t="s">
        <v>9</v>
      </c>
      <c r="BV35" s="11" t="s">
        <v>588</v>
      </c>
      <c r="BW35" s="11" t="s">
        <v>588</v>
      </c>
      <c r="BX35" s="11" t="s">
        <v>588</v>
      </c>
      <c r="BY35" s="11" t="s">
        <v>588</v>
      </c>
      <c r="BZ35" s="11" t="s">
        <v>588</v>
      </c>
    </row>
    <row r="36" spans="1:78" x14ac:dyDescent="0.25">
      <c r="A36" s="11">
        <v>202324</v>
      </c>
      <c r="B36" s="11" t="s">
        <v>761</v>
      </c>
      <c r="C36" s="11" t="s">
        <v>552</v>
      </c>
      <c r="D36" s="11" t="s">
        <v>313</v>
      </c>
      <c r="E36" s="11" t="s">
        <v>16</v>
      </c>
      <c r="F36" s="11">
        <v>1</v>
      </c>
      <c r="G36" s="11" t="s">
        <v>410</v>
      </c>
      <c r="H36" s="11" t="s">
        <v>705</v>
      </c>
      <c r="I36" s="13">
        <v>45182</v>
      </c>
      <c r="J36" s="11">
        <v>13</v>
      </c>
      <c r="K36" s="11">
        <v>9</v>
      </c>
      <c r="L36" s="11">
        <v>2023</v>
      </c>
      <c r="M36" s="11" t="s">
        <v>626</v>
      </c>
      <c r="N36" s="11" t="s">
        <v>28</v>
      </c>
      <c r="O36" s="11" t="s">
        <v>36</v>
      </c>
      <c r="P36" s="11" t="s">
        <v>588</v>
      </c>
      <c r="Q36" s="11" t="s">
        <v>588</v>
      </c>
      <c r="R36" s="11">
        <v>-38.580348999999998</v>
      </c>
      <c r="S36" s="11">
        <v>145.50938400000001</v>
      </c>
      <c r="T36" s="11">
        <v>3</v>
      </c>
      <c r="U36" s="11">
        <v>3</v>
      </c>
      <c r="V36" s="11" t="s">
        <v>588</v>
      </c>
      <c r="W36" s="11" t="s">
        <v>588</v>
      </c>
      <c r="X36" s="11">
        <v>3</v>
      </c>
      <c r="Y36" s="11">
        <v>2</v>
      </c>
      <c r="Z36" s="11" t="s">
        <v>41</v>
      </c>
      <c r="AA36" s="13">
        <v>45182</v>
      </c>
      <c r="AB36" s="11">
        <v>13</v>
      </c>
      <c r="AC36" s="11">
        <v>9</v>
      </c>
      <c r="AD36" s="11">
        <v>2023</v>
      </c>
      <c r="AE36" s="13" t="s">
        <v>626</v>
      </c>
      <c r="AF36" s="11" t="s">
        <v>28</v>
      </c>
      <c r="AG36" s="13">
        <v>45184</v>
      </c>
      <c r="AH36" s="11">
        <v>15</v>
      </c>
      <c r="AI36" s="11">
        <v>9</v>
      </c>
      <c r="AJ36" s="11">
        <v>2023</v>
      </c>
      <c r="AK36" s="13" t="s">
        <v>706</v>
      </c>
      <c r="AL36" s="11" t="s">
        <v>28</v>
      </c>
      <c r="AM36" s="11" t="s">
        <v>20</v>
      </c>
      <c r="AN36" s="11" t="s">
        <v>588</v>
      </c>
      <c r="AO36" s="11" t="s">
        <v>48</v>
      </c>
      <c r="AP36" s="13" t="s">
        <v>588</v>
      </c>
      <c r="AQ36" s="11" t="s">
        <v>588</v>
      </c>
      <c r="AR36" s="11" t="s">
        <v>588</v>
      </c>
      <c r="AS36" s="11" t="s">
        <v>588</v>
      </c>
      <c r="AT36" s="11" t="s">
        <v>588</v>
      </c>
      <c r="AU36" s="7" t="s">
        <v>588</v>
      </c>
      <c r="AV36" s="13" t="s">
        <v>588</v>
      </c>
      <c r="AW36" s="11" t="s">
        <v>588</v>
      </c>
      <c r="AX36" s="11" t="s">
        <v>588</v>
      </c>
      <c r="AY36" s="11" t="s">
        <v>588</v>
      </c>
      <c r="AZ36" s="11" t="s">
        <v>588</v>
      </c>
      <c r="BA36" s="7" t="s">
        <v>588</v>
      </c>
      <c r="BB36" s="13" t="s">
        <v>588</v>
      </c>
      <c r="BC36" s="11" t="s">
        <v>588</v>
      </c>
      <c r="BD36" s="11" t="s">
        <v>588</v>
      </c>
      <c r="BE36" s="11" t="s">
        <v>588</v>
      </c>
      <c r="BF36" s="11" t="s">
        <v>588</v>
      </c>
      <c r="BG36" s="7" t="s">
        <v>588</v>
      </c>
      <c r="BH36" s="11" t="s">
        <v>588</v>
      </c>
      <c r="BI36" s="11" t="s">
        <v>588</v>
      </c>
      <c r="BJ36" s="11" t="s">
        <v>588</v>
      </c>
      <c r="BK36" s="11" t="s">
        <v>588</v>
      </c>
      <c r="BL36" s="11" t="s">
        <v>588</v>
      </c>
      <c r="BM36" s="11" t="s">
        <v>588</v>
      </c>
      <c r="BN36" s="11" t="s">
        <v>588</v>
      </c>
      <c r="BO36" s="11" t="s">
        <v>588</v>
      </c>
      <c r="BP36" s="11" t="s">
        <v>588</v>
      </c>
      <c r="BQ36" s="13" t="s">
        <v>588</v>
      </c>
      <c r="BR36" s="11" t="s">
        <v>588</v>
      </c>
      <c r="BS36" s="11" t="s">
        <v>8</v>
      </c>
      <c r="BT36" s="11" t="s">
        <v>18</v>
      </c>
      <c r="BU36" s="11" t="s">
        <v>18</v>
      </c>
      <c r="BV36" s="11" t="s">
        <v>588</v>
      </c>
      <c r="BW36" s="11" t="s">
        <v>588</v>
      </c>
      <c r="BX36" s="11" t="s">
        <v>588</v>
      </c>
      <c r="BY36" s="11" t="s">
        <v>315</v>
      </c>
      <c r="BZ36" s="11" t="s">
        <v>588</v>
      </c>
    </row>
    <row r="37" spans="1:78" x14ac:dyDescent="0.25">
      <c r="A37" s="11">
        <v>202324</v>
      </c>
      <c r="B37" s="11" t="s">
        <v>761</v>
      </c>
      <c r="C37" s="11" t="s">
        <v>552</v>
      </c>
      <c r="D37" s="11" t="s">
        <v>313</v>
      </c>
      <c r="E37" s="11" t="s">
        <v>16</v>
      </c>
      <c r="F37" s="11">
        <v>2</v>
      </c>
      <c r="G37" s="11" t="s">
        <v>411</v>
      </c>
      <c r="H37" s="11" t="s">
        <v>707</v>
      </c>
      <c r="I37" s="13">
        <v>45217</v>
      </c>
      <c r="J37" s="11">
        <v>18</v>
      </c>
      <c r="K37" s="11">
        <v>10</v>
      </c>
      <c r="L37" s="11">
        <v>2023</v>
      </c>
      <c r="M37" s="11" t="s">
        <v>627</v>
      </c>
      <c r="N37" s="11" t="s">
        <v>29</v>
      </c>
      <c r="O37" s="11" t="s">
        <v>36</v>
      </c>
      <c r="P37" s="11" t="s">
        <v>588</v>
      </c>
      <c r="Q37" s="11" t="s">
        <v>588</v>
      </c>
      <c r="R37" s="11">
        <v>-38.580348999999998</v>
      </c>
      <c r="S37" s="11">
        <v>145.50938400000001</v>
      </c>
      <c r="T37" s="11">
        <v>1</v>
      </c>
      <c r="U37" s="11">
        <v>1</v>
      </c>
      <c r="V37" s="13" t="s">
        <v>588</v>
      </c>
      <c r="W37" s="11" t="s">
        <v>588</v>
      </c>
      <c r="X37" s="11">
        <v>5</v>
      </c>
      <c r="Y37" s="11">
        <v>5</v>
      </c>
      <c r="Z37" s="11" t="s">
        <v>41</v>
      </c>
      <c r="AA37" s="13">
        <v>45229</v>
      </c>
      <c r="AB37" s="11">
        <v>30</v>
      </c>
      <c r="AC37" s="11">
        <v>10</v>
      </c>
      <c r="AD37" s="11">
        <v>2023</v>
      </c>
      <c r="AE37" s="13" t="s">
        <v>655</v>
      </c>
      <c r="AF37" s="11" t="s">
        <v>29</v>
      </c>
      <c r="AG37" s="13">
        <v>45234</v>
      </c>
      <c r="AH37" s="11">
        <v>4</v>
      </c>
      <c r="AI37" s="11">
        <v>11</v>
      </c>
      <c r="AJ37" s="11">
        <v>2023</v>
      </c>
      <c r="AK37" s="13" t="s">
        <v>657</v>
      </c>
      <c r="AL37" s="11" t="s">
        <v>17</v>
      </c>
      <c r="AM37" s="11" t="s">
        <v>20</v>
      </c>
      <c r="AN37" s="11" t="s">
        <v>588</v>
      </c>
      <c r="AO37" s="11" t="s">
        <v>20</v>
      </c>
      <c r="AP37" s="13" t="s">
        <v>588</v>
      </c>
      <c r="AQ37" s="11" t="s">
        <v>588</v>
      </c>
      <c r="AR37" s="11" t="s">
        <v>588</v>
      </c>
      <c r="AS37" s="11" t="s">
        <v>588</v>
      </c>
      <c r="AT37" s="11" t="s">
        <v>588</v>
      </c>
      <c r="AU37" s="7" t="s">
        <v>588</v>
      </c>
      <c r="AV37" s="13" t="s">
        <v>588</v>
      </c>
      <c r="AW37" s="11" t="s">
        <v>588</v>
      </c>
      <c r="AX37" s="11" t="s">
        <v>588</v>
      </c>
      <c r="AY37" s="11" t="s">
        <v>588</v>
      </c>
      <c r="AZ37" s="11" t="s">
        <v>588</v>
      </c>
      <c r="BA37" s="7" t="s">
        <v>588</v>
      </c>
      <c r="BB37" s="13" t="s">
        <v>588</v>
      </c>
      <c r="BC37" s="11" t="s">
        <v>588</v>
      </c>
      <c r="BD37" s="11" t="s">
        <v>588</v>
      </c>
      <c r="BE37" s="11" t="s">
        <v>588</v>
      </c>
      <c r="BF37" s="11" t="s">
        <v>588</v>
      </c>
      <c r="BG37" s="7" t="s">
        <v>588</v>
      </c>
      <c r="BH37" s="11" t="s">
        <v>588</v>
      </c>
      <c r="BI37" s="11" t="s">
        <v>588</v>
      </c>
      <c r="BJ37" s="11" t="s">
        <v>588</v>
      </c>
      <c r="BK37" s="11" t="s">
        <v>588</v>
      </c>
      <c r="BL37" s="11" t="s">
        <v>588</v>
      </c>
      <c r="BM37" s="11" t="s">
        <v>588</v>
      </c>
      <c r="BN37" s="11" t="s">
        <v>588</v>
      </c>
      <c r="BO37" s="11" t="s">
        <v>588</v>
      </c>
      <c r="BP37" s="11" t="s">
        <v>588</v>
      </c>
      <c r="BQ37" s="13" t="s">
        <v>588</v>
      </c>
      <c r="BR37" s="11" t="s">
        <v>588</v>
      </c>
      <c r="BS37" s="11" t="s">
        <v>8</v>
      </c>
      <c r="BT37" s="11" t="s">
        <v>18</v>
      </c>
      <c r="BU37" s="11" t="s">
        <v>18</v>
      </c>
      <c r="BV37" s="11" t="s">
        <v>588</v>
      </c>
      <c r="BW37" s="11" t="s">
        <v>588</v>
      </c>
      <c r="BX37" s="11" t="s">
        <v>588</v>
      </c>
      <c r="BY37" s="11" t="s">
        <v>588</v>
      </c>
      <c r="BZ37" s="11" t="s">
        <v>588</v>
      </c>
    </row>
    <row r="38" spans="1:78" x14ac:dyDescent="0.25">
      <c r="A38" s="11">
        <v>202324</v>
      </c>
      <c r="B38" s="11" t="s">
        <v>316</v>
      </c>
      <c r="C38" s="11" t="s">
        <v>553</v>
      </c>
      <c r="D38" s="11" t="s">
        <v>313</v>
      </c>
      <c r="E38" s="11" t="s">
        <v>16</v>
      </c>
      <c r="F38" s="11">
        <v>3</v>
      </c>
      <c r="G38" s="11" t="s">
        <v>412</v>
      </c>
      <c r="H38" s="11" t="s">
        <v>708</v>
      </c>
      <c r="I38" s="13">
        <v>45264</v>
      </c>
      <c r="J38" s="11">
        <v>4</v>
      </c>
      <c r="K38" s="11">
        <v>12</v>
      </c>
      <c r="L38" s="11">
        <v>2023</v>
      </c>
      <c r="M38" s="11" t="s">
        <v>614</v>
      </c>
      <c r="N38" s="11" t="s">
        <v>7</v>
      </c>
      <c r="O38" s="11" t="s">
        <v>10</v>
      </c>
      <c r="P38" s="11" t="s">
        <v>588</v>
      </c>
      <c r="Q38" s="11" t="s">
        <v>588</v>
      </c>
      <c r="R38" s="11">
        <v>-38.573878999999998</v>
      </c>
      <c r="S38" s="11">
        <v>145.50413499999999</v>
      </c>
      <c r="T38" s="11">
        <v>3</v>
      </c>
      <c r="U38" s="11">
        <v>3</v>
      </c>
      <c r="V38" s="13" t="s">
        <v>588</v>
      </c>
      <c r="W38" s="11" t="s">
        <v>588</v>
      </c>
      <c r="X38" s="11">
        <v>8</v>
      </c>
      <c r="Y38" s="11">
        <v>7</v>
      </c>
      <c r="Z38" s="11" t="s">
        <v>41</v>
      </c>
      <c r="AA38" s="13">
        <v>45293</v>
      </c>
      <c r="AB38" s="11">
        <v>2</v>
      </c>
      <c r="AC38" s="11">
        <v>1</v>
      </c>
      <c r="AD38" s="11">
        <v>2024</v>
      </c>
      <c r="AE38" s="13" t="s">
        <v>607</v>
      </c>
      <c r="AF38" s="11" t="s">
        <v>12</v>
      </c>
      <c r="AG38" s="13">
        <v>45294</v>
      </c>
      <c r="AH38" s="11">
        <v>3</v>
      </c>
      <c r="AI38" s="11">
        <v>1</v>
      </c>
      <c r="AJ38" s="11">
        <v>2024</v>
      </c>
      <c r="AK38" s="13" t="s">
        <v>630</v>
      </c>
      <c r="AL38" s="11" t="s">
        <v>12</v>
      </c>
      <c r="AM38" s="11" t="s">
        <v>20</v>
      </c>
      <c r="AN38" s="11" t="s">
        <v>588</v>
      </c>
      <c r="AO38" s="11" t="s">
        <v>32</v>
      </c>
      <c r="AP38" s="13" t="s">
        <v>588</v>
      </c>
      <c r="AQ38" s="11" t="s">
        <v>588</v>
      </c>
      <c r="AR38" s="11" t="s">
        <v>588</v>
      </c>
      <c r="AS38" s="11" t="s">
        <v>588</v>
      </c>
      <c r="AT38" s="11" t="s">
        <v>588</v>
      </c>
      <c r="AU38" s="7" t="s">
        <v>588</v>
      </c>
      <c r="AV38" s="13" t="s">
        <v>588</v>
      </c>
      <c r="AW38" s="11" t="s">
        <v>588</v>
      </c>
      <c r="AX38" s="11" t="s">
        <v>588</v>
      </c>
      <c r="AY38" s="11" t="s">
        <v>588</v>
      </c>
      <c r="AZ38" s="11" t="s">
        <v>588</v>
      </c>
      <c r="BA38" s="7" t="s">
        <v>588</v>
      </c>
      <c r="BB38" s="13" t="s">
        <v>588</v>
      </c>
      <c r="BC38" s="11" t="s">
        <v>588</v>
      </c>
      <c r="BD38" s="11" t="s">
        <v>588</v>
      </c>
      <c r="BE38" s="11" t="s">
        <v>588</v>
      </c>
      <c r="BF38" s="11" t="s">
        <v>588</v>
      </c>
      <c r="BG38" s="7" t="s">
        <v>588</v>
      </c>
      <c r="BH38" s="11" t="s">
        <v>588</v>
      </c>
      <c r="BI38" s="11" t="s">
        <v>588</v>
      </c>
      <c r="BJ38" s="11" t="s">
        <v>588</v>
      </c>
      <c r="BK38" s="11" t="s">
        <v>588</v>
      </c>
      <c r="BL38" s="11" t="s">
        <v>588</v>
      </c>
      <c r="BM38" s="11" t="s">
        <v>588</v>
      </c>
      <c r="BN38" s="11" t="s">
        <v>588</v>
      </c>
      <c r="BO38" s="11" t="s">
        <v>588</v>
      </c>
      <c r="BP38" s="11" t="s">
        <v>588</v>
      </c>
      <c r="BQ38" s="13" t="s">
        <v>588</v>
      </c>
      <c r="BR38" s="11" t="s">
        <v>588</v>
      </c>
      <c r="BS38" s="11" t="s">
        <v>8</v>
      </c>
      <c r="BT38" s="11" t="s">
        <v>9</v>
      </c>
      <c r="BU38" s="11" t="s">
        <v>9</v>
      </c>
      <c r="BV38" s="11" t="s">
        <v>588</v>
      </c>
      <c r="BW38" s="11" t="s">
        <v>588</v>
      </c>
      <c r="BX38" s="11" t="s">
        <v>588</v>
      </c>
      <c r="BY38" s="11" t="s">
        <v>413</v>
      </c>
      <c r="BZ38" s="11" t="s">
        <v>588</v>
      </c>
    </row>
    <row r="39" spans="1:78" x14ac:dyDescent="0.25">
      <c r="A39" s="11">
        <v>202324</v>
      </c>
      <c r="B39" s="11" t="s">
        <v>316</v>
      </c>
      <c r="C39" s="11" t="s">
        <v>553</v>
      </c>
      <c r="D39" s="11" t="s">
        <v>313</v>
      </c>
      <c r="E39" s="11" t="s">
        <v>16</v>
      </c>
      <c r="F39" s="11">
        <v>4</v>
      </c>
      <c r="G39" s="11" t="s">
        <v>414</v>
      </c>
      <c r="H39" s="11" t="s">
        <v>709</v>
      </c>
      <c r="I39" s="13">
        <v>45305</v>
      </c>
      <c r="J39" s="11">
        <v>14</v>
      </c>
      <c r="K39" s="11">
        <v>1</v>
      </c>
      <c r="L39" s="11">
        <v>2024</v>
      </c>
      <c r="M39" s="11" t="s">
        <v>616</v>
      </c>
      <c r="N39" s="11" t="s">
        <v>12</v>
      </c>
      <c r="O39" s="11" t="s">
        <v>10</v>
      </c>
      <c r="P39" s="11" t="s">
        <v>588</v>
      </c>
      <c r="Q39" s="11" t="s">
        <v>588</v>
      </c>
      <c r="R39" s="11">
        <v>-38.573878999999998</v>
      </c>
      <c r="S39" s="11">
        <v>145.50413499999999</v>
      </c>
      <c r="T39" s="11">
        <v>1</v>
      </c>
      <c r="U39" s="11">
        <v>3</v>
      </c>
      <c r="V39" s="11" t="s">
        <v>588</v>
      </c>
      <c r="W39" s="11" t="s">
        <v>588</v>
      </c>
      <c r="X39" s="11">
        <v>2</v>
      </c>
      <c r="Y39" s="11">
        <v>2</v>
      </c>
      <c r="Z39" s="11" t="s">
        <v>41</v>
      </c>
      <c r="AA39" s="13">
        <v>45305</v>
      </c>
      <c r="AB39" s="11">
        <v>14</v>
      </c>
      <c r="AC39" s="11">
        <v>1</v>
      </c>
      <c r="AD39" s="11">
        <v>2024</v>
      </c>
      <c r="AE39" s="13" t="s">
        <v>616</v>
      </c>
      <c r="AF39" s="11" t="s">
        <v>12</v>
      </c>
      <c r="AG39" s="13">
        <v>45325</v>
      </c>
      <c r="AH39" s="11">
        <v>3</v>
      </c>
      <c r="AI39" s="11">
        <v>2</v>
      </c>
      <c r="AJ39" s="11">
        <v>2024</v>
      </c>
      <c r="AK39" s="13" t="s">
        <v>710</v>
      </c>
      <c r="AL39" s="11" t="s">
        <v>21</v>
      </c>
      <c r="AM39" s="11" t="s">
        <v>20</v>
      </c>
      <c r="AN39" s="11" t="s">
        <v>588</v>
      </c>
      <c r="AO39" s="11" t="s">
        <v>32</v>
      </c>
      <c r="AP39" s="13" t="s">
        <v>588</v>
      </c>
      <c r="AQ39" s="11" t="s">
        <v>588</v>
      </c>
      <c r="AR39" s="11" t="s">
        <v>588</v>
      </c>
      <c r="AS39" s="11" t="s">
        <v>588</v>
      </c>
      <c r="AT39" s="11" t="s">
        <v>588</v>
      </c>
      <c r="AU39" s="7" t="s">
        <v>588</v>
      </c>
      <c r="AV39" s="13" t="s">
        <v>588</v>
      </c>
      <c r="AW39" s="11" t="s">
        <v>588</v>
      </c>
      <c r="AX39" s="11" t="s">
        <v>588</v>
      </c>
      <c r="AY39" s="11" t="s">
        <v>588</v>
      </c>
      <c r="AZ39" s="11" t="s">
        <v>588</v>
      </c>
      <c r="BA39" s="7" t="s">
        <v>588</v>
      </c>
      <c r="BB39" s="13" t="s">
        <v>588</v>
      </c>
      <c r="BC39" s="11" t="s">
        <v>588</v>
      </c>
      <c r="BD39" s="11" t="s">
        <v>588</v>
      </c>
      <c r="BE39" s="11" t="s">
        <v>588</v>
      </c>
      <c r="BF39" s="11" t="s">
        <v>588</v>
      </c>
      <c r="BG39" s="7" t="s">
        <v>588</v>
      </c>
      <c r="BH39" s="11" t="s">
        <v>588</v>
      </c>
      <c r="BI39" s="11" t="s">
        <v>588</v>
      </c>
      <c r="BJ39" s="11" t="s">
        <v>588</v>
      </c>
      <c r="BK39" s="11" t="s">
        <v>588</v>
      </c>
      <c r="BL39" s="11" t="s">
        <v>588</v>
      </c>
      <c r="BM39" s="11" t="s">
        <v>588</v>
      </c>
      <c r="BN39" s="11" t="s">
        <v>588</v>
      </c>
      <c r="BO39" s="11" t="s">
        <v>588</v>
      </c>
      <c r="BP39" s="11" t="s">
        <v>588</v>
      </c>
      <c r="BQ39" s="13" t="s">
        <v>588</v>
      </c>
      <c r="BR39" s="11" t="s">
        <v>588</v>
      </c>
      <c r="BS39" s="11" t="s">
        <v>8</v>
      </c>
      <c r="BT39" s="11" t="s">
        <v>9</v>
      </c>
      <c r="BU39" s="11" t="s">
        <v>9</v>
      </c>
      <c r="BV39" s="11" t="s">
        <v>588</v>
      </c>
      <c r="BW39" s="11" t="s">
        <v>588</v>
      </c>
      <c r="BX39" s="11" t="s">
        <v>588</v>
      </c>
      <c r="BY39" s="11" t="s">
        <v>588</v>
      </c>
      <c r="BZ39" s="11" t="s">
        <v>588</v>
      </c>
    </row>
    <row r="40" spans="1:78" x14ac:dyDescent="0.25">
      <c r="A40" s="11">
        <v>202324</v>
      </c>
      <c r="B40" s="11" t="s">
        <v>320</v>
      </c>
      <c r="C40" s="11" t="s">
        <v>320</v>
      </c>
      <c r="D40" s="11" t="s">
        <v>321</v>
      </c>
      <c r="E40" s="11" t="s">
        <v>16</v>
      </c>
      <c r="F40" s="11">
        <v>1</v>
      </c>
      <c r="G40" s="11" t="s">
        <v>415</v>
      </c>
      <c r="H40" s="11" t="s">
        <v>711</v>
      </c>
      <c r="I40" s="13">
        <v>45250</v>
      </c>
      <c r="J40" s="11">
        <v>20</v>
      </c>
      <c r="K40" s="11">
        <v>11</v>
      </c>
      <c r="L40" s="11">
        <v>2023</v>
      </c>
      <c r="M40" s="11" t="s">
        <v>628</v>
      </c>
      <c r="N40" s="11" t="s">
        <v>17</v>
      </c>
      <c r="O40" s="11" t="s">
        <v>36</v>
      </c>
      <c r="P40" s="11">
        <v>-38.569924999999998</v>
      </c>
      <c r="Q40" s="11">
        <v>145.49991399999999</v>
      </c>
      <c r="R40" s="11" t="s">
        <v>588</v>
      </c>
      <c r="S40" s="11" t="s">
        <v>588</v>
      </c>
      <c r="T40" s="11">
        <v>2</v>
      </c>
      <c r="U40" s="11">
        <v>3</v>
      </c>
      <c r="V40" s="11" t="s">
        <v>588</v>
      </c>
      <c r="W40" s="11" t="s">
        <v>588</v>
      </c>
      <c r="X40" s="11">
        <v>2</v>
      </c>
      <c r="Y40" s="11">
        <v>2</v>
      </c>
      <c r="Z40" s="11" t="s">
        <v>41</v>
      </c>
      <c r="AA40" s="13">
        <v>45250</v>
      </c>
      <c r="AB40" s="11">
        <v>20</v>
      </c>
      <c r="AC40" s="11">
        <v>11</v>
      </c>
      <c r="AD40" s="11">
        <v>2023</v>
      </c>
      <c r="AE40" s="13" t="s">
        <v>628</v>
      </c>
      <c r="AF40" s="11" t="s">
        <v>17</v>
      </c>
      <c r="AG40" s="13">
        <v>45254</v>
      </c>
      <c r="AH40" s="11">
        <v>24</v>
      </c>
      <c r="AI40" s="11">
        <v>11</v>
      </c>
      <c r="AJ40" s="11">
        <v>2023</v>
      </c>
      <c r="AK40" s="13" t="s">
        <v>712</v>
      </c>
      <c r="AL40" s="11" t="s">
        <v>17</v>
      </c>
      <c r="AM40" s="11" t="s">
        <v>20</v>
      </c>
      <c r="AN40" s="11" t="s">
        <v>588</v>
      </c>
      <c r="AO40" s="11" t="s">
        <v>20</v>
      </c>
      <c r="AP40" s="13" t="s">
        <v>588</v>
      </c>
      <c r="AQ40" s="11" t="s">
        <v>588</v>
      </c>
      <c r="AR40" s="11" t="s">
        <v>588</v>
      </c>
      <c r="AS40" s="11" t="s">
        <v>588</v>
      </c>
      <c r="AT40" s="11" t="s">
        <v>588</v>
      </c>
      <c r="AU40" s="7" t="s">
        <v>588</v>
      </c>
      <c r="AV40" s="13" t="s">
        <v>588</v>
      </c>
      <c r="AW40" s="11" t="s">
        <v>588</v>
      </c>
      <c r="AX40" s="11" t="s">
        <v>588</v>
      </c>
      <c r="AY40" s="11" t="s">
        <v>588</v>
      </c>
      <c r="AZ40" s="11" t="s">
        <v>588</v>
      </c>
      <c r="BA40" s="7" t="s">
        <v>588</v>
      </c>
      <c r="BB40" s="13" t="s">
        <v>588</v>
      </c>
      <c r="BC40" s="11" t="s">
        <v>588</v>
      </c>
      <c r="BD40" s="11" t="s">
        <v>588</v>
      </c>
      <c r="BE40" s="11" t="s">
        <v>588</v>
      </c>
      <c r="BF40" s="11" t="s">
        <v>588</v>
      </c>
      <c r="BG40" s="7" t="s">
        <v>588</v>
      </c>
      <c r="BH40" s="11" t="s">
        <v>588</v>
      </c>
      <c r="BI40" s="11" t="s">
        <v>588</v>
      </c>
      <c r="BJ40" s="11" t="s">
        <v>588</v>
      </c>
      <c r="BK40" s="11" t="s">
        <v>588</v>
      </c>
      <c r="BL40" s="11" t="s">
        <v>588</v>
      </c>
      <c r="BM40" s="11" t="s">
        <v>588</v>
      </c>
      <c r="BN40" s="11" t="s">
        <v>588</v>
      </c>
      <c r="BO40" s="11" t="s">
        <v>588</v>
      </c>
      <c r="BP40" s="11" t="s">
        <v>588</v>
      </c>
      <c r="BQ40" s="13" t="s">
        <v>588</v>
      </c>
      <c r="BR40" s="11" t="s">
        <v>588</v>
      </c>
      <c r="BS40" s="11" t="s">
        <v>41</v>
      </c>
      <c r="BT40" s="11" t="s">
        <v>588</v>
      </c>
      <c r="BU40" s="11" t="s">
        <v>42</v>
      </c>
      <c r="BV40" s="11" t="s">
        <v>588</v>
      </c>
      <c r="BW40" s="11" t="s">
        <v>588</v>
      </c>
      <c r="BX40" s="11" t="s">
        <v>588</v>
      </c>
      <c r="BY40" s="11" t="s">
        <v>588</v>
      </c>
      <c r="BZ40" s="11" t="s">
        <v>588</v>
      </c>
    </row>
    <row r="41" spans="1:78" x14ac:dyDescent="0.25">
      <c r="A41" s="11">
        <v>202324</v>
      </c>
      <c r="B41" s="11" t="s">
        <v>320</v>
      </c>
      <c r="C41" s="11" t="s">
        <v>320</v>
      </c>
      <c r="D41" s="11" t="s">
        <v>321</v>
      </c>
      <c r="E41" s="11" t="s">
        <v>16</v>
      </c>
      <c r="F41" s="11">
        <v>2</v>
      </c>
      <c r="G41" s="11" t="s">
        <v>416</v>
      </c>
      <c r="H41" s="11" t="s">
        <v>713</v>
      </c>
      <c r="I41" s="13">
        <v>45273</v>
      </c>
      <c r="J41" s="11">
        <v>13</v>
      </c>
      <c r="K41" s="11">
        <v>12</v>
      </c>
      <c r="L41" s="11">
        <v>2023</v>
      </c>
      <c r="M41" s="11" t="s">
        <v>606</v>
      </c>
      <c r="N41" s="11" t="s">
        <v>7</v>
      </c>
      <c r="O41" s="11" t="s">
        <v>51</v>
      </c>
      <c r="P41" s="11" t="s">
        <v>588</v>
      </c>
      <c r="Q41" s="11" t="s">
        <v>588</v>
      </c>
      <c r="R41" s="11">
        <v>-38.569924999999998</v>
      </c>
      <c r="S41" s="11">
        <v>145.49991399999999</v>
      </c>
      <c r="T41" s="11">
        <v>1</v>
      </c>
      <c r="U41" s="11">
        <v>1</v>
      </c>
      <c r="V41" s="11" t="s">
        <v>588</v>
      </c>
      <c r="W41" s="11" t="s">
        <v>588</v>
      </c>
      <c r="X41" s="11">
        <v>4</v>
      </c>
      <c r="Y41" s="11">
        <v>4</v>
      </c>
      <c r="Z41" s="11" t="s">
        <v>41</v>
      </c>
      <c r="AA41" s="13">
        <v>45282</v>
      </c>
      <c r="AB41" s="11">
        <v>22</v>
      </c>
      <c r="AC41" s="11">
        <v>12</v>
      </c>
      <c r="AD41" s="11">
        <v>2023</v>
      </c>
      <c r="AE41" s="13" t="s">
        <v>634</v>
      </c>
      <c r="AF41" s="11" t="s">
        <v>7</v>
      </c>
      <c r="AG41" s="13">
        <v>45283</v>
      </c>
      <c r="AH41" s="11">
        <v>23</v>
      </c>
      <c r="AI41" s="11">
        <v>12</v>
      </c>
      <c r="AJ41" s="11">
        <v>2023</v>
      </c>
      <c r="AK41" s="13" t="s">
        <v>629</v>
      </c>
      <c r="AL41" s="11" t="s">
        <v>7</v>
      </c>
      <c r="AM41" s="11" t="s">
        <v>25</v>
      </c>
      <c r="AN41" s="11" t="s">
        <v>588</v>
      </c>
      <c r="AO41" s="11" t="s">
        <v>20</v>
      </c>
      <c r="AP41" s="13" t="s">
        <v>588</v>
      </c>
      <c r="AQ41" s="11" t="s">
        <v>588</v>
      </c>
      <c r="AR41" s="11" t="s">
        <v>588</v>
      </c>
      <c r="AS41" s="11" t="s">
        <v>588</v>
      </c>
      <c r="AT41" s="11" t="s">
        <v>588</v>
      </c>
      <c r="AU41" s="7" t="s">
        <v>588</v>
      </c>
      <c r="AV41" s="13" t="s">
        <v>588</v>
      </c>
      <c r="AW41" s="11" t="s">
        <v>588</v>
      </c>
      <c r="AX41" s="11" t="s">
        <v>588</v>
      </c>
      <c r="AY41" s="11" t="s">
        <v>588</v>
      </c>
      <c r="AZ41" s="11" t="s">
        <v>588</v>
      </c>
      <c r="BA41" s="7" t="s">
        <v>588</v>
      </c>
      <c r="BB41" s="13" t="s">
        <v>588</v>
      </c>
      <c r="BC41" s="11" t="s">
        <v>588</v>
      </c>
      <c r="BD41" s="11" t="s">
        <v>588</v>
      </c>
      <c r="BE41" s="11" t="s">
        <v>588</v>
      </c>
      <c r="BF41" s="11" t="s">
        <v>588</v>
      </c>
      <c r="BG41" s="7" t="s">
        <v>588</v>
      </c>
      <c r="BH41" s="11" t="s">
        <v>588</v>
      </c>
      <c r="BI41" s="11" t="s">
        <v>588</v>
      </c>
      <c r="BJ41" s="11" t="s">
        <v>588</v>
      </c>
      <c r="BK41" s="11" t="s">
        <v>588</v>
      </c>
      <c r="BL41" s="11" t="s">
        <v>588</v>
      </c>
      <c r="BM41" s="11" t="s">
        <v>588</v>
      </c>
      <c r="BN41" s="11" t="s">
        <v>588</v>
      </c>
      <c r="BO41" s="11" t="s">
        <v>588</v>
      </c>
      <c r="BP41" s="11" t="s">
        <v>588</v>
      </c>
      <c r="BQ41" s="13" t="s">
        <v>588</v>
      </c>
      <c r="BR41" s="11" t="s">
        <v>588</v>
      </c>
      <c r="BS41" s="11" t="s">
        <v>41</v>
      </c>
      <c r="BT41" s="11" t="s">
        <v>588</v>
      </c>
      <c r="BU41" s="11" t="s">
        <v>42</v>
      </c>
      <c r="BV41" s="11" t="s">
        <v>588</v>
      </c>
      <c r="BW41" s="11" t="s">
        <v>588</v>
      </c>
      <c r="BX41" s="11" t="s">
        <v>588</v>
      </c>
      <c r="BY41" s="11" t="s">
        <v>588</v>
      </c>
      <c r="BZ41" s="11" t="s">
        <v>588</v>
      </c>
    </row>
    <row r="42" spans="1:78" x14ac:dyDescent="0.25">
      <c r="A42" s="11">
        <v>202324</v>
      </c>
      <c r="B42" s="11" t="s">
        <v>320</v>
      </c>
      <c r="C42" s="11" t="s">
        <v>320</v>
      </c>
      <c r="D42" s="11" t="s">
        <v>321</v>
      </c>
      <c r="E42" s="11" t="s">
        <v>16</v>
      </c>
      <c r="F42" s="11">
        <v>3</v>
      </c>
      <c r="G42" s="11" t="s">
        <v>417</v>
      </c>
      <c r="H42" s="11" t="s">
        <v>714</v>
      </c>
      <c r="I42" s="13">
        <v>45283</v>
      </c>
      <c r="J42" s="11">
        <v>23</v>
      </c>
      <c r="K42" s="11">
        <v>12</v>
      </c>
      <c r="L42" s="11">
        <v>2023</v>
      </c>
      <c r="M42" s="11" t="s">
        <v>629</v>
      </c>
      <c r="N42" s="11" t="s">
        <v>7</v>
      </c>
      <c r="O42" s="11" t="s">
        <v>51</v>
      </c>
      <c r="P42" s="11" t="s">
        <v>588</v>
      </c>
      <c r="Q42" s="11" t="s">
        <v>588</v>
      </c>
      <c r="R42" s="11">
        <v>-38.571499000000003</v>
      </c>
      <c r="S42" s="11">
        <v>145.50145699999999</v>
      </c>
      <c r="T42" s="11">
        <v>2</v>
      </c>
      <c r="U42" s="11">
        <v>3</v>
      </c>
      <c r="V42" s="11" t="s">
        <v>588</v>
      </c>
      <c r="W42" s="11" t="s">
        <v>588</v>
      </c>
      <c r="X42" s="11">
        <v>2</v>
      </c>
      <c r="Y42" s="11">
        <v>2</v>
      </c>
      <c r="Z42" s="11" t="s">
        <v>41</v>
      </c>
      <c r="AA42" s="13">
        <v>45283</v>
      </c>
      <c r="AB42" s="11">
        <v>23</v>
      </c>
      <c r="AC42" s="11">
        <v>12</v>
      </c>
      <c r="AD42" s="11">
        <v>2023</v>
      </c>
      <c r="AE42" s="13" t="s">
        <v>629</v>
      </c>
      <c r="AF42" s="11" t="s">
        <v>7</v>
      </c>
      <c r="AG42" s="13">
        <v>45291</v>
      </c>
      <c r="AH42" s="11">
        <v>31</v>
      </c>
      <c r="AI42" s="11">
        <v>12</v>
      </c>
      <c r="AJ42" s="11">
        <v>2023</v>
      </c>
      <c r="AK42" s="13" t="s">
        <v>701</v>
      </c>
      <c r="AL42" s="11" t="s">
        <v>7</v>
      </c>
      <c r="AM42" s="11" t="s">
        <v>20</v>
      </c>
      <c r="AN42" s="11" t="s">
        <v>588</v>
      </c>
      <c r="AO42" s="11" t="s">
        <v>20</v>
      </c>
      <c r="AP42" s="13" t="s">
        <v>588</v>
      </c>
      <c r="AQ42" s="11" t="s">
        <v>588</v>
      </c>
      <c r="AR42" s="11" t="s">
        <v>588</v>
      </c>
      <c r="AS42" s="11" t="s">
        <v>588</v>
      </c>
      <c r="AT42" s="11" t="s">
        <v>588</v>
      </c>
      <c r="AU42" s="7" t="s">
        <v>588</v>
      </c>
      <c r="AV42" s="13" t="s">
        <v>588</v>
      </c>
      <c r="AW42" s="11" t="s">
        <v>588</v>
      </c>
      <c r="AX42" s="11" t="s">
        <v>588</v>
      </c>
      <c r="AY42" s="11" t="s">
        <v>588</v>
      </c>
      <c r="AZ42" s="11" t="s">
        <v>588</v>
      </c>
      <c r="BA42" s="7" t="s">
        <v>588</v>
      </c>
      <c r="BB42" s="13" t="s">
        <v>588</v>
      </c>
      <c r="BC42" s="11" t="s">
        <v>588</v>
      </c>
      <c r="BD42" s="11" t="s">
        <v>588</v>
      </c>
      <c r="BE42" s="11" t="s">
        <v>588</v>
      </c>
      <c r="BF42" s="11" t="s">
        <v>588</v>
      </c>
      <c r="BG42" s="7" t="s">
        <v>588</v>
      </c>
      <c r="BH42" s="11" t="s">
        <v>588</v>
      </c>
      <c r="BI42" s="11" t="s">
        <v>588</v>
      </c>
      <c r="BJ42" s="11" t="s">
        <v>588</v>
      </c>
      <c r="BK42" s="11" t="s">
        <v>588</v>
      </c>
      <c r="BL42" s="11" t="s">
        <v>588</v>
      </c>
      <c r="BM42" s="11" t="s">
        <v>588</v>
      </c>
      <c r="BN42" s="11" t="s">
        <v>588</v>
      </c>
      <c r="BO42" s="11" t="s">
        <v>588</v>
      </c>
      <c r="BP42" s="11" t="s">
        <v>588</v>
      </c>
      <c r="BQ42" s="13" t="s">
        <v>588</v>
      </c>
      <c r="BR42" s="11" t="s">
        <v>588</v>
      </c>
      <c r="BS42" s="11" t="s">
        <v>8</v>
      </c>
      <c r="BT42" s="11" t="s">
        <v>9</v>
      </c>
      <c r="BU42" s="11" t="s">
        <v>9</v>
      </c>
      <c r="BV42" s="11" t="s">
        <v>588</v>
      </c>
      <c r="BW42" s="11" t="s">
        <v>588</v>
      </c>
      <c r="BX42" s="11" t="s">
        <v>588</v>
      </c>
      <c r="BY42" s="11" t="s">
        <v>588</v>
      </c>
      <c r="BZ42" s="11" t="s">
        <v>588</v>
      </c>
    </row>
    <row r="43" spans="1:78" x14ac:dyDescent="0.25">
      <c r="A43" s="11">
        <v>202324</v>
      </c>
      <c r="B43" s="11" t="s">
        <v>320</v>
      </c>
      <c r="C43" s="11" t="s">
        <v>320</v>
      </c>
      <c r="D43" s="11" t="s">
        <v>321</v>
      </c>
      <c r="E43" s="11" t="s">
        <v>16</v>
      </c>
      <c r="F43" s="11">
        <v>4</v>
      </c>
      <c r="G43" s="11" t="s">
        <v>418</v>
      </c>
      <c r="H43" s="11" t="s">
        <v>715</v>
      </c>
      <c r="I43" s="13">
        <v>45294</v>
      </c>
      <c r="J43" s="11">
        <v>3</v>
      </c>
      <c r="K43" s="11">
        <v>1</v>
      </c>
      <c r="L43" s="11">
        <v>2024</v>
      </c>
      <c r="M43" s="11" t="s">
        <v>630</v>
      </c>
      <c r="N43" s="11" t="s">
        <v>12</v>
      </c>
      <c r="O43" s="11" t="s">
        <v>51</v>
      </c>
      <c r="P43" s="11" t="s">
        <v>588</v>
      </c>
      <c r="Q43" s="11" t="s">
        <v>588</v>
      </c>
      <c r="R43" s="11">
        <v>-38.571499000000003</v>
      </c>
      <c r="S43" s="11">
        <v>145.50145699999999</v>
      </c>
      <c r="T43" s="11">
        <v>3</v>
      </c>
      <c r="U43" s="11">
        <v>3</v>
      </c>
      <c r="V43" s="11" t="s">
        <v>588</v>
      </c>
      <c r="W43" s="11" t="s">
        <v>588</v>
      </c>
      <c r="X43" s="11">
        <v>3</v>
      </c>
      <c r="Y43" s="11">
        <v>3</v>
      </c>
      <c r="Z43" s="11" t="s">
        <v>41</v>
      </c>
      <c r="AA43" s="13">
        <v>45297</v>
      </c>
      <c r="AB43" s="11">
        <v>6</v>
      </c>
      <c r="AC43" s="11">
        <v>1</v>
      </c>
      <c r="AD43" s="11">
        <v>2024</v>
      </c>
      <c r="AE43" s="13" t="s">
        <v>624</v>
      </c>
      <c r="AF43" s="11" t="s">
        <v>12</v>
      </c>
      <c r="AG43" s="13">
        <v>45301</v>
      </c>
      <c r="AH43" s="11">
        <v>10</v>
      </c>
      <c r="AI43" s="11">
        <v>1</v>
      </c>
      <c r="AJ43" s="11">
        <v>2024</v>
      </c>
      <c r="AK43" s="13" t="s">
        <v>678</v>
      </c>
      <c r="AL43" s="11" t="s">
        <v>12</v>
      </c>
      <c r="AM43" s="11" t="s">
        <v>32</v>
      </c>
      <c r="AN43" s="11" t="s">
        <v>193</v>
      </c>
      <c r="AO43" s="11" t="s">
        <v>588</v>
      </c>
      <c r="AP43" s="13" t="s">
        <v>588</v>
      </c>
      <c r="AQ43" s="11" t="s">
        <v>588</v>
      </c>
      <c r="AR43" s="11" t="s">
        <v>588</v>
      </c>
      <c r="AS43" s="11" t="s">
        <v>588</v>
      </c>
      <c r="AT43" s="11" t="s">
        <v>588</v>
      </c>
      <c r="AU43" s="7" t="s">
        <v>588</v>
      </c>
      <c r="AV43" s="13" t="s">
        <v>588</v>
      </c>
      <c r="AW43" s="11" t="s">
        <v>588</v>
      </c>
      <c r="AX43" s="11" t="s">
        <v>588</v>
      </c>
      <c r="AY43" s="11" t="s">
        <v>588</v>
      </c>
      <c r="AZ43" s="11" t="s">
        <v>588</v>
      </c>
      <c r="BA43" s="7" t="s">
        <v>588</v>
      </c>
      <c r="BB43" s="13" t="s">
        <v>588</v>
      </c>
      <c r="BC43" s="11" t="s">
        <v>588</v>
      </c>
      <c r="BD43" s="11" t="s">
        <v>588</v>
      </c>
      <c r="BE43" s="11" t="s">
        <v>588</v>
      </c>
      <c r="BF43" s="11" t="s">
        <v>588</v>
      </c>
      <c r="BG43" s="7" t="s">
        <v>588</v>
      </c>
      <c r="BH43" s="11" t="s">
        <v>588</v>
      </c>
      <c r="BI43" s="11" t="s">
        <v>588</v>
      </c>
      <c r="BJ43" s="11" t="s">
        <v>588</v>
      </c>
      <c r="BK43" s="11" t="s">
        <v>588</v>
      </c>
      <c r="BL43" s="11" t="s">
        <v>588</v>
      </c>
      <c r="BM43" s="11" t="s">
        <v>588</v>
      </c>
      <c r="BN43" s="11" t="s">
        <v>588</v>
      </c>
      <c r="BO43" s="11" t="s">
        <v>588</v>
      </c>
      <c r="BP43" s="11" t="s">
        <v>588</v>
      </c>
      <c r="BQ43" s="13" t="s">
        <v>588</v>
      </c>
      <c r="BR43" s="11" t="s">
        <v>588</v>
      </c>
      <c r="BS43" s="11" t="s">
        <v>8</v>
      </c>
      <c r="BT43" s="11" t="s">
        <v>9</v>
      </c>
      <c r="BU43" s="11" t="s">
        <v>9</v>
      </c>
      <c r="BV43" s="11" t="s">
        <v>588</v>
      </c>
      <c r="BW43" s="11" t="s">
        <v>588</v>
      </c>
      <c r="BX43" s="11" t="s">
        <v>588</v>
      </c>
      <c r="BY43" s="11" t="s">
        <v>588</v>
      </c>
      <c r="BZ43" s="11" t="s">
        <v>8</v>
      </c>
    </row>
    <row r="44" spans="1:78" x14ac:dyDescent="0.25">
      <c r="A44" s="11">
        <v>202324</v>
      </c>
      <c r="B44" s="11" t="s">
        <v>320</v>
      </c>
      <c r="C44" s="11" t="s">
        <v>320</v>
      </c>
      <c r="D44" s="11" t="s">
        <v>321</v>
      </c>
      <c r="E44" s="11" t="s">
        <v>16</v>
      </c>
      <c r="F44" s="11">
        <v>5</v>
      </c>
      <c r="G44" s="11" t="s">
        <v>419</v>
      </c>
      <c r="H44" s="11" t="s">
        <v>716</v>
      </c>
      <c r="I44" s="13">
        <v>45306</v>
      </c>
      <c r="J44" s="11">
        <v>15</v>
      </c>
      <c r="K44" s="11">
        <v>1</v>
      </c>
      <c r="L44" s="11">
        <v>2024</v>
      </c>
      <c r="M44" s="11" t="s">
        <v>631</v>
      </c>
      <c r="N44" s="11" t="s">
        <v>12</v>
      </c>
      <c r="O44" s="11" t="s">
        <v>51</v>
      </c>
      <c r="P44" s="11" t="s">
        <v>588</v>
      </c>
      <c r="Q44" s="11" t="s">
        <v>588</v>
      </c>
      <c r="R44" s="11">
        <v>-38.571499000000003</v>
      </c>
      <c r="S44" s="11">
        <v>145.50145699999999</v>
      </c>
      <c r="T44" s="11">
        <v>1</v>
      </c>
      <c r="U44" s="11">
        <v>3</v>
      </c>
      <c r="V44" s="11" t="s">
        <v>588</v>
      </c>
      <c r="W44" s="11" t="s">
        <v>588</v>
      </c>
      <c r="X44" s="11">
        <v>2</v>
      </c>
      <c r="Y44" s="11">
        <v>2</v>
      </c>
      <c r="Z44" s="11" t="s">
        <v>41</v>
      </c>
      <c r="AA44" s="13">
        <v>45306</v>
      </c>
      <c r="AB44" s="11">
        <v>15</v>
      </c>
      <c r="AC44" s="11">
        <v>1</v>
      </c>
      <c r="AD44" s="11">
        <v>2024</v>
      </c>
      <c r="AE44" s="13" t="s">
        <v>631</v>
      </c>
      <c r="AF44" s="11" t="s">
        <v>12</v>
      </c>
      <c r="AG44" s="13">
        <v>45321</v>
      </c>
      <c r="AH44" s="11">
        <v>30</v>
      </c>
      <c r="AI44" s="11">
        <v>1</v>
      </c>
      <c r="AJ44" s="11">
        <v>2024</v>
      </c>
      <c r="AK44" s="13" t="s">
        <v>632</v>
      </c>
      <c r="AL44" s="11" t="s">
        <v>12</v>
      </c>
      <c r="AM44" s="11" t="s">
        <v>20</v>
      </c>
      <c r="AN44" s="11" t="s">
        <v>588</v>
      </c>
      <c r="AO44" s="11" t="s">
        <v>20</v>
      </c>
      <c r="AP44" s="13" t="s">
        <v>588</v>
      </c>
      <c r="AQ44" s="11" t="s">
        <v>588</v>
      </c>
      <c r="AR44" s="11" t="s">
        <v>588</v>
      </c>
      <c r="AS44" s="11" t="s">
        <v>588</v>
      </c>
      <c r="AT44" s="11" t="s">
        <v>588</v>
      </c>
      <c r="AU44" s="7" t="s">
        <v>588</v>
      </c>
      <c r="AV44" s="13" t="s">
        <v>588</v>
      </c>
      <c r="AW44" s="11" t="s">
        <v>588</v>
      </c>
      <c r="AX44" s="11" t="s">
        <v>588</v>
      </c>
      <c r="AY44" s="11" t="s">
        <v>588</v>
      </c>
      <c r="AZ44" s="11" t="s">
        <v>588</v>
      </c>
      <c r="BA44" s="7" t="s">
        <v>588</v>
      </c>
      <c r="BB44" s="13" t="s">
        <v>588</v>
      </c>
      <c r="BC44" s="11" t="s">
        <v>588</v>
      </c>
      <c r="BD44" s="11" t="s">
        <v>588</v>
      </c>
      <c r="BE44" s="11" t="s">
        <v>588</v>
      </c>
      <c r="BF44" s="11" t="s">
        <v>588</v>
      </c>
      <c r="BG44" s="7" t="s">
        <v>588</v>
      </c>
      <c r="BH44" s="11" t="s">
        <v>588</v>
      </c>
      <c r="BI44" s="11" t="s">
        <v>588</v>
      </c>
      <c r="BJ44" s="11" t="s">
        <v>588</v>
      </c>
      <c r="BK44" s="11" t="s">
        <v>588</v>
      </c>
      <c r="BL44" s="11" t="s">
        <v>588</v>
      </c>
      <c r="BM44" s="11" t="s">
        <v>588</v>
      </c>
      <c r="BN44" s="11" t="s">
        <v>588</v>
      </c>
      <c r="BO44" s="11" t="s">
        <v>588</v>
      </c>
      <c r="BP44" s="11" t="s">
        <v>588</v>
      </c>
      <c r="BQ44" s="13" t="s">
        <v>588</v>
      </c>
      <c r="BR44" s="11" t="s">
        <v>588</v>
      </c>
      <c r="BS44" s="11" t="s">
        <v>8</v>
      </c>
      <c r="BT44" s="11" t="s">
        <v>9</v>
      </c>
      <c r="BU44" s="11" t="s">
        <v>9</v>
      </c>
      <c r="BV44" s="11" t="s">
        <v>588</v>
      </c>
      <c r="BW44" s="11" t="s">
        <v>588</v>
      </c>
      <c r="BX44" s="11" t="s">
        <v>588</v>
      </c>
      <c r="BY44" s="11" t="s">
        <v>588</v>
      </c>
      <c r="BZ44" s="11" t="s">
        <v>588</v>
      </c>
    </row>
    <row r="45" spans="1:78" x14ac:dyDescent="0.25">
      <c r="A45" s="11">
        <v>202324</v>
      </c>
      <c r="B45" s="11" t="s">
        <v>320</v>
      </c>
      <c r="C45" s="11" t="s">
        <v>320</v>
      </c>
      <c r="D45" s="11" t="s">
        <v>321</v>
      </c>
      <c r="E45" s="11" t="s">
        <v>16</v>
      </c>
      <c r="F45" s="11">
        <v>6</v>
      </c>
      <c r="G45" s="11" t="s">
        <v>420</v>
      </c>
      <c r="H45" s="11" t="s">
        <v>717</v>
      </c>
      <c r="I45" s="13">
        <v>45321</v>
      </c>
      <c r="J45" s="11">
        <v>30</v>
      </c>
      <c r="K45" s="11">
        <v>1</v>
      </c>
      <c r="L45" s="11">
        <v>2024</v>
      </c>
      <c r="M45" s="11" t="s">
        <v>632</v>
      </c>
      <c r="N45" s="11" t="s">
        <v>12</v>
      </c>
      <c r="O45" s="11" t="s">
        <v>51</v>
      </c>
      <c r="P45" s="11">
        <v>-38.572755000000001</v>
      </c>
      <c r="Q45" s="11">
        <v>145.50225900000001</v>
      </c>
      <c r="R45" s="11" t="s">
        <v>588</v>
      </c>
      <c r="S45" s="11" t="s">
        <v>588</v>
      </c>
      <c r="T45" s="11">
        <v>2</v>
      </c>
      <c r="U45" s="11">
        <v>2</v>
      </c>
      <c r="V45" s="11" t="s">
        <v>588</v>
      </c>
      <c r="W45" s="11" t="s">
        <v>588</v>
      </c>
      <c r="X45" s="11">
        <v>4</v>
      </c>
      <c r="Y45" s="11">
        <v>4</v>
      </c>
      <c r="Z45" s="11" t="s">
        <v>41</v>
      </c>
      <c r="AA45" s="13">
        <v>45334</v>
      </c>
      <c r="AB45" s="11">
        <v>12</v>
      </c>
      <c r="AC45" s="11">
        <v>2</v>
      </c>
      <c r="AD45" s="11">
        <v>2024</v>
      </c>
      <c r="AE45" s="13" t="s">
        <v>718</v>
      </c>
      <c r="AF45" s="11" t="s">
        <v>21</v>
      </c>
      <c r="AG45" s="13">
        <v>45340</v>
      </c>
      <c r="AH45" s="11">
        <v>18</v>
      </c>
      <c r="AI45" s="11">
        <v>2</v>
      </c>
      <c r="AJ45" s="11">
        <v>2024</v>
      </c>
      <c r="AK45" s="13" t="s">
        <v>625</v>
      </c>
      <c r="AL45" s="11" t="s">
        <v>21</v>
      </c>
      <c r="AM45" s="11" t="s">
        <v>20</v>
      </c>
      <c r="AN45" s="11" t="s">
        <v>588</v>
      </c>
      <c r="AO45" s="11" t="s">
        <v>20</v>
      </c>
      <c r="AP45" s="13" t="s">
        <v>588</v>
      </c>
      <c r="AQ45" s="11" t="s">
        <v>588</v>
      </c>
      <c r="AR45" s="11" t="s">
        <v>588</v>
      </c>
      <c r="AS45" s="11" t="s">
        <v>588</v>
      </c>
      <c r="AT45" s="11" t="s">
        <v>588</v>
      </c>
      <c r="AU45" s="7" t="s">
        <v>588</v>
      </c>
      <c r="AV45" s="13" t="s">
        <v>588</v>
      </c>
      <c r="AW45" s="11" t="s">
        <v>588</v>
      </c>
      <c r="AX45" s="11" t="s">
        <v>588</v>
      </c>
      <c r="AY45" s="11" t="s">
        <v>588</v>
      </c>
      <c r="AZ45" s="11" t="s">
        <v>588</v>
      </c>
      <c r="BA45" s="7" t="s">
        <v>588</v>
      </c>
      <c r="BB45" s="13" t="s">
        <v>588</v>
      </c>
      <c r="BC45" s="11" t="s">
        <v>588</v>
      </c>
      <c r="BD45" s="11" t="s">
        <v>588</v>
      </c>
      <c r="BE45" s="11" t="s">
        <v>588</v>
      </c>
      <c r="BF45" s="11" t="s">
        <v>588</v>
      </c>
      <c r="BG45" s="7" t="s">
        <v>588</v>
      </c>
      <c r="BH45" s="11" t="s">
        <v>588</v>
      </c>
      <c r="BI45" s="11" t="s">
        <v>588</v>
      </c>
      <c r="BJ45" s="11" t="s">
        <v>588</v>
      </c>
      <c r="BK45" s="11" t="s">
        <v>588</v>
      </c>
      <c r="BL45" s="11" t="s">
        <v>588</v>
      </c>
      <c r="BM45" s="11" t="s">
        <v>588</v>
      </c>
      <c r="BN45" s="11" t="s">
        <v>588</v>
      </c>
      <c r="BO45" s="11" t="s">
        <v>588</v>
      </c>
      <c r="BP45" s="11" t="s">
        <v>588</v>
      </c>
      <c r="BQ45" s="13" t="s">
        <v>588</v>
      </c>
      <c r="BR45" s="11" t="s">
        <v>588</v>
      </c>
      <c r="BS45" s="11" t="s">
        <v>8</v>
      </c>
      <c r="BT45" s="11" t="s">
        <v>9</v>
      </c>
      <c r="BU45" s="11" t="s">
        <v>9</v>
      </c>
      <c r="BV45" s="11" t="s">
        <v>588</v>
      </c>
      <c r="BW45" s="11" t="s">
        <v>588</v>
      </c>
      <c r="BX45" s="11" t="s">
        <v>588</v>
      </c>
      <c r="BY45" s="11" t="s">
        <v>588</v>
      </c>
      <c r="BZ45" s="11" t="s">
        <v>588</v>
      </c>
    </row>
    <row r="46" spans="1:78" x14ac:dyDescent="0.25">
      <c r="A46" s="11">
        <v>202324</v>
      </c>
      <c r="B46" s="11" t="s">
        <v>320</v>
      </c>
      <c r="C46" s="11" t="s">
        <v>320</v>
      </c>
      <c r="D46" s="11" t="s">
        <v>321</v>
      </c>
      <c r="E46" s="11" t="s">
        <v>16</v>
      </c>
      <c r="F46" s="11">
        <v>7</v>
      </c>
      <c r="G46" s="11" t="s">
        <v>421</v>
      </c>
      <c r="H46" s="11" t="s">
        <v>719</v>
      </c>
      <c r="I46" s="13">
        <v>45347</v>
      </c>
      <c r="J46" s="11">
        <v>25</v>
      </c>
      <c r="K46" s="11">
        <v>2</v>
      </c>
      <c r="L46" s="11">
        <v>2024</v>
      </c>
      <c r="M46" s="11" t="s">
        <v>633</v>
      </c>
      <c r="N46" s="11" t="s">
        <v>21</v>
      </c>
      <c r="O46" s="11" t="s">
        <v>10</v>
      </c>
      <c r="P46" s="11" t="s">
        <v>588</v>
      </c>
      <c r="Q46" s="11" t="s">
        <v>588</v>
      </c>
      <c r="R46" s="11">
        <v>-38.571499000000003</v>
      </c>
      <c r="S46" s="11">
        <v>145.50145699999999</v>
      </c>
      <c r="T46" s="11">
        <v>2</v>
      </c>
      <c r="U46" s="11">
        <v>3</v>
      </c>
      <c r="V46" s="11" t="s">
        <v>588</v>
      </c>
      <c r="W46" s="11" t="s">
        <v>588</v>
      </c>
      <c r="X46" s="11">
        <v>2</v>
      </c>
      <c r="Y46" s="11">
        <v>2</v>
      </c>
      <c r="Z46" s="11" t="s">
        <v>41</v>
      </c>
      <c r="AA46" s="13">
        <v>45347</v>
      </c>
      <c r="AB46" s="11">
        <v>25</v>
      </c>
      <c r="AC46" s="11">
        <v>2</v>
      </c>
      <c r="AD46" s="11">
        <v>2024</v>
      </c>
      <c r="AE46" s="13" t="s">
        <v>633</v>
      </c>
      <c r="AF46" s="11" t="s">
        <v>21</v>
      </c>
      <c r="AG46" s="13">
        <v>45355</v>
      </c>
      <c r="AH46" s="11">
        <v>4</v>
      </c>
      <c r="AI46" s="11">
        <v>3</v>
      </c>
      <c r="AJ46" s="11">
        <v>2024</v>
      </c>
      <c r="AK46" s="13" t="s">
        <v>720</v>
      </c>
      <c r="AL46" s="11" t="s">
        <v>22</v>
      </c>
      <c r="AM46" s="11" t="s">
        <v>20</v>
      </c>
      <c r="AN46" s="11" t="s">
        <v>588</v>
      </c>
      <c r="AO46" s="11" t="s">
        <v>32</v>
      </c>
      <c r="AP46" s="13" t="s">
        <v>588</v>
      </c>
      <c r="AQ46" s="11" t="s">
        <v>588</v>
      </c>
      <c r="AR46" s="11" t="s">
        <v>588</v>
      </c>
      <c r="AS46" s="11" t="s">
        <v>588</v>
      </c>
      <c r="AT46" s="11" t="s">
        <v>588</v>
      </c>
      <c r="AU46" s="7" t="s">
        <v>588</v>
      </c>
      <c r="AV46" s="13" t="s">
        <v>588</v>
      </c>
      <c r="AW46" s="11" t="s">
        <v>588</v>
      </c>
      <c r="AX46" s="11" t="s">
        <v>588</v>
      </c>
      <c r="AY46" s="11" t="s">
        <v>588</v>
      </c>
      <c r="AZ46" s="11" t="s">
        <v>588</v>
      </c>
      <c r="BA46" s="7" t="s">
        <v>588</v>
      </c>
      <c r="BB46" s="13" t="s">
        <v>588</v>
      </c>
      <c r="BC46" s="11" t="s">
        <v>588</v>
      </c>
      <c r="BD46" s="11" t="s">
        <v>588</v>
      </c>
      <c r="BE46" s="11" t="s">
        <v>588</v>
      </c>
      <c r="BF46" s="11" t="s">
        <v>588</v>
      </c>
      <c r="BG46" s="7" t="s">
        <v>588</v>
      </c>
      <c r="BH46" s="11" t="s">
        <v>588</v>
      </c>
      <c r="BI46" s="11" t="s">
        <v>588</v>
      </c>
      <c r="BJ46" s="11" t="s">
        <v>588</v>
      </c>
      <c r="BK46" s="11" t="s">
        <v>588</v>
      </c>
      <c r="BL46" s="11" t="s">
        <v>588</v>
      </c>
      <c r="BM46" s="11" t="s">
        <v>588</v>
      </c>
      <c r="BN46" s="11" t="s">
        <v>588</v>
      </c>
      <c r="BO46" s="11" t="s">
        <v>588</v>
      </c>
      <c r="BP46" s="11" t="s">
        <v>588</v>
      </c>
      <c r="BQ46" s="13" t="s">
        <v>588</v>
      </c>
      <c r="BR46" s="11" t="s">
        <v>588</v>
      </c>
      <c r="BS46" s="11" t="s">
        <v>8</v>
      </c>
      <c r="BT46" s="11" t="s">
        <v>9</v>
      </c>
      <c r="BU46" s="11" t="s">
        <v>9</v>
      </c>
      <c r="BV46" s="11" t="s">
        <v>588</v>
      </c>
      <c r="BW46" s="11" t="s">
        <v>588</v>
      </c>
      <c r="BX46" s="11" t="s">
        <v>588</v>
      </c>
      <c r="BY46" s="11" t="s">
        <v>588</v>
      </c>
      <c r="BZ46" s="11" t="s">
        <v>588</v>
      </c>
    </row>
    <row r="47" spans="1:78" x14ac:dyDescent="0.25">
      <c r="A47" s="11">
        <v>202324</v>
      </c>
      <c r="B47" s="11" t="s">
        <v>324</v>
      </c>
      <c r="C47" s="11" t="s">
        <v>324</v>
      </c>
      <c r="D47" s="11" t="s">
        <v>326</v>
      </c>
      <c r="E47" s="11" t="s">
        <v>16</v>
      </c>
      <c r="F47" s="11">
        <v>1</v>
      </c>
      <c r="G47" s="11" t="s">
        <v>422</v>
      </c>
      <c r="H47" s="11" t="s">
        <v>721</v>
      </c>
      <c r="I47" s="13">
        <v>45282</v>
      </c>
      <c r="J47" s="11">
        <v>22</v>
      </c>
      <c r="K47" s="11">
        <v>12</v>
      </c>
      <c r="L47" s="11">
        <v>2023</v>
      </c>
      <c r="M47" s="11" t="s">
        <v>634</v>
      </c>
      <c r="N47" s="11" t="s">
        <v>7</v>
      </c>
      <c r="O47" s="11" t="s">
        <v>51</v>
      </c>
      <c r="P47" s="11" t="s">
        <v>588</v>
      </c>
      <c r="Q47" s="11" t="s">
        <v>588</v>
      </c>
      <c r="R47" s="11">
        <v>-38.565300999999998</v>
      </c>
      <c r="S47" s="11">
        <v>145.4956</v>
      </c>
      <c r="T47" s="11">
        <v>2</v>
      </c>
      <c r="U47" s="11">
        <v>2</v>
      </c>
      <c r="V47" s="11" t="s">
        <v>588</v>
      </c>
      <c r="W47" s="11" t="s">
        <v>588</v>
      </c>
      <c r="X47" s="11">
        <v>5</v>
      </c>
      <c r="Y47" s="11">
        <v>5</v>
      </c>
      <c r="Z47" s="11" t="s">
        <v>647</v>
      </c>
      <c r="AA47" s="13">
        <v>45301</v>
      </c>
      <c r="AB47" s="11">
        <v>10</v>
      </c>
      <c r="AC47" s="11">
        <v>1</v>
      </c>
      <c r="AD47" s="11">
        <v>2024</v>
      </c>
      <c r="AE47" s="13" t="s">
        <v>678</v>
      </c>
      <c r="AF47" s="11" t="s">
        <v>12</v>
      </c>
      <c r="AG47" s="13">
        <v>45306</v>
      </c>
      <c r="AH47" s="11">
        <v>15</v>
      </c>
      <c r="AI47" s="11">
        <v>1</v>
      </c>
      <c r="AJ47" s="11">
        <v>2024</v>
      </c>
      <c r="AK47" s="13" t="s">
        <v>631</v>
      </c>
      <c r="AL47" s="11" t="s">
        <v>12</v>
      </c>
      <c r="AM47" s="11" t="s">
        <v>20</v>
      </c>
      <c r="AN47" s="11" t="s">
        <v>588</v>
      </c>
      <c r="AO47" s="11" t="s">
        <v>20</v>
      </c>
      <c r="AP47" s="13" t="s">
        <v>588</v>
      </c>
      <c r="AQ47" s="11" t="s">
        <v>588</v>
      </c>
      <c r="AR47" s="11" t="s">
        <v>588</v>
      </c>
      <c r="AS47" s="11" t="s">
        <v>588</v>
      </c>
      <c r="AT47" s="11" t="s">
        <v>588</v>
      </c>
      <c r="AU47" s="7" t="s">
        <v>588</v>
      </c>
      <c r="AV47" s="13" t="s">
        <v>588</v>
      </c>
      <c r="AW47" s="11" t="s">
        <v>588</v>
      </c>
      <c r="AX47" s="11" t="s">
        <v>588</v>
      </c>
      <c r="AY47" s="11" t="s">
        <v>588</v>
      </c>
      <c r="AZ47" s="11" t="s">
        <v>588</v>
      </c>
      <c r="BA47" s="7" t="s">
        <v>588</v>
      </c>
      <c r="BB47" s="13" t="s">
        <v>588</v>
      </c>
      <c r="BC47" s="11" t="s">
        <v>588</v>
      </c>
      <c r="BD47" s="11" t="s">
        <v>588</v>
      </c>
      <c r="BE47" s="11" t="s">
        <v>588</v>
      </c>
      <c r="BF47" s="11" t="s">
        <v>588</v>
      </c>
      <c r="BG47" s="7" t="s">
        <v>588</v>
      </c>
      <c r="BH47" s="11" t="s">
        <v>588</v>
      </c>
      <c r="BI47" s="11" t="s">
        <v>588</v>
      </c>
      <c r="BJ47" s="11" t="s">
        <v>588</v>
      </c>
      <c r="BK47" s="11" t="s">
        <v>588</v>
      </c>
      <c r="BL47" s="11" t="s">
        <v>588</v>
      </c>
      <c r="BM47" s="11" t="s">
        <v>588</v>
      </c>
      <c r="BN47" s="11" t="s">
        <v>588</v>
      </c>
      <c r="BO47" s="11" t="s">
        <v>588</v>
      </c>
      <c r="BP47" s="11" t="s">
        <v>588</v>
      </c>
      <c r="BQ47" s="13" t="s">
        <v>588</v>
      </c>
      <c r="BR47" s="11" t="s">
        <v>588</v>
      </c>
      <c r="BS47" s="11" t="s">
        <v>41</v>
      </c>
      <c r="BT47" s="11" t="s">
        <v>588</v>
      </c>
      <c r="BU47" s="11" t="s">
        <v>42</v>
      </c>
      <c r="BV47" s="11" t="s">
        <v>588</v>
      </c>
      <c r="BW47" s="11" t="s">
        <v>588</v>
      </c>
      <c r="BX47" s="11" t="s">
        <v>588</v>
      </c>
      <c r="BY47" s="11" t="s">
        <v>423</v>
      </c>
      <c r="BZ47" s="11" t="s">
        <v>588</v>
      </c>
    </row>
    <row r="48" spans="1:78" x14ac:dyDescent="0.25">
      <c r="A48" s="11">
        <v>202324</v>
      </c>
      <c r="B48" s="11" t="s">
        <v>324</v>
      </c>
      <c r="C48" s="11" t="s">
        <v>324</v>
      </c>
      <c r="D48" s="11" t="s">
        <v>326</v>
      </c>
      <c r="E48" s="11" t="s">
        <v>16</v>
      </c>
      <c r="F48" s="11">
        <v>2</v>
      </c>
      <c r="G48" s="11" t="s">
        <v>424</v>
      </c>
      <c r="H48" s="11" t="s">
        <v>722</v>
      </c>
      <c r="I48" s="13">
        <v>45321</v>
      </c>
      <c r="J48" s="11">
        <v>30</v>
      </c>
      <c r="K48" s="11">
        <v>1</v>
      </c>
      <c r="L48" s="11">
        <v>2024</v>
      </c>
      <c r="M48" s="11" t="s">
        <v>632</v>
      </c>
      <c r="N48" s="11" t="s">
        <v>12</v>
      </c>
      <c r="O48" s="11" t="s">
        <v>51</v>
      </c>
      <c r="P48" s="11">
        <v>-38.562998999999998</v>
      </c>
      <c r="Q48" s="11">
        <v>145.492705</v>
      </c>
      <c r="R48" s="11" t="s">
        <v>588</v>
      </c>
      <c r="S48" s="11" t="s">
        <v>588</v>
      </c>
      <c r="T48" s="11">
        <v>3</v>
      </c>
      <c r="U48" s="11">
        <v>3</v>
      </c>
      <c r="V48" s="11" t="s">
        <v>588</v>
      </c>
      <c r="W48" s="11" t="s">
        <v>588</v>
      </c>
      <c r="X48" s="11">
        <v>7</v>
      </c>
      <c r="Y48" s="11">
        <v>7</v>
      </c>
      <c r="Z48" s="11" t="s">
        <v>8</v>
      </c>
      <c r="AA48" s="13">
        <v>45340</v>
      </c>
      <c r="AB48" s="11">
        <v>18</v>
      </c>
      <c r="AC48" s="11">
        <v>2</v>
      </c>
      <c r="AD48" s="11">
        <v>2024</v>
      </c>
      <c r="AE48" s="13" t="s">
        <v>625</v>
      </c>
      <c r="AF48" s="11" t="s">
        <v>588</v>
      </c>
      <c r="AG48" s="13" t="s">
        <v>588</v>
      </c>
      <c r="AH48" s="11" t="s">
        <v>588</v>
      </c>
      <c r="AI48" s="11" t="s">
        <v>588</v>
      </c>
      <c r="AJ48" s="11" t="s">
        <v>588</v>
      </c>
      <c r="AK48" s="13" t="s">
        <v>588</v>
      </c>
      <c r="AL48" s="11" t="s">
        <v>588</v>
      </c>
      <c r="AM48" s="13" t="s">
        <v>588</v>
      </c>
      <c r="AN48" s="11" t="s">
        <v>588</v>
      </c>
      <c r="AO48" s="13" t="s">
        <v>588</v>
      </c>
      <c r="AP48" s="13">
        <v>45347</v>
      </c>
      <c r="AQ48" s="19" t="s">
        <v>21</v>
      </c>
      <c r="AR48" s="11" t="s">
        <v>195</v>
      </c>
      <c r="AS48" s="11">
        <v>2</v>
      </c>
      <c r="AT48" s="11">
        <v>3</v>
      </c>
      <c r="AU48" s="7" t="s">
        <v>588</v>
      </c>
      <c r="AV48" s="13" t="s">
        <v>588</v>
      </c>
      <c r="AW48" s="11" t="s">
        <v>588</v>
      </c>
      <c r="AX48" s="11" t="s">
        <v>588</v>
      </c>
      <c r="AY48" s="11" t="s">
        <v>588</v>
      </c>
      <c r="AZ48" s="11" t="s">
        <v>588</v>
      </c>
      <c r="BA48" s="7" t="s">
        <v>588</v>
      </c>
      <c r="BB48" s="13" t="s">
        <v>588</v>
      </c>
      <c r="BC48" s="11" t="s">
        <v>588</v>
      </c>
      <c r="BD48" s="11" t="s">
        <v>588</v>
      </c>
      <c r="BE48" s="11" t="s">
        <v>588</v>
      </c>
      <c r="BF48" s="11" t="s">
        <v>588</v>
      </c>
      <c r="BG48" s="7" t="s">
        <v>588</v>
      </c>
      <c r="BH48" s="11" t="s">
        <v>588</v>
      </c>
      <c r="BI48" s="11" t="s">
        <v>588</v>
      </c>
      <c r="BJ48" s="11" t="s">
        <v>588</v>
      </c>
      <c r="BK48" s="11" t="s">
        <v>588</v>
      </c>
      <c r="BL48" s="11" t="s">
        <v>588</v>
      </c>
      <c r="BM48" s="11">
        <v>9</v>
      </c>
      <c r="BN48" s="11">
        <v>9</v>
      </c>
      <c r="BO48" s="11" t="s">
        <v>8</v>
      </c>
      <c r="BP48" s="11">
        <v>2</v>
      </c>
      <c r="BQ48" s="13">
        <v>45383</v>
      </c>
      <c r="BR48" s="11" t="s">
        <v>72</v>
      </c>
      <c r="BS48" s="11" t="s">
        <v>8</v>
      </c>
      <c r="BT48" s="11" t="s">
        <v>9</v>
      </c>
      <c r="BU48" s="11" t="s">
        <v>9</v>
      </c>
      <c r="BV48" s="11" t="s">
        <v>8</v>
      </c>
      <c r="BW48" s="11" t="s">
        <v>90</v>
      </c>
      <c r="BX48" s="11" t="s">
        <v>90</v>
      </c>
      <c r="BY48" s="11" t="s">
        <v>588</v>
      </c>
      <c r="BZ48" s="11" t="s">
        <v>8</v>
      </c>
    </row>
    <row r="49" spans="1:78" x14ac:dyDescent="0.25">
      <c r="A49" s="11">
        <v>202324</v>
      </c>
      <c r="B49" s="11" t="s">
        <v>425</v>
      </c>
      <c r="C49" s="11" t="s">
        <v>425</v>
      </c>
      <c r="D49" s="11" t="s">
        <v>426</v>
      </c>
      <c r="E49" s="11" t="s">
        <v>427</v>
      </c>
      <c r="F49" s="11">
        <v>1</v>
      </c>
      <c r="G49" s="11" t="s">
        <v>428</v>
      </c>
      <c r="H49" s="11" t="s">
        <v>723</v>
      </c>
      <c r="I49" s="13">
        <v>45193</v>
      </c>
      <c r="J49" s="11">
        <v>24</v>
      </c>
      <c r="K49" s="11">
        <v>9</v>
      </c>
      <c r="L49" s="11">
        <v>2023</v>
      </c>
      <c r="M49" s="11" t="s">
        <v>635</v>
      </c>
      <c r="N49" s="11" t="s">
        <v>28</v>
      </c>
      <c r="O49" s="11" t="s">
        <v>10</v>
      </c>
      <c r="P49" s="11" t="s">
        <v>588</v>
      </c>
      <c r="Q49" s="11" t="s">
        <v>588</v>
      </c>
      <c r="R49" s="11">
        <v>-38.524847999999999</v>
      </c>
      <c r="S49" s="11">
        <v>145.365542</v>
      </c>
      <c r="T49" s="11">
        <v>3</v>
      </c>
      <c r="U49" s="11">
        <v>3</v>
      </c>
      <c r="V49" s="13">
        <v>45196</v>
      </c>
      <c r="W49" s="11" t="s">
        <v>223</v>
      </c>
      <c r="X49" s="11">
        <v>13</v>
      </c>
      <c r="Y49" s="11">
        <v>11</v>
      </c>
      <c r="Z49" s="11" t="s">
        <v>8</v>
      </c>
      <c r="AA49" s="13">
        <v>45224</v>
      </c>
      <c r="AB49" s="11">
        <v>25</v>
      </c>
      <c r="AC49" s="11">
        <v>10</v>
      </c>
      <c r="AD49" s="11">
        <v>2023</v>
      </c>
      <c r="AE49" s="13" t="s">
        <v>724</v>
      </c>
      <c r="AF49" s="11" t="s">
        <v>588</v>
      </c>
      <c r="AG49" s="13" t="s">
        <v>588</v>
      </c>
      <c r="AH49" s="11" t="s">
        <v>588</v>
      </c>
      <c r="AI49" s="11" t="s">
        <v>588</v>
      </c>
      <c r="AJ49" s="11" t="s">
        <v>588</v>
      </c>
      <c r="AK49" s="13" t="s">
        <v>588</v>
      </c>
      <c r="AL49" s="11" t="s">
        <v>588</v>
      </c>
      <c r="AM49" s="13" t="s">
        <v>588</v>
      </c>
      <c r="AN49" s="11" t="s">
        <v>588</v>
      </c>
      <c r="AO49" s="13" t="s">
        <v>588</v>
      </c>
      <c r="AP49" s="13">
        <v>45224</v>
      </c>
      <c r="AQ49" s="11" t="s">
        <v>29</v>
      </c>
      <c r="AR49" s="11" t="s">
        <v>195</v>
      </c>
      <c r="AS49" s="11">
        <v>3</v>
      </c>
      <c r="AT49" s="11">
        <v>3</v>
      </c>
      <c r="AU49" s="7">
        <v>45234</v>
      </c>
      <c r="AV49" s="13">
        <v>45236</v>
      </c>
      <c r="AW49" s="11" t="s">
        <v>17</v>
      </c>
      <c r="AX49" s="11" t="s">
        <v>20</v>
      </c>
      <c r="AY49" s="11" t="s">
        <v>588</v>
      </c>
      <c r="AZ49" s="11" t="s">
        <v>20</v>
      </c>
      <c r="BA49" s="7">
        <v>45247</v>
      </c>
      <c r="BB49" s="13">
        <v>45250</v>
      </c>
      <c r="BC49" s="11" t="s">
        <v>17</v>
      </c>
      <c r="BD49" s="11" t="s">
        <v>20</v>
      </c>
      <c r="BE49" s="11" t="s">
        <v>588</v>
      </c>
      <c r="BF49" s="11" t="s">
        <v>20</v>
      </c>
      <c r="BG49" s="7">
        <v>45247</v>
      </c>
      <c r="BH49" s="13">
        <v>45250</v>
      </c>
      <c r="BI49" s="11" t="s">
        <v>17</v>
      </c>
      <c r="BJ49" s="11" t="s">
        <v>20</v>
      </c>
      <c r="BK49" s="11" t="s">
        <v>588</v>
      </c>
      <c r="BL49" s="11" t="s">
        <v>20</v>
      </c>
      <c r="BM49" s="11">
        <v>19</v>
      </c>
      <c r="BN49" s="11">
        <v>16</v>
      </c>
      <c r="BO49" s="11" t="s">
        <v>41</v>
      </c>
      <c r="BP49" s="11" t="s">
        <v>588</v>
      </c>
      <c r="BQ49" s="13" t="s">
        <v>588</v>
      </c>
      <c r="BR49" s="11" t="s">
        <v>588</v>
      </c>
      <c r="BS49" s="11" t="s">
        <v>8</v>
      </c>
      <c r="BT49" s="11" t="s">
        <v>9</v>
      </c>
      <c r="BU49" s="11" t="s">
        <v>9</v>
      </c>
      <c r="BV49" s="11" t="s">
        <v>8</v>
      </c>
      <c r="BW49" s="11" t="s">
        <v>429</v>
      </c>
      <c r="BX49" s="11" t="s">
        <v>429</v>
      </c>
      <c r="BY49" s="11" t="s">
        <v>588</v>
      </c>
      <c r="BZ49" s="11" t="s">
        <v>588</v>
      </c>
    </row>
    <row r="50" spans="1:78" x14ac:dyDescent="0.25">
      <c r="A50" s="11">
        <v>202324</v>
      </c>
      <c r="B50" s="11" t="s">
        <v>425</v>
      </c>
      <c r="C50" s="11" t="s">
        <v>425</v>
      </c>
      <c r="D50" s="11" t="s">
        <v>426</v>
      </c>
      <c r="E50" s="11" t="s">
        <v>427</v>
      </c>
      <c r="F50" s="11">
        <v>2</v>
      </c>
      <c r="G50" s="11" t="s">
        <v>430</v>
      </c>
      <c r="H50" s="11" t="s">
        <v>725</v>
      </c>
      <c r="I50" s="13">
        <v>45267</v>
      </c>
      <c r="J50" s="11">
        <v>7</v>
      </c>
      <c r="K50" s="11">
        <v>12</v>
      </c>
      <c r="L50" s="11">
        <v>2023</v>
      </c>
      <c r="M50" s="11" t="s">
        <v>636</v>
      </c>
      <c r="N50" s="11" t="s">
        <v>7</v>
      </c>
      <c r="O50" s="11" t="s">
        <v>10</v>
      </c>
      <c r="P50" s="11" t="s">
        <v>588</v>
      </c>
      <c r="Q50" s="11" t="s">
        <v>588</v>
      </c>
      <c r="R50" s="11">
        <v>-38.524847999999999</v>
      </c>
      <c r="S50" s="11">
        <v>145.365542</v>
      </c>
      <c r="T50" s="11">
        <v>2</v>
      </c>
      <c r="U50" s="11">
        <v>2</v>
      </c>
      <c r="V50" s="11" t="s">
        <v>588</v>
      </c>
      <c r="W50" s="11" t="s">
        <v>588</v>
      </c>
      <c r="X50" s="11">
        <v>6</v>
      </c>
      <c r="Y50" s="11">
        <v>6</v>
      </c>
      <c r="Z50" s="11" t="s">
        <v>41</v>
      </c>
      <c r="AA50" s="13">
        <v>45271</v>
      </c>
      <c r="AB50" s="11">
        <v>11</v>
      </c>
      <c r="AC50" s="11">
        <v>12</v>
      </c>
      <c r="AD50" s="11">
        <v>2023</v>
      </c>
      <c r="AE50" s="13" t="s">
        <v>726</v>
      </c>
      <c r="AF50" s="11" t="s">
        <v>7</v>
      </c>
      <c r="AG50" s="13">
        <v>45275</v>
      </c>
      <c r="AH50" s="11">
        <v>15</v>
      </c>
      <c r="AI50" s="11">
        <v>12</v>
      </c>
      <c r="AJ50" s="11">
        <v>2023</v>
      </c>
      <c r="AK50" s="13" t="s">
        <v>608</v>
      </c>
      <c r="AL50" s="11" t="s">
        <v>7</v>
      </c>
      <c r="AM50" s="11" t="s">
        <v>20</v>
      </c>
      <c r="AN50" s="11" t="s">
        <v>588</v>
      </c>
      <c r="AO50" s="11" t="s">
        <v>48</v>
      </c>
      <c r="AP50" s="13" t="s">
        <v>588</v>
      </c>
      <c r="AQ50" s="11" t="s">
        <v>588</v>
      </c>
      <c r="AR50" s="11" t="s">
        <v>588</v>
      </c>
      <c r="AS50" s="11" t="s">
        <v>588</v>
      </c>
      <c r="AT50" s="11" t="s">
        <v>588</v>
      </c>
      <c r="AU50" s="7" t="s">
        <v>588</v>
      </c>
      <c r="AV50" s="13" t="s">
        <v>588</v>
      </c>
      <c r="AW50" s="11" t="s">
        <v>588</v>
      </c>
      <c r="AX50" s="11" t="s">
        <v>588</v>
      </c>
      <c r="AY50" s="11" t="s">
        <v>588</v>
      </c>
      <c r="AZ50" s="11" t="s">
        <v>588</v>
      </c>
      <c r="BA50" s="7" t="s">
        <v>588</v>
      </c>
      <c r="BB50" s="13" t="s">
        <v>588</v>
      </c>
      <c r="BC50" s="11" t="s">
        <v>588</v>
      </c>
      <c r="BD50" s="11" t="s">
        <v>588</v>
      </c>
      <c r="BE50" s="11" t="s">
        <v>588</v>
      </c>
      <c r="BF50" s="11" t="s">
        <v>588</v>
      </c>
      <c r="BG50" s="7" t="s">
        <v>588</v>
      </c>
      <c r="BH50" s="11" t="s">
        <v>588</v>
      </c>
      <c r="BI50" s="11" t="s">
        <v>588</v>
      </c>
      <c r="BJ50" s="11" t="s">
        <v>588</v>
      </c>
      <c r="BK50" s="11" t="s">
        <v>588</v>
      </c>
      <c r="BL50" s="11" t="s">
        <v>588</v>
      </c>
      <c r="BM50" s="11" t="s">
        <v>588</v>
      </c>
      <c r="BN50" s="11" t="s">
        <v>588</v>
      </c>
      <c r="BO50" s="11" t="s">
        <v>588</v>
      </c>
      <c r="BP50" s="11" t="s">
        <v>588</v>
      </c>
      <c r="BQ50" s="13" t="s">
        <v>588</v>
      </c>
      <c r="BR50" s="11" t="s">
        <v>588</v>
      </c>
      <c r="BS50" s="11" t="s">
        <v>8</v>
      </c>
      <c r="BT50" s="11" t="s">
        <v>431</v>
      </c>
      <c r="BU50" s="11" t="s">
        <v>431</v>
      </c>
      <c r="BV50" s="11" t="s">
        <v>588</v>
      </c>
      <c r="BW50" s="11" t="s">
        <v>588</v>
      </c>
      <c r="BX50" s="11" t="s">
        <v>588</v>
      </c>
      <c r="BY50" s="11" t="s">
        <v>588</v>
      </c>
      <c r="BZ50" s="11" t="s">
        <v>588</v>
      </c>
    </row>
    <row r="51" spans="1:78" x14ac:dyDescent="0.25">
      <c r="A51" s="11">
        <v>202324</v>
      </c>
      <c r="B51" s="11" t="s">
        <v>432</v>
      </c>
      <c r="C51" s="11" t="s">
        <v>432</v>
      </c>
      <c r="D51" s="11" t="s">
        <v>433</v>
      </c>
      <c r="E51" s="11" t="s">
        <v>16</v>
      </c>
      <c r="F51" s="11">
        <v>1</v>
      </c>
      <c r="G51" s="11" t="s">
        <v>434</v>
      </c>
      <c r="H51" s="11" t="s">
        <v>727</v>
      </c>
      <c r="I51" s="13">
        <v>45267</v>
      </c>
      <c r="J51" s="11">
        <v>7</v>
      </c>
      <c r="K51" s="11">
        <v>12</v>
      </c>
      <c r="L51" s="11">
        <v>2023</v>
      </c>
      <c r="M51" s="11" t="s">
        <v>636</v>
      </c>
      <c r="N51" s="11" t="s">
        <v>7</v>
      </c>
      <c r="O51" s="11" t="s">
        <v>51</v>
      </c>
      <c r="P51" s="11" t="s">
        <v>588</v>
      </c>
      <c r="Q51" s="11" t="s">
        <v>588</v>
      </c>
      <c r="R51" s="11">
        <v>-38.5396</v>
      </c>
      <c r="S51" s="11">
        <v>145.43789699999999</v>
      </c>
      <c r="T51" s="11">
        <v>3</v>
      </c>
      <c r="U51" s="11">
        <v>3</v>
      </c>
      <c r="V51" s="11" t="s">
        <v>588</v>
      </c>
      <c r="W51" s="11" t="s">
        <v>588</v>
      </c>
      <c r="X51" s="11">
        <v>1</v>
      </c>
      <c r="Y51" s="11">
        <v>1</v>
      </c>
      <c r="Z51" s="11" t="s">
        <v>8</v>
      </c>
      <c r="AA51" s="13">
        <v>45267</v>
      </c>
      <c r="AB51" s="11">
        <v>7</v>
      </c>
      <c r="AC51" s="11">
        <v>12</v>
      </c>
      <c r="AD51" s="11">
        <v>2023</v>
      </c>
      <c r="AE51" s="13" t="s">
        <v>636</v>
      </c>
      <c r="AF51" s="11" t="s">
        <v>588</v>
      </c>
      <c r="AG51" s="13" t="s">
        <v>588</v>
      </c>
      <c r="AH51" s="11" t="s">
        <v>588</v>
      </c>
      <c r="AI51" s="11" t="s">
        <v>588</v>
      </c>
      <c r="AJ51" s="11" t="s">
        <v>588</v>
      </c>
      <c r="AK51" s="13" t="s">
        <v>588</v>
      </c>
      <c r="AL51" s="11" t="s">
        <v>588</v>
      </c>
      <c r="AM51" s="13" t="s">
        <v>588</v>
      </c>
      <c r="AN51" s="11" t="s">
        <v>588</v>
      </c>
      <c r="AO51" s="13" t="s">
        <v>588</v>
      </c>
      <c r="AP51" s="13">
        <v>45280</v>
      </c>
      <c r="AQ51" s="11" t="s">
        <v>7</v>
      </c>
      <c r="AR51" s="11" t="s">
        <v>195</v>
      </c>
      <c r="AS51" s="11">
        <v>2</v>
      </c>
      <c r="AT51" s="11">
        <v>3</v>
      </c>
      <c r="AU51" s="7">
        <v>45289</v>
      </c>
      <c r="AV51" s="13">
        <v>45304</v>
      </c>
      <c r="AW51" s="11" t="s">
        <v>12</v>
      </c>
      <c r="AX51" s="11" t="s">
        <v>20</v>
      </c>
      <c r="AY51" s="11" t="s">
        <v>588</v>
      </c>
      <c r="AZ51" s="11" t="s">
        <v>20</v>
      </c>
      <c r="BA51" s="7">
        <v>45304</v>
      </c>
      <c r="BB51" s="13">
        <v>45318</v>
      </c>
      <c r="BC51" s="11" t="s">
        <v>12</v>
      </c>
      <c r="BD51" s="11" t="s">
        <v>20</v>
      </c>
      <c r="BE51" s="11" t="s">
        <v>588</v>
      </c>
      <c r="BF51" s="11" t="s">
        <v>20</v>
      </c>
      <c r="BG51" s="7" t="s">
        <v>588</v>
      </c>
      <c r="BH51" s="11" t="s">
        <v>588</v>
      </c>
      <c r="BI51" s="11" t="s">
        <v>588</v>
      </c>
      <c r="BJ51" s="11" t="s">
        <v>588</v>
      </c>
      <c r="BK51" s="11" t="s">
        <v>588</v>
      </c>
      <c r="BL51" s="11" t="s">
        <v>588</v>
      </c>
      <c r="BM51" s="11">
        <v>4</v>
      </c>
      <c r="BN51" s="11">
        <v>4</v>
      </c>
      <c r="BO51" s="11" t="s">
        <v>41</v>
      </c>
      <c r="BP51" s="11" t="s">
        <v>588</v>
      </c>
      <c r="BQ51" s="13" t="s">
        <v>588</v>
      </c>
      <c r="BR51" s="11" t="s">
        <v>588</v>
      </c>
      <c r="BS51" s="11" t="s">
        <v>8</v>
      </c>
      <c r="BT51" s="11" t="s">
        <v>18</v>
      </c>
      <c r="BU51" s="11" t="s">
        <v>18</v>
      </c>
      <c r="BV51" s="11" t="s">
        <v>8</v>
      </c>
      <c r="BW51" s="11" t="s">
        <v>18</v>
      </c>
      <c r="BX51" s="11" t="s">
        <v>18</v>
      </c>
      <c r="BY51" s="11" t="s">
        <v>588</v>
      </c>
      <c r="BZ51" s="11" t="s">
        <v>588</v>
      </c>
    </row>
    <row r="52" spans="1:78" x14ac:dyDescent="0.25">
      <c r="A52" s="11">
        <v>202324</v>
      </c>
      <c r="B52" s="11" t="s">
        <v>432</v>
      </c>
      <c r="C52" s="11" t="s">
        <v>432</v>
      </c>
      <c r="D52" s="11" t="s">
        <v>433</v>
      </c>
      <c r="E52" s="11" t="s">
        <v>16</v>
      </c>
      <c r="F52" s="11">
        <v>2</v>
      </c>
      <c r="G52" s="11" t="s">
        <v>435</v>
      </c>
      <c r="H52" s="11" t="s">
        <v>728</v>
      </c>
      <c r="I52" s="13">
        <v>45318</v>
      </c>
      <c r="J52" s="11">
        <v>27</v>
      </c>
      <c r="K52" s="11">
        <v>1</v>
      </c>
      <c r="L52" s="11">
        <v>2024</v>
      </c>
      <c r="M52" s="11" t="s">
        <v>611</v>
      </c>
      <c r="N52" s="11" t="s">
        <v>12</v>
      </c>
      <c r="O52" s="11" t="s">
        <v>51</v>
      </c>
      <c r="P52" s="11">
        <v>-38.540143999999998</v>
      </c>
      <c r="Q52" s="11">
        <v>145.43787900000001</v>
      </c>
      <c r="R52" s="11" t="s">
        <v>588</v>
      </c>
      <c r="S52" s="11" t="s">
        <v>588</v>
      </c>
      <c r="T52" s="11">
        <v>2</v>
      </c>
      <c r="U52" s="11">
        <v>2</v>
      </c>
      <c r="V52" s="13" t="s">
        <v>588</v>
      </c>
      <c r="W52" s="11" t="s">
        <v>588</v>
      </c>
      <c r="X52" s="11">
        <v>3</v>
      </c>
      <c r="Y52" s="11">
        <v>3</v>
      </c>
      <c r="Z52" s="11" t="s">
        <v>41</v>
      </c>
      <c r="AA52" s="13">
        <v>45322</v>
      </c>
      <c r="AB52" s="11">
        <v>31</v>
      </c>
      <c r="AC52" s="11">
        <v>1</v>
      </c>
      <c r="AD52" s="11">
        <v>2024</v>
      </c>
      <c r="AE52" s="13" t="s">
        <v>729</v>
      </c>
      <c r="AF52" s="11" t="s">
        <v>12</v>
      </c>
      <c r="AG52" s="13">
        <v>45348</v>
      </c>
      <c r="AH52" s="11">
        <v>26</v>
      </c>
      <c r="AI52" s="11">
        <v>2</v>
      </c>
      <c r="AJ52" s="11">
        <v>2024</v>
      </c>
      <c r="AK52" s="13" t="s">
        <v>730</v>
      </c>
      <c r="AL52" s="11" t="s">
        <v>21</v>
      </c>
      <c r="AM52" s="11" t="s">
        <v>20</v>
      </c>
      <c r="AN52" s="11" t="s">
        <v>588</v>
      </c>
      <c r="AO52" s="11" t="s">
        <v>20</v>
      </c>
      <c r="AP52" s="13" t="s">
        <v>588</v>
      </c>
      <c r="AQ52" s="11" t="s">
        <v>588</v>
      </c>
      <c r="AR52" s="11" t="s">
        <v>588</v>
      </c>
      <c r="AS52" s="11" t="s">
        <v>588</v>
      </c>
      <c r="AT52" s="11" t="s">
        <v>588</v>
      </c>
      <c r="AU52" s="7" t="s">
        <v>588</v>
      </c>
      <c r="AV52" s="13" t="s">
        <v>588</v>
      </c>
      <c r="AW52" s="11" t="s">
        <v>588</v>
      </c>
      <c r="AX52" s="11" t="s">
        <v>588</v>
      </c>
      <c r="AY52" s="11" t="s">
        <v>588</v>
      </c>
      <c r="AZ52" s="11" t="s">
        <v>588</v>
      </c>
      <c r="BA52" s="7" t="s">
        <v>588</v>
      </c>
      <c r="BB52" s="13" t="s">
        <v>588</v>
      </c>
      <c r="BC52" s="11" t="s">
        <v>588</v>
      </c>
      <c r="BD52" s="11" t="s">
        <v>588</v>
      </c>
      <c r="BE52" s="11" t="s">
        <v>588</v>
      </c>
      <c r="BF52" s="11" t="s">
        <v>588</v>
      </c>
      <c r="BG52" s="7" t="s">
        <v>588</v>
      </c>
      <c r="BH52" s="11" t="s">
        <v>588</v>
      </c>
      <c r="BI52" s="11" t="s">
        <v>588</v>
      </c>
      <c r="BJ52" s="11" t="s">
        <v>588</v>
      </c>
      <c r="BK52" s="11" t="s">
        <v>588</v>
      </c>
      <c r="BL52" s="11" t="s">
        <v>588</v>
      </c>
      <c r="BM52" s="11" t="s">
        <v>588</v>
      </c>
      <c r="BN52" s="11" t="s">
        <v>588</v>
      </c>
      <c r="BO52" s="11" t="s">
        <v>588</v>
      </c>
      <c r="BP52" s="11" t="s">
        <v>588</v>
      </c>
      <c r="BQ52" s="13" t="s">
        <v>588</v>
      </c>
      <c r="BR52" s="11" t="s">
        <v>588</v>
      </c>
      <c r="BS52" s="11" t="s">
        <v>8</v>
      </c>
      <c r="BT52" s="11" t="s">
        <v>9</v>
      </c>
      <c r="BU52" s="11" t="s">
        <v>9</v>
      </c>
      <c r="BV52" s="11" t="s">
        <v>588</v>
      </c>
      <c r="BW52" s="11" t="s">
        <v>588</v>
      </c>
      <c r="BX52" s="11" t="s">
        <v>588</v>
      </c>
      <c r="BY52" s="11" t="s">
        <v>588</v>
      </c>
      <c r="BZ52" s="11" t="s">
        <v>588</v>
      </c>
    </row>
    <row r="53" spans="1:78" x14ac:dyDescent="0.25">
      <c r="A53" s="11">
        <v>202324</v>
      </c>
      <c r="B53" s="11" t="s">
        <v>432</v>
      </c>
      <c r="C53" s="11" t="s">
        <v>432</v>
      </c>
      <c r="D53" s="11" t="s">
        <v>433</v>
      </c>
      <c r="E53" s="11" t="s">
        <v>16</v>
      </c>
      <c r="F53" s="11">
        <v>3</v>
      </c>
      <c r="G53" s="11" t="s">
        <v>436</v>
      </c>
      <c r="H53" s="11" t="s">
        <v>731</v>
      </c>
      <c r="I53" s="13">
        <v>45352</v>
      </c>
      <c r="J53" s="11">
        <v>1</v>
      </c>
      <c r="K53" s="11">
        <v>3</v>
      </c>
      <c r="L53" s="11">
        <v>2024</v>
      </c>
      <c r="M53" s="11" t="s">
        <v>637</v>
      </c>
      <c r="N53" s="11" t="s">
        <v>22</v>
      </c>
      <c r="O53" s="11" t="s">
        <v>51</v>
      </c>
      <c r="P53" s="11">
        <v>-38.540143999999998</v>
      </c>
      <c r="Q53" s="11">
        <v>145.43787900000001</v>
      </c>
      <c r="R53" s="11" t="s">
        <v>588</v>
      </c>
      <c r="S53" s="11" t="s">
        <v>588</v>
      </c>
      <c r="T53" s="11">
        <v>3</v>
      </c>
      <c r="U53" s="11">
        <v>3</v>
      </c>
      <c r="V53" s="11" t="s">
        <v>588</v>
      </c>
      <c r="W53" s="11" t="s">
        <v>588</v>
      </c>
      <c r="X53" s="11">
        <v>2</v>
      </c>
      <c r="Y53" s="11">
        <v>2</v>
      </c>
      <c r="Z53" s="11" t="s">
        <v>41</v>
      </c>
      <c r="AA53" s="13">
        <v>45352</v>
      </c>
      <c r="AB53" s="11">
        <v>1</v>
      </c>
      <c r="AC53" s="11">
        <v>3</v>
      </c>
      <c r="AD53" s="11">
        <v>2024</v>
      </c>
      <c r="AE53" s="13" t="s">
        <v>637</v>
      </c>
      <c r="AF53" s="11" t="s">
        <v>22</v>
      </c>
      <c r="AG53" s="13">
        <v>45360</v>
      </c>
      <c r="AH53" s="11">
        <v>9</v>
      </c>
      <c r="AI53" s="11">
        <v>3</v>
      </c>
      <c r="AJ53" s="11">
        <v>2024</v>
      </c>
      <c r="AK53" s="13" t="s">
        <v>732</v>
      </c>
      <c r="AL53" s="11" t="s">
        <v>22</v>
      </c>
      <c r="AM53" s="11" t="s">
        <v>20</v>
      </c>
      <c r="AN53" s="11" t="s">
        <v>588</v>
      </c>
      <c r="AO53" s="11" t="s">
        <v>32</v>
      </c>
      <c r="AP53" s="11" t="s">
        <v>588</v>
      </c>
      <c r="AQ53" s="11" t="s">
        <v>588</v>
      </c>
      <c r="AR53" s="11" t="s">
        <v>588</v>
      </c>
      <c r="AS53" s="11" t="s">
        <v>588</v>
      </c>
      <c r="AT53" s="11" t="s">
        <v>588</v>
      </c>
      <c r="AU53" s="7" t="s">
        <v>588</v>
      </c>
      <c r="AV53" s="13" t="s">
        <v>588</v>
      </c>
      <c r="AW53" s="11" t="s">
        <v>588</v>
      </c>
      <c r="AX53" s="11" t="s">
        <v>588</v>
      </c>
      <c r="AY53" s="11" t="s">
        <v>588</v>
      </c>
      <c r="AZ53" s="11" t="s">
        <v>588</v>
      </c>
      <c r="BA53" s="7" t="s">
        <v>588</v>
      </c>
      <c r="BB53" s="13" t="s">
        <v>588</v>
      </c>
      <c r="BC53" s="11" t="s">
        <v>588</v>
      </c>
      <c r="BD53" s="11" t="s">
        <v>588</v>
      </c>
      <c r="BE53" s="11" t="s">
        <v>588</v>
      </c>
      <c r="BF53" s="11" t="s">
        <v>588</v>
      </c>
      <c r="BG53" s="7" t="s">
        <v>588</v>
      </c>
      <c r="BH53" s="11" t="s">
        <v>588</v>
      </c>
      <c r="BI53" s="11" t="s">
        <v>588</v>
      </c>
      <c r="BJ53" s="11" t="s">
        <v>588</v>
      </c>
      <c r="BK53" s="11" t="s">
        <v>588</v>
      </c>
      <c r="BL53" s="11" t="s">
        <v>588</v>
      </c>
      <c r="BM53" s="11" t="s">
        <v>588</v>
      </c>
      <c r="BN53" s="11" t="s">
        <v>588</v>
      </c>
      <c r="BO53" s="11" t="s">
        <v>588</v>
      </c>
      <c r="BP53" s="11" t="s">
        <v>588</v>
      </c>
      <c r="BQ53" s="13" t="s">
        <v>588</v>
      </c>
      <c r="BR53" s="11" t="s">
        <v>588</v>
      </c>
      <c r="BS53" s="11" t="s">
        <v>8</v>
      </c>
      <c r="BT53" s="11" t="s">
        <v>9</v>
      </c>
      <c r="BU53" s="11" t="s">
        <v>9</v>
      </c>
      <c r="BV53" s="11" t="s">
        <v>588</v>
      </c>
      <c r="BW53" s="11" t="s">
        <v>588</v>
      </c>
      <c r="BX53" s="11" t="s">
        <v>588</v>
      </c>
      <c r="BY53" s="11" t="s">
        <v>588</v>
      </c>
      <c r="BZ53" s="11" t="s">
        <v>588</v>
      </c>
    </row>
    <row r="54" spans="1:78" x14ac:dyDescent="0.25">
      <c r="A54" s="11">
        <v>202324</v>
      </c>
      <c r="B54" s="11" t="s">
        <v>35</v>
      </c>
      <c r="C54" s="11" t="s">
        <v>35</v>
      </c>
      <c r="D54" s="11" t="s">
        <v>109</v>
      </c>
      <c r="E54" s="11" t="s">
        <v>107</v>
      </c>
      <c r="F54" s="11">
        <v>1</v>
      </c>
      <c r="G54" s="11" t="s">
        <v>733</v>
      </c>
      <c r="H54" s="11" t="s">
        <v>733</v>
      </c>
      <c r="I54" s="13">
        <v>45267</v>
      </c>
      <c r="J54" s="11">
        <v>7</v>
      </c>
      <c r="K54" s="11">
        <v>12</v>
      </c>
      <c r="L54" s="11">
        <v>2023</v>
      </c>
      <c r="M54" s="11" t="s">
        <v>636</v>
      </c>
      <c r="N54" s="11" t="s">
        <v>7</v>
      </c>
      <c r="O54" s="11" t="s">
        <v>10</v>
      </c>
      <c r="P54" s="11" t="s">
        <v>588</v>
      </c>
      <c r="Q54" s="11" t="s">
        <v>588</v>
      </c>
      <c r="R54" s="11">
        <v>-38.672297999999998</v>
      </c>
      <c r="S54" s="11">
        <v>145.63986199999999</v>
      </c>
      <c r="T54" s="11">
        <v>2</v>
      </c>
      <c r="U54" s="11">
        <v>2</v>
      </c>
      <c r="V54" s="11" t="s">
        <v>588</v>
      </c>
      <c r="W54" s="11" t="s">
        <v>588</v>
      </c>
      <c r="X54" s="11">
        <v>3</v>
      </c>
      <c r="Y54" s="11">
        <v>3</v>
      </c>
      <c r="Z54" s="11" t="s">
        <v>41</v>
      </c>
      <c r="AA54" s="13">
        <v>45274</v>
      </c>
      <c r="AB54" s="11">
        <v>14</v>
      </c>
      <c r="AC54" s="11">
        <v>12</v>
      </c>
      <c r="AD54" s="11">
        <v>2023</v>
      </c>
      <c r="AE54" s="13" t="s">
        <v>610</v>
      </c>
      <c r="AF54" s="11" t="s">
        <v>7</v>
      </c>
      <c r="AG54" s="13">
        <v>45279</v>
      </c>
      <c r="AH54" s="11">
        <v>19</v>
      </c>
      <c r="AI54" s="11">
        <v>12</v>
      </c>
      <c r="AJ54" s="11">
        <v>2023</v>
      </c>
      <c r="AK54" s="13" t="s">
        <v>622</v>
      </c>
      <c r="AL54" s="11" t="s">
        <v>7</v>
      </c>
      <c r="AM54" s="11" t="s">
        <v>20</v>
      </c>
      <c r="AN54" s="11" t="s">
        <v>588</v>
      </c>
      <c r="AO54" s="11" t="s">
        <v>20</v>
      </c>
      <c r="AP54" s="11" t="s">
        <v>588</v>
      </c>
      <c r="AQ54" s="11" t="s">
        <v>588</v>
      </c>
      <c r="AR54" s="11" t="s">
        <v>588</v>
      </c>
      <c r="AS54" s="11" t="s">
        <v>588</v>
      </c>
      <c r="AT54" s="11" t="s">
        <v>588</v>
      </c>
      <c r="AU54" s="7" t="s">
        <v>588</v>
      </c>
      <c r="AV54" s="11" t="s">
        <v>588</v>
      </c>
      <c r="AW54" s="11" t="s">
        <v>588</v>
      </c>
      <c r="AX54" s="11" t="s">
        <v>588</v>
      </c>
      <c r="AY54" s="11" t="s">
        <v>588</v>
      </c>
      <c r="AZ54" s="11" t="s">
        <v>588</v>
      </c>
      <c r="BA54" s="7" t="s">
        <v>588</v>
      </c>
      <c r="BB54" s="11" t="s">
        <v>588</v>
      </c>
      <c r="BC54" s="11" t="s">
        <v>588</v>
      </c>
      <c r="BD54" s="11" t="s">
        <v>588</v>
      </c>
      <c r="BE54" s="11" t="s">
        <v>588</v>
      </c>
      <c r="BF54" s="11" t="s">
        <v>588</v>
      </c>
      <c r="BG54" s="7" t="s">
        <v>588</v>
      </c>
      <c r="BH54" s="11" t="s">
        <v>588</v>
      </c>
      <c r="BI54" s="11" t="s">
        <v>588</v>
      </c>
      <c r="BJ54" s="11" t="s">
        <v>588</v>
      </c>
      <c r="BK54" s="11" t="s">
        <v>588</v>
      </c>
      <c r="BL54" s="11" t="s">
        <v>588</v>
      </c>
      <c r="BM54" s="11" t="s">
        <v>588</v>
      </c>
      <c r="BN54" s="11" t="s">
        <v>588</v>
      </c>
      <c r="BO54" s="11" t="s">
        <v>588</v>
      </c>
      <c r="BP54" s="11" t="s">
        <v>588</v>
      </c>
      <c r="BQ54" s="11" t="s">
        <v>588</v>
      </c>
      <c r="BR54" s="11" t="s">
        <v>588</v>
      </c>
      <c r="BS54" s="11" t="s">
        <v>8</v>
      </c>
      <c r="BT54" s="11" t="s">
        <v>13</v>
      </c>
      <c r="BU54" s="11" t="s">
        <v>13</v>
      </c>
      <c r="BV54" s="11" t="s">
        <v>588</v>
      </c>
      <c r="BW54" s="11" t="s">
        <v>588</v>
      </c>
      <c r="BX54" s="11" t="s">
        <v>588</v>
      </c>
      <c r="BY54" s="11" t="s">
        <v>588</v>
      </c>
      <c r="BZ54" s="11" t="s">
        <v>588</v>
      </c>
    </row>
    <row r="55" spans="1:78" x14ac:dyDescent="0.25">
      <c r="A55" s="11">
        <v>202324</v>
      </c>
      <c r="B55" s="11" t="s">
        <v>76</v>
      </c>
      <c r="C55" s="11" t="s">
        <v>76</v>
      </c>
      <c r="D55" s="11" t="s">
        <v>55</v>
      </c>
      <c r="E55" s="11" t="s">
        <v>16</v>
      </c>
      <c r="F55" s="11">
        <v>1</v>
      </c>
      <c r="G55" s="11" t="s">
        <v>734</v>
      </c>
      <c r="H55" s="11" t="s">
        <v>734</v>
      </c>
      <c r="I55" s="13">
        <v>45288</v>
      </c>
      <c r="J55" s="11">
        <v>28</v>
      </c>
      <c r="K55" s="11">
        <v>12</v>
      </c>
      <c r="L55" s="11">
        <v>2023</v>
      </c>
      <c r="M55" s="11" t="s">
        <v>638</v>
      </c>
      <c r="N55" s="11" t="s">
        <v>7</v>
      </c>
      <c r="O55" s="11" t="s">
        <v>10</v>
      </c>
      <c r="P55" s="11" t="s">
        <v>588</v>
      </c>
      <c r="Q55" s="11" t="s">
        <v>588</v>
      </c>
      <c r="R55" s="11">
        <v>-38.676025000000003</v>
      </c>
      <c r="S55" s="11">
        <v>145.650375</v>
      </c>
      <c r="T55" s="11">
        <v>3</v>
      </c>
      <c r="U55" s="11">
        <v>3</v>
      </c>
      <c r="V55" s="11" t="s">
        <v>588</v>
      </c>
      <c r="W55" s="11" t="s">
        <v>588</v>
      </c>
      <c r="X55" s="11">
        <v>5</v>
      </c>
      <c r="Y55" s="11">
        <v>5</v>
      </c>
      <c r="Z55" s="11" t="s">
        <v>8</v>
      </c>
      <c r="AA55" s="13">
        <v>45301</v>
      </c>
      <c r="AB55" s="11">
        <v>10</v>
      </c>
      <c r="AC55" s="11">
        <v>1</v>
      </c>
      <c r="AD55" s="11">
        <v>2024</v>
      </c>
      <c r="AE55" s="13" t="s">
        <v>678</v>
      </c>
      <c r="AF55" s="11" t="s">
        <v>588</v>
      </c>
      <c r="AG55" s="13" t="s">
        <v>588</v>
      </c>
      <c r="AH55" s="11" t="s">
        <v>588</v>
      </c>
      <c r="AI55" s="11" t="s">
        <v>588</v>
      </c>
      <c r="AJ55" s="11" t="s">
        <v>588</v>
      </c>
      <c r="AK55" s="13" t="s">
        <v>588</v>
      </c>
      <c r="AL55" s="11" t="s">
        <v>588</v>
      </c>
      <c r="AM55" s="11" t="s">
        <v>588</v>
      </c>
      <c r="AN55" s="11" t="s">
        <v>588</v>
      </c>
      <c r="AO55" s="11" t="s">
        <v>588</v>
      </c>
      <c r="AP55" s="13">
        <v>45305</v>
      </c>
      <c r="AQ55" s="11" t="s">
        <v>12</v>
      </c>
      <c r="AR55" s="11" t="s">
        <v>195</v>
      </c>
      <c r="AS55" s="11">
        <v>3</v>
      </c>
      <c r="AT55" s="11">
        <v>3</v>
      </c>
      <c r="AU55" s="7">
        <v>45319</v>
      </c>
      <c r="AV55" s="13">
        <v>45325</v>
      </c>
      <c r="AW55" s="11" t="s">
        <v>21</v>
      </c>
      <c r="AX55" s="11" t="s">
        <v>20</v>
      </c>
      <c r="AY55" s="11" t="s">
        <v>588</v>
      </c>
      <c r="AZ55" s="11" t="s">
        <v>20</v>
      </c>
      <c r="BA55" s="7" t="s">
        <v>588</v>
      </c>
      <c r="BB55" s="11" t="s">
        <v>588</v>
      </c>
      <c r="BC55" s="11" t="s">
        <v>588</v>
      </c>
      <c r="BD55" s="11" t="s">
        <v>588</v>
      </c>
      <c r="BE55" s="11" t="s">
        <v>588</v>
      </c>
      <c r="BF55" s="11" t="s">
        <v>588</v>
      </c>
      <c r="BG55" s="7" t="s">
        <v>588</v>
      </c>
      <c r="BH55" s="11" t="s">
        <v>588</v>
      </c>
      <c r="BI55" s="11" t="s">
        <v>588</v>
      </c>
      <c r="BJ55" s="11" t="s">
        <v>588</v>
      </c>
      <c r="BK55" s="11" t="s">
        <v>588</v>
      </c>
      <c r="BL55" s="11" t="s">
        <v>588</v>
      </c>
      <c r="BM55" s="11">
        <v>16</v>
      </c>
      <c r="BN55" s="11">
        <v>16</v>
      </c>
      <c r="BO55" s="11" t="s">
        <v>8</v>
      </c>
      <c r="BP55" s="11">
        <v>2</v>
      </c>
      <c r="BQ55" s="13">
        <v>45341</v>
      </c>
      <c r="BR55" s="11" t="s">
        <v>21</v>
      </c>
      <c r="BS55" s="11" t="s">
        <v>8</v>
      </c>
      <c r="BT55" s="11" t="s">
        <v>9</v>
      </c>
      <c r="BU55" s="11" t="s">
        <v>9</v>
      </c>
      <c r="BV55" s="11" t="s">
        <v>8</v>
      </c>
      <c r="BW55" s="11" t="s">
        <v>65</v>
      </c>
      <c r="BX55" s="11" t="s">
        <v>65</v>
      </c>
      <c r="BY55" s="11" t="s">
        <v>588</v>
      </c>
      <c r="BZ55" s="11" t="s">
        <v>588</v>
      </c>
    </row>
    <row r="56" spans="1:78" x14ac:dyDescent="0.25">
      <c r="A56" s="11">
        <v>202324</v>
      </c>
      <c r="B56" s="11" t="s">
        <v>37</v>
      </c>
      <c r="C56" s="11" t="s">
        <v>37</v>
      </c>
      <c r="D56" s="11" t="s">
        <v>117</v>
      </c>
      <c r="E56" s="11" t="s">
        <v>16</v>
      </c>
      <c r="F56" s="11">
        <v>1</v>
      </c>
      <c r="G56" s="11" t="s">
        <v>735</v>
      </c>
      <c r="H56" s="11" t="s">
        <v>735</v>
      </c>
      <c r="I56" s="13">
        <v>45265</v>
      </c>
      <c r="J56" s="11">
        <v>5</v>
      </c>
      <c r="K56" s="11">
        <v>12</v>
      </c>
      <c r="L56" s="11">
        <v>2023</v>
      </c>
      <c r="M56" s="11" t="s">
        <v>639</v>
      </c>
      <c r="N56" s="11" t="s">
        <v>7</v>
      </c>
      <c r="O56" s="11" t="s">
        <v>10</v>
      </c>
      <c r="P56" s="11" t="s">
        <v>588</v>
      </c>
      <c r="Q56" s="11" t="s">
        <v>588</v>
      </c>
      <c r="R56" s="11">
        <v>-38.656734</v>
      </c>
      <c r="S56" s="11">
        <v>145.57507200000001</v>
      </c>
      <c r="T56" s="11">
        <v>1</v>
      </c>
      <c r="U56" s="11">
        <v>1</v>
      </c>
      <c r="V56" s="13" t="s">
        <v>588</v>
      </c>
      <c r="W56" s="11" t="s">
        <v>588</v>
      </c>
      <c r="X56" s="11">
        <v>2</v>
      </c>
      <c r="Y56" s="11">
        <v>2</v>
      </c>
      <c r="Z56" s="11" t="s">
        <v>41</v>
      </c>
      <c r="AA56" s="13">
        <v>45265</v>
      </c>
      <c r="AB56" s="11">
        <v>5</v>
      </c>
      <c r="AC56" s="11">
        <v>12</v>
      </c>
      <c r="AD56" s="11">
        <v>2023</v>
      </c>
      <c r="AE56" s="13" t="s">
        <v>639</v>
      </c>
      <c r="AF56" s="11" t="s">
        <v>7</v>
      </c>
      <c r="AG56" s="13">
        <v>45267</v>
      </c>
      <c r="AH56" s="11">
        <v>7</v>
      </c>
      <c r="AI56" s="11">
        <v>12</v>
      </c>
      <c r="AJ56" s="11">
        <v>2023</v>
      </c>
      <c r="AK56" s="13" t="s">
        <v>636</v>
      </c>
      <c r="AL56" s="11" t="s">
        <v>7</v>
      </c>
      <c r="AM56" s="11" t="s">
        <v>20</v>
      </c>
      <c r="AN56" s="11" t="s">
        <v>588</v>
      </c>
      <c r="AO56" s="11" t="s">
        <v>48</v>
      </c>
      <c r="AP56" s="13" t="s">
        <v>588</v>
      </c>
      <c r="AQ56" s="11" t="s">
        <v>588</v>
      </c>
      <c r="AR56" s="11" t="s">
        <v>588</v>
      </c>
      <c r="AS56" s="11" t="s">
        <v>588</v>
      </c>
      <c r="AT56" s="11" t="s">
        <v>588</v>
      </c>
      <c r="AU56" s="7" t="s">
        <v>588</v>
      </c>
      <c r="AV56" s="13" t="s">
        <v>588</v>
      </c>
      <c r="AW56" s="11" t="s">
        <v>588</v>
      </c>
      <c r="AX56" s="11" t="s">
        <v>588</v>
      </c>
      <c r="AY56" s="11" t="s">
        <v>588</v>
      </c>
      <c r="AZ56" s="11" t="s">
        <v>588</v>
      </c>
      <c r="BA56" s="7" t="s">
        <v>588</v>
      </c>
      <c r="BB56" s="11" t="s">
        <v>588</v>
      </c>
      <c r="BC56" s="11" t="s">
        <v>588</v>
      </c>
      <c r="BD56" s="11" t="s">
        <v>588</v>
      </c>
      <c r="BE56" s="11" t="s">
        <v>588</v>
      </c>
      <c r="BF56" s="11" t="s">
        <v>588</v>
      </c>
      <c r="BG56" s="7" t="s">
        <v>588</v>
      </c>
      <c r="BH56" s="11" t="s">
        <v>588</v>
      </c>
      <c r="BI56" s="11" t="s">
        <v>588</v>
      </c>
      <c r="BJ56" s="11" t="s">
        <v>588</v>
      </c>
      <c r="BK56" s="11" t="s">
        <v>588</v>
      </c>
      <c r="BL56" s="11" t="s">
        <v>588</v>
      </c>
      <c r="BM56" s="11" t="s">
        <v>588</v>
      </c>
      <c r="BN56" s="11" t="s">
        <v>588</v>
      </c>
      <c r="BO56" s="11" t="s">
        <v>588</v>
      </c>
      <c r="BP56" s="11" t="s">
        <v>588</v>
      </c>
      <c r="BQ56" s="13" t="s">
        <v>588</v>
      </c>
      <c r="BR56" s="11" t="s">
        <v>588</v>
      </c>
      <c r="BS56" s="11" t="s">
        <v>41</v>
      </c>
      <c r="BT56" s="11" t="s">
        <v>588</v>
      </c>
      <c r="BU56" s="11" t="s">
        <v>42</v>
      </c>
      <c r="BV56" s="11" t="s">
        <v>588</v>
      </c>
      <c r="BW56" s="11" t="s">
        <v>588</v>
      </c>
      <c r="BX56" s="11" t="s">
        <v>588</v>
      </c>
      <c r="BY56" s="11" t="s">
        <v>588</v>
      </c>
      <c r="BZ56" s="11" t="s">
        <v>588</v>
      </c>
    </row>
    <row r="57" spans="1:78" x14ac:dyDescent="0.25">
      <c r="A57" s="11">
        <v>202324</v>
      </c>
      <c r="B57" s="11" t="s">
        <v>37</v>
      </c>
      <c r="C57" s="11" t="s">
        <v>37</v>
      </c>
      <c r="D57" s="11" t="s">
        <v>117</v>
      </c>
      <c r="E57" s="11" t="s">
        <v>16</v>
      </c>
      <c r="F57" s="11">
        <v>2</v>
      </c>
      <c r="G57" s="11" t="s">
        <v>736</v>
      </c>
      <c r="H57" s="11" t="s">
        <v>736</v>
      </c>
      <c r="I57" s="13">
        <v>45275</v>
      </c>
      <c r="J57" s="11">
        <v>15</v>
      </c>
      <c r="K57" s="11">
        <v>12</v>
      </c>
      <c r="L57" s="11">
        <v>2023</v>
      </c>
      <c r="M57" s="11" t="s">
        <v>608</v>
      </c>
      <c r="N57" s="11" t="s">
        <v>7</v>
      </c>
      <c r="O57" s="11" t="s">
        <v>10</v>
      </c>
      <c r="P57" s="11">
        <v>-38.659759999999999</v>
      </c>
      <c r="Q57" s="11">
        <v>145.58099999999999</v>
      </c>
      <c r="R57" s="11" t="s">
        <v>588</v>
      </c>
      <c r="S57" s="11" t="s">
        <v>588</v>
      </c>
      <c r="T57" s="11">
        <v>3</v>
      </c>
      <c r="U57" s="11">
        <v>3</v>
      </c>
      <c r="V57" s="13" t="s">
        <v>588</v>
      </c>
      <c r="W57" s="11" t="s">
        <v>588</v>
      </c>
      <c r="X57" s="11">
        <v>5</v>
      </c>
      <c r="Y57" s="11">
        <v>5</v>
      </c>
      <c r="Z57" s="11" t="s">
        <v>41</v>
      </c>
      <c r="AA57" s="13">
        <v>45280</v>
      </c>
      <c r="AB57" s="11">
        <v>20</v>
      </c>
      <c r="AC57" s="11">
        <v>12</v>
      </c>
      <c r="AD57" s="11">
        <v>2023</v>
      </c>
      <c r="AE57" s="13" t="s">
        <v>737</v>
      </c>
      <c r="AF57" s="11" t="s">
        <v>7</v>
      </c>
      <c r="AG57" s="13">
        <v>45283</v>
      </c>
      <c r="AH57" s="11">
        <v>23</v>
      </c>
      <c r="AI57" s="11">
        <v>12</v>
      </c>
      <c r="AJ57" s="11">
        <v>2023</v>
      </c>
      <c r="AK57" s="13" t="s">
        <v>629</v>
      </c>
      <c r="AL57" s="11" t="s">
        <v>7</v>
      </c>
      <c r="AM57" s="11" t="s">
        <v>20</v>
      </c>
      <c r="AN57" s="11" t="s">
        <v>588</v>
      </c>
      <c r="AO57" s="11" t="s">
        <v>20</v>
      </c>
      <c r="AP57" s="13" t="s">
        <v>588</v>
      </c>
      <c r="AQ57" s="11" t="s">
        <v>588</v>
      </c>
      <c r="AR57" s="11" t="s">
        <v>588</v>
      </c>
      <c r="AS57" s="11" t="s">
        <v>588</v>
      </c>
      <c r="AT57" s="11" t="s">
        <v>588</v>
      </c>
      <c r="AU57" s="7" t="s">
        <v>588</v>
      </c>
      <c r="AV57" s="13" t="s">
        <v>588</v>
      </c>
      <c r="AW57" s="11" t="s">
        <v>588</v>
      </c>
      <c r="AX57" s="11" t="s">
        <v>588</v>
      </c>
      <c r="AY57" s="11" t="s">
        <v>588</v>
      </c>
      <c r="AZ57" s="11" t="s">
        <v>588</v>
      </c>
      <c r="BA57" s="7" t="s">
        <v>588</v>
      </c>
      <c r="BB57" s="11" t="s">
        <v>588</v>
      </c>
      <c r="BC57" s="11" t="s">
        <v>588</v>
      </c>
      <c r="BD57" s="11" t="s">
        <v>588</v>
      </c>
      <c r="BE57" s="11" t="s">
        <v>588</v>
      </c>
      <c r="BF57" s="11" t="s">
        <v>588</v>
      </c>
      <c r="BG57" s="7" t="s">
        <v>588</v>
      </c>
      <c r="BH57" s="11" t="s">
        <v>588</v>
      </c>
      <c r="BI57" s="11" t="s">
        <v>588</v>
      </c>
      <c r="BJ57" s="11" t="s">
        <v>588</v>
      </c>
      <c r="BK57" s="11" t="s">
        <v>588</v>
      </c>
      <c r="BL57" s="11" t="s">
        <v>588</v>
      </c>
      <c r="BM57" s="11" t="s">
        <v>588</v>
      </c>
      <c r="BN57" s="11" t="s">
        <v>588</v>
      </c>
      <c r="BO57" s="11" t="s">
        <v>588</v>
      </c>
      <c r="BP57" s="11" t="s">
        <v>588</v>
      </c>
      <c r="BQ57" s="13" t="s">
        <v>588</v>
      </c>
      <c r="BR57" s="11" t="s">
        <v>588</v>
      </c>
      <c r="BS57" s="11" t="s">
        <v>8</v>
      </c>
      <c r="BT57" s="11" t="s">
        <v>588</v>
      </c>
      <c r="BU57" s="11" t="s">
        <v>588</v>
      </c>
      <c r="BV57" s="11" t="s">
        <v>588</v>
      </c>
      <c r="BW57" s="11" t="s">
        <v>588</v>
      </c>
      <c r="BX57" s="11" t="s">
        <v>588</v>
      </c>
      <c r="BY57" s="11" t="s">
        <v>230</v>
      </c>
      <c r="BZ57" s="11" t="s">
        <v>588</v>
      </c>
    </row>
    <row r="58" spans="1:78" x14ac:dyDescent="0.25">
      <c r="A58" s="11">
        <v>202324</v>
      </c>
      <c r="B58" s="11" t="s">
        <v>37</v>
      </c>
      <c r="C58" s="11" t="s">
        <v>37</v>
      </c>
      <c r="D58" s="11" t="s">
        <v>117</v>
      </c>
      <c r="E58" s="11" t="s">
        <v>16</v>
      </c>
      <c r="F58" s="11">
        <v>3</v>
      </c>
      <c r="G58" s="11" t="s">
        <v>738</v>
      </c>
      <c r="H58" s="11" t="s">
        <v>738</v>
      </c>
      <c r="I58" s="13">
        <v>45297</v>
      </c>
      <c r="J58" s="11">
        <v>6</v>
      </c>
      <c r="K58" s="11">
        <v>1</v>
      </c>
      <c r="L58" s="11">
        <v>2024</v>
      </c>
      <c r="M58" s="11" t="s">
        <v>624</v>
      </c>
      <c r="N58" s="11" t="s">
        <v>12</v>
      </c>
      <c r="O58" s="11" t="s">
        <v>10</v>
      </c>
      <c r="P58" s="11" t="s">
        <v>588</v>
      </c>
      <c r="Q58" s="11" t="s">
        <v>588</v>
      </c>
      <c r="R58" s="11">
        <v>-38.655715000000001</v>
      </c>
      <c r="S58" s="11">
        <v>145.57342499999999</v>
      </c>
      <c r="T58" s="11">
        <v>3</v>
      </c>
      <c r="U58" s="11">
        <v>3</v>
      </c>
      <c r="V58" s="13" t="s">
        <v>588</v>
      </c>
      <c r="W58" s="11" t="s">
        <v>588</v>
      </c>
      <c r="X58" s="11">
        <v>4</v>
      </c>
      <c r="Y58" s="11">
        <v>4</v>
      </c>
      <c r="Z58" s="11" t="s">
        <v>41</v>
      </c>
      <c r="AA58" s="13">
        <v>45306</v>
      </c>
      <c r="AB58" s="11">
        <v>15</v>
      </c>
      <c r="AC58" s="11">
        <v>1</v>
      </c>
      <c r="AD58" s="11">
        <v>2024</v>
      </c>
      <c r="AE58" s="13" t="s">
        <v>631</v>
      </c>
      <c r="AF58" s="11" t="s">
        <v>12</v>
      </c>
      <c r="AG58" s="13">
        <v>45311</v>
      </c>
      <c r="AH58" s="11">
        <v>20</v>
      </c>
      <c r="AI58" s="11">
        <v>1</v>
      </c>
      <c r="AJ58" s="11">
        <v>2024</v>
      </c>
      <c r="AK58" s="13" t="s">
        <v>661</v>
      </c>
      <c r="AL58" s="11" t="s">
        <v>12</v>
      </c>
      <c r="AM58" s="11" t="s">
        <v>20</v>
      </c>
      <c r="AN58" s="11" t="s">
        <v>588</v>
      </c>
      <c r="AO58" s="11" t="s">
        <v>11</v>
      </c>
      <c r="AP58" s="13" t="s">
        <v>588</v>
      </c>
      <c r="AQ58" s="11" t="s">
        <v>588</v>
      </c>
      <c r="AR58" s="11" t="s">
        <v>588</v>
      </c>
      <c r="AS58" s="11" t="s">
        <v>588</v>
      </c>
      <c r="AT58" s="11" t="s">
        <v>588</v>
      </c>
      <c r="AU58" s="7" t="s">
        <v>588</v>
      </c>
      <c r="AV58" s="13" t="s">
        <v>588</v>
      </c>
      <c r="AW58" s="11" t="s">
        <v>588</v>
      </c>
      <c r="AX58" s="11" t="s">
        <v>588</v>
      </c>
      <c r="AY58" s="11" t="s">
        <v>588</v>
      </c>
      <c r="AZ58" s="11" t="s">
        <v>588</v>
      </c>
      <c r="BA58" s="7" t="s">
        <v>588</v>
      </c>
      <c r="BB58" s="11" t="s">
        <v>588</v>
      </c>
      <c r="BC58" s="11" t="s">
        <v>588</v>
      </c>
      <c r="BD58" s="11" t="s">
        <v>588</v>
      </c>
      <c r="BE58" s="11" t="s">
        <v>588</v>
      </c>
      <c r="BF58" s="11" t="s">
        <v>588</v>
      </c>
      <c r="BG58" s="7" t="s">
        <v>588</v>
      </c>
      <c r="BH58" s="11" t="s">
        <v>588</v>
      </c>
      <c r="BI58" s="11" t="s">
        <v>588</v>
      </c>
      <c r="BJ58" s="11" t="s">
        <v>588</v>
      </c>
      <c r="BK58" s="11" t="s">
        <v>588</v>
      </c>
      <c r="BL58" s="11" t="s">
        <v>588</v>
      </c>
      <c r="BM58" s="11" t="s">
        <v>588</v>
      </c>
      <c r="BN58" s="11" t="s">
        <v>588</v>
      </c>
      <c r="BO58" s="11" t="s">
        <v>588</v>
      </c>
      <c r="BP58" s="11" t="s">
        <v>588</v>
      </c>
      <c r="BQ58" s="13" t="s">
        <v>588</v>
      </c>
      <c r="BR58" s="11" t="s">
        <v>588</v>
      </c>
      <c r="BS58" s="11" t="s">
        <v>8</v>
      </c>
      <c r="BT58" s="11" t="s">
        <v>13</v>
      </c>
      <c r="BU58" s="11" t="s">
        <v>13</v>
      </c>
      <c r="BV58" s="11" t="s">
        <v>588</v>
      </c>
      <c r="BW58" s="11" t="s">
        <v>588</v>
      </c>
      <c r="BX58" s="11" t="s">
        <v>588</v>
      </c>
      <c r="BY58" s="11" t="s">
        <v>588</v>
      </c>
      <c r="BZ58" s="11" t="s">
        <v>588</v>
      </c>
    </row>
    <row r="59" spans="1:78" x14ac:dyDescent="0.25">
      <c r="A59" s="11">
        <v>202324</v>
      </c>
      <c r="B59" s="11" t="s">
        <v>37</v>
      </c>
      <c r="C59" s="11" t="s">
        <v>37</v>
      </c>
      <c r="D59" s="11" t="s">
        <v>117</v>
      </c>
      <c r="E59" s="11" t="s">
        <v>16</v>
      </c>
      <c r="F59" s="11">
        <v>4</v>
      </c>
      <c r="G59" s="11" t="s">
        <v>739</v>
      </c>
      <c r="H59" s="11" t="s">
        <v>739</v>
      </c>
      <c r="I59" s="13">
        <v>45318</v>
      </c>
      <c r="J59" s="11">
        <v>27</v>
      </c>
      <c r="K59" s="11">
        <v>1</v>
      </c>
      <c r="L59" s="11">
        <v>2024</v>
      </c>
      <c r="M59" s="11" t="s">
        <v>611</v>
      </c>
      <c r="N59" s="11" t="s">
        <v>12</v>
      </c>
      <c r="O59" s="11" t="s">
        <v>10</v>
      </c>
      <c r="P59" s="11" t="s">
        <v>588</v>
      </c>
      <c r="Q59" s="11" t="s">
        <v>588</v>
      </c>
      <c r="R59" s="11">
        <v>-38.656315999999997</v>
      </c>
      <c r="S59" s="11">
        <v>145.574386</v>
      </c>
      <c r="T59" s="11">
        <v>3</v>
      </c>
      <c r="U59" s="11">
        <v>3</v>
      </c>
      <c r="V59" s="13">
        <v>45323</v>
      </c>
      <c r="W59" s="11" t="s">
        <v>223</v>
      </c>
      <c r="X59" s="11">
        <v>8</v>
      </c>
      <c r="Y59" s="11">
        <v>8</v>
      </c>
      <c r="Z59" s="11" t="s">
        <v>41</v>
      </c>
      <c r="AA59" s="13">
        <v>45334</v>
      </c>
      <c r="AB59" s="11">
        <v>12</v>
      </c>
      <c r="AC59" s="11">
        <v>2</v>
      </c>
      <c r="AD59" s="11">
        <v>2024</v>
      </c>
      <c r="AE59" s="13" t="s">
        <v>718</v>
      </c>
      <c r="AF59" s="11" t="s">
        <v>21</v>
      </c>
      <c r="AG59" s="13">
        <v>45338</v>
      </c>
      <c r="AH59" s="11">
        <v>16</v>
      </c>
      <c r="AI59" s="11">
        <v>2</v>
      </c>
      <c r="AJ59" s="11">
        <v>2024</v>
      </c>
      <c r="AK59" s="13" t="s">
        <v>740</v>
      </c>
      <c r="AL59" s="11" t="s">
        <v>21</v>
      </c>
      <c r="AM59" s="11" t="s">
        <v>20</v>
      </c>
      <c r="AN59" s="11" t="s">
        <v>588</v>
      </c>
      <c r="AO59" s="11" t="s">
        <v>11</v>
      </c>
      <c r="AP59" s="13" t="s">
        <v>588</v>
      </c>
      <c r="AQ59" s="11" t="s">
        <v>588</v>
      </c>
      <c r="AR59" s="11" t="s">
        <v>588</v>
      </c>
      <c r="AS59" s="11" t="s">
        <v>588</v>
      </c>
      <c r="AT59" s="11" t="s">
        <v>588</v>
      </c>
      <c r="AU59" s="7" t="s">
        <v>588</v>
      </c>
      <c r="AV59" s="13" t="s">
        <v>588</v>
      </c>
      <c r="AW59" s="11" t="s">
        <v>588</v>
      </c>
      <c r="AX59" s="11" t="s">
        <v>588</v>
      </c>
      <c r="AY59" s="11" t="s">
        <v>588</v>
      </c>
      <c r="AZ59" s="11" t="s">
        <v>588</v>
      </c>
      <c r="BA59" s="7" t="s">
        <v>588</v>
      </c>
      <c r="BB59" s="11" t="s">
        <v>588</v>
      </c>
      <c r="BC59" s="11" t="s">
        <v>588</v>
      </c>
      <c r="BD59" s="11" t="s">
        <v>588</v>
      </c>
      <c r="BE59" s="11" t="s">
        <v>588</v>
      </c>
      <c r="BF59" s="11" t="s">
        <v>588</v>
      </c>
      <c r="BG59" s="7" t="s">
        <v>588</v>
      </c>
      <c r="BH59" s="11" t="s">
        <v>588</v>
      </c>
      <c r="BI59" s="11" t="s">
        <v>588</v>
      </c>
      <c r="BJ59" s="11" t="s">
        <v>588</v>
      </c>
      <c r="BK59" s="11" t="s">
        <v>588</v>
      </c>
      <c r="BL59" s="11" t="s">
        <v>588</v>
      </c>
      <c r="BM59" s="11" t="s">
        <v>588</v>
      </c>
      <c r="BN59" s="11" t="s">
        <v>588</v>
      </c>
      <c r="BO59" s="11" t="s">
        <v>588</v>
      </c>
      <c r="BP59" s="11" t="s">
        <v>588</v>
      </c>
      <c r="BQ59" s="13" t="s">
        <v>588</v>
      </c>
      <c r="BR59" s="11" t="s">
        <v>588</v>
      </c>
      <c r="BS59" s="11" t="s">
        <v>8</v>
      </c>
      <c r="BT59" s="11" t="s">
        <v>588</v>
      </c>
      <c r="BU59" s="11" t="s">
        <v>588</v>
      </c>
      <c r="BV59" s="11" t="s">
        <v>588</v>
      </c>
      <c r="BW59" s="11" t="s">
        <v>588</v>
      </c>
      <c r="BX59" s="11" t="s">
        <v>588</v>
      </c>
      <c r="BY59" s="11" t="s">
        <v>588</v>
      </c>
      <c r="BZ59" s="11" t="s">
        <v>588</v>
      </c>
    </row>
    <row r="60" spans="1:78" x14ac:dyDescent="0.25">
      <c r="A60" s="11">
        <v>202324</v>
      </c>
      <c r="B60" s="11" t="s">
        <v>351</v>
      </c>
      <c r="C60" s="11" t="s">
        <v>351</v>
      </c>
      <c r="D60" s="11" t="s">
        <v>352</v>
      </c>
      <c r="E60" s="11" t="s">
        <v>353</v>
      </c>
      <c r="F60" s="11">
        <v>1</v>
      </c>
      <c r="G60" s="11" t="s">
        <v>437</v>
      </c>
      <c r="H60" s="11" t="s">
        <v>741</v>
      </c>
      <c r="I60" s="13">
        <v>45264</v>
      </c>
      <c r="J60" s="11">
        <v>4</v>
      </c>
      <c r="K60" s="11">
        <v>12</v>
      </c>
      <c r="L60" s="11">
        <v>2023</v>
      </c>
      <c r="M60" s="11" t="s">
        <v>614</v>
      </c>
      <c r="N60" s="11" t="s">
        <v>7</v>
      </c>
      <c r="O60" s="11" t="s">
        <v>51</v>
      </c>
      <c r="P60" s="11">
        <v>-38.602148</v>
      </c>
      <c r="Q60" s="11">
        <v>145.52996200000001</v>
      </c>
      <c r="R60" s="11" t="s">
        <v>588</v>
      </c>
      <c r="S60" s="11" t="s">
        <v>588</v>
      </c>
      <c r="T60" s="11">
        <v>1</v>
      </c>
      <c r="U60" s="11">
        <v>3</v>
      </c>
      <c r="V60" s="13" t="s">
        <v>588</v>
      </c>
      <c r="W60" s="11" t="s">
        <v>588</v>
      </c>
      <c r="X60" s="11">
        <v>2</v>
      </c>
      <c r="Y60" s="11">
        <v>2</v>
      </c>
      <c r="Z60" s="11" t="s">
        <v>41</v>
      </c>
      <c r="AA60" s="13">
        <v>45264</v>
      </c>
      <c r="AB60" s="11">
        <v>4</v>
      </c>
      <c r="AC60" s="11">
        <v>12</v>
      </c>
      <c r="AD60" s="11">
        <v>2023</v>
      </c>
      <c r="AE60" s="13" t="s">
        <v>614</v>
      </c>
      <c r="AF60" s="11" t="s">
        <v>7</v>
      </c>
      <c r="AG60" s="13">
        <v>45289</v>
      </c>
      <c r="AH60" s="11">
        <v>29</v>
      </c>
      <c r="AI60" s="11">
        <v>12</v>
      </c>
      <c r="AJ60" s="11">
        <v>2023</v>
      </c>
      <c r="AK60" s="13" t="s">
        <v>615</v>
      </c>
      <c r="AL60" s="11" t="s">
        <v>7</v>
      </c>
      <c r="AM60" s="11" t="s">
        <v>20</v>
      </c>
      <c r="AN60" s="11" t="s">
        <v>588</v>
      </c>
      <c r="AO60" s="11" t="s">
        <v>20</v>
      </c>
      <c r="AP60" s="13" t="s">
        <v>588</v>
      </c>
      <c r="AQ60" s="11" t="s">
        <v>588</v>
      </c>
      <c r="AR60" s="11" t="s">
        <v>588</v>
      </c>
      <c r="AS60" s="11" t="s">
        <v>588</v>
      </c>
      <c r="AT60" s="11" t="s">
        <v>588</v>
      </c>
      <c r="AU60" s="7" t="s">
        <v>588</v>
      </c>
      <c r="AV60" s="13" t="s">
        <v>588</v>
      </c>
      <c r="AW60" s="11" t="s">
        <v>588</v>
      </c>
      <c r="AX60" s="11" t="s">
        <v>588</v>
      </c>
      <c r="AY60" s="11" t="s">
        <v>588</v>
      </c>
      <c r="AZ60" s="11" t="s">
        <v>588</v>
      </c>
      <c r="BA60" s="7" t="s">
        <v>588</v>
      </c>
      <c r="BB60" s="13" t="s">
        <v>588</v>
      </c>
      <c r="BC60" s="11" t="s">
        <v>588</v>
      </c>
      <c r="BD60" s="11" t="s">
        <v>588</v>
      </c>
      <c r="BE60" s="11" t="s">
        <v>588</v>
      </c>
      <c r="BF60" s="11" t="s">
        <v>588</v>
      </c>
      <c r="BG60" s="7" t="s">
        <v>588</v>
      </c>
      <c r="BH60" s="11" t="s">
        <v>588</v>
      </c>
      <c r="BI60" s="11" t="s">
        <v>588</v>
      </c>
      <c r="BJ60" s="11" t="s">
        <v>588</v>
      </c>
      <c r="BK60" s="11" t="s">
        <v>588</v>
      </c>
      <c r="BL60" s="11" t="s">
        <v>588</v>
      </c>
      <c r="BM60" s="11" t="s">
        <v>588</v>
      </c>
      <c r="BN60" s="11" t="s">
        <v>588</v>
      </c>
      <c r="BO60" s="11" t="s">
        <v>588</v>
      </c>
      <c r="BP60" s="11" t="s">
        <v>588</v>
      </c>
      <c r="BQ60" s="13" t="s">
        <v>588</v>
      </c>
      <c r="BR60" s="11" t="s">
        <v>588</v>
      </c>
      <c r="BS60" s="11" t="s">
        <v>41</v>
      </c>
      <c r="BT60" s="11" t="s">
        <v>588</v>
      </c>
      <c r="BU60" s="11" t="s">
        <v>42</v>
      </c>
      <c r="BV60" s="11" t="s">
        <v>588</v>
      </c>
      <c r="BW60" s="11" t="s">
        <v>588</v>
      </c>
      <c r="BX60" s="11" t="s">
        <v>588</v>
      </c>
      <c r="BY60" s="11" t="s">
        <v>588</v>
      </c>
      <c r="BZ60" s="11" t="s">
        <v>588</v>
      </c>
    </row>
    <row r="61" spans="1:78" x14ac:dyDescent="0.25">
      <c r="A61" s="11">
        <v>202324</v>
      </c>
      <c r="B61" s="11" t="s">
        <v>351</v>
      </c>
      <c r="C61" s="11" t="s">
        <v>351</v>
      </c>
      <c r="D61" s="11" t="s">
        <v>352</v>
      </c>
      <c r="E61" s="11" t="s">
        <v>353</v>
      </c>
      <c r="F61" s="11">
        <v>2</v>
      </c>
      <c r="G61" s="11" t="s">
        <v>438</v>
      </c>
      <c r="H61" s="11" t="s">
        <v>742</v>
      </c>
      <c r="I61" s="13">
        <v>45304</v>
      </c>
      <c r="J61" s="11">
        <v>13</v>
      </c>
      <c r="K61" s="11">
        <v>1</v>
      </c>
      <c r="L61" s="11">
        <v>2024</v>
      </c>
      <c r="M61" s="11" t="s">
        <v>601</v>
      </c>
      <c r="N61" s="11" t="s">
        <v>12</v>
      </c>
      <c r="O61" s="11" t="s">
        <v>10</v>
      </c>
      <c r="P61" s="11">
        <v>-38.601168999999999</v>
      </c>
      <c r="Q61" s="11">
        <v>145.52922599999999</v>
      </c>
      <c r="R61" s="11" t="s">
        <v>588</v>
      </c>
      <c r="S61" s="11" t="s">
        <v>588</v>
      </c>
      <c r="T61" s="11">
        <v>3</v>
      </c>
      <c r="U61" s="11">
        <v>3</v>
      </c>
      <c r="V61" s="13" t="s">
        <v>588</v>
      </c>
      <c r="W61" s="11" t="s">
        <v>588</v>
      </c>
      <c r="X61" s="11">
        <v>3</v>
      </c>
      <c r="Y61" s="11">
        <v>3</v>
      </c>
      <c r="Z61" s="11" t="s">
        <v>41</v>
      </c>
      <c r="AA61" s="13">
        <v>45316</v>
      </c>
      <c r="AB61" s="11">
        <v>25</v>
      </c>
      <c r="AC61" s="11">
        <v>1</v>
      </c>
      <c r="AD61" s="11">
        <v>2024</v>
      </c>
      <c r="AE61" s="13" t="s">
        <v>651</v>
      </c>
      <c r="AF61" s="11" t="s">
        <v>12</v>
      </c>
      <c r="AG61" s="13">
        <v>45352</v>
      </c>
      <c r="AH61" s="11">
        <v>1</v>
      </c>
      <c r="AI61" s="11">
        <v>3</v>
      </c>
      <c r="AJ61" s="11">
        <v>2024</v>
      </c>
      <c r="AK61" s="13" t="s">
        <v>637</v>
      </c>
      <c r="AL61" s="11" t="s">
        <v>22</v>
      </c>
      <c r="AM61" s="11" t="s">
        <v>20</v>
      </c>
      <c r="AN61" s="11" t="s">
        <v>588</v>
      </c>
      <c r="AO61" s="11" t="s">
        <v>20</v>
      </c>
      <c r="AP61" s="13" t="s">
        <v>588</v>
      </c>
      <c r="AQ61" s="11" t="s">
        <v>588</v>
      </c>
      <c r="AR61" s="11" t="s">
        <v>588</v>
      </c>
      <c r="AS61" s="11" t="s">
        <v>588</v>
      </c>
      <c r="AT61" s="11" t="s">
        <v>588</v>
      </c>
      <c r="AU61" s="7" t="s">
        <v>588</v>
      </c>
      <c r="AV61" s="13" t="s">
        <v>588</v>
      </c>
      <c r="AW61" s="11" t="s">
        <v>588</v>
      </c>
      <c r="AX61" s="11" t="s">
        <v>588</v>
      </c>
      <c r="AY61" s="11" t="s">
        <v>588</v>
      </c>
      <c r="AZ61" s="11" t="s">
        <v>588</v>
      </c>
      <c r="BA61" s="7" t="s">
        <v>588</v>
      </c>
      <c r="BB61" s="13" t="s">
        <v>588</v>
      </c>
      <c r="BC61" s="11" t="s">
        <v>588</v>
      </c>
      <c r="BD61" s="11" t="s">
        <v>588</v>
      </c>
      <c r="BE61" s="11" t="s">
        <v>588</v>
      </c>
      <c r="BF61" s="11" t="s">
        <v>588</v>
      </c>
      <c r="BG61" s="7" t="s">
        <v>588</v>
      </c>
      <c r="BH61" s="11" t="s">
        <v>588</v>
      </c>
      <c r="BI61" s="11" t="s">
        <v>588</v>
      </c>
      <c r="BJ61" s="11" t="s">
        <v>588</v>
      </c>
      <c r="BK61" s="11" t="s">
        <v>588</v>
      </c>
      <c r="BL61" s="11" t="s">
        <v>588</v>
      </c>
      <c r="BM61" s="11" t="s">
        <v>588</v>
      </c>
      <c r="BN61" s="11" t="s">
        <v>588</v>
      </c>
      <c r="BO61" s="11" t="s">
        <v>588</v>
      </c>
      <c r="BP61" s="11" t="s">
        <v>588</v>
      </c>
      <c r="BQ61" s="13" t="s">
        <v>588</v>
      </c>
      <c r="BR61" s="11" t="s">
        <v>588</v>
      </c>
      <c r="BS61" s="11" t="s">
        <v>41</v>
      </c>
      <c r="BT61" s="11" t="s">
        <v>588</v>
      </c>
      <c r="BU61" s="11" t="s">
        <v>42</v>
      </c>
      <c r="BV61" s="11" t="s">
        <v>588</v>
      </c>
      <c r="BW61" s="11" t="s">
        <v>588</v>
      </c>
      <c r="BX61" s="11" t="s">
        <v>588</v>
      </c>
      <c r="BY61" s="11" t="s">
        <v>588</v>
      </c>
      <c r="BZ61" s="11" t="s">
        <v>588</v>
      </c>
    </row>
    <row r="62" spans="1:78" x14ac:dyDescent="0.25">
      <c r="A62" s="11">
        <v>202324</v>
      </c>
      <c r="B62" s="11" t="s">
        <v>351</v>
      </c>
      <c r="C62" s="11" t="s">
        <v>351</v>
      </c>
      <c r="D62" s="11" t="s">
        <v>352</v>
      </c>
      <c r="E62" s="11" t="s">
        <v>353</v>
      </c>
      <c r="F62" s="11">
        <v>3</v>
      </c>
      <c r="G62" s="11" t="s">
        <v>439</v>
      </c>
      <c r="H62" s="11" t="s">
        <v>743</v>
      </c>
      <c r="I62" s="13">
        <v>45352</v>
      </c>
      <c r="J62" s="11">
        <v>1</v>
      </c>
      <c r="K62" s="11">
        <v>3</v>
      </c>
      <c r="L62" s="11">
        <v>2024</v>
      </c>
      <c r="M62" s="11" t="s">
        <v>637</v>
      </c>
      <c r="N62" s="11" t="s">
        <v>22</v>
      </c>
      <c r="O62" s="11" t="s">
        <v>10</v>
      </c>
      <c r="P62" s="11" t="s">
        <v>588</v>
      </c>
      <c r="Q62" s="11" t="s">
        <v>588</v>
      </c>
      <c r="R62" s="11">
        <v>-38.601168999999999</v>
      </c>
      <c r="S62" s="11">
        <v>145.52922599999999</v>
      </c>
      <c r="T62" s="11">
        <v>2</v>
      </c>
      <c r="U62" s="11">
        <v>3</v>
      </c>
      <c r="V62" s="13" t="s">
        <v>588</v>
      </c>
      <c r="W62" s="11" t="s">
        <v>588</v>
      </c>
      <c r="X62" s="11">
        <v>2</v>
      </c>
      <c r="Y62" s="11">
        <v>2</v>
      </c>
      <c r="Z62" s="11" t="s">
        <v>41</v>
      </c>
      <c r="AA62" s="13">
        <v>45352</v>
      </c>
      <c r="AB62" s="11">
        <v>1</v>
      </c>
      <c r="AC62" s="11">
        <v>3</v>
      </c>
      <c r="AD62" s="11">
        <v>2024</v>
      </c>
      <c r="AE62" s="13" t="s">
        <v>637</v>
      </c>
      <c r="AF62" s="11" t="s">
        <v>22</v>
      </c>
      <c r="AG62" s="13">
        <v>45366</v>
      </c>
      <c r="AH62" s="11">
        <v>15</v>
      </c>
      <c r="AI62" s="11">
        <v>3</v>
      </c>
      <c r="AJ62" s="11">
        <v>2024</v>
      </c>
      <c r="AK62" s="13" t="s">
        <v>744</v>
      </c>
      <c r="AL62" s="11" t="s">
        <v>22</v>
      </c>
      <c r="AM62" s="11" t="s">
        <v>20</v>
      </c>
      <c r="AN62" s="11" t="s">
        <v>588</v>
      </c>
      <c r="AO62" s="11" t="s">
        <v>20</v>
      </c>
      <c r="AP62" s="13" t="s">
        <v>588</v>
      </c>
      <c r="AQ62" s="11" t="s">
        <v>588</v>
      </c>
      <c r="AR62" s="11" t="s">
        <v>588</v>
      </c>
      <c r="AS62" s="11" t="s">
        <v>588</v>
      </c>
      <c r="AT62" s="11" t="s">
        <v>588</v>
      </c>
      <c r="AU62" s="7" t="s">
        <v>588</v>
      </c>
      <c r="AV62" s="13" t="s">
        <v>588</v>
      </c>
      <c r="AW62" s="11" t="s">
        <v>588</v>
      </c>
      <c r="AX62" s="11" t="s">
        <v>588</v>
      </c>
      <c r="AY62" s="11" t="s">
        <v>588</v>
      </c>
      <c r="AZ62" s="11" t="s">
        <v>588</v>
      </c>
      <c r="BA62" s="7" t="s">
        <v>588</v>
      </c>
      <c r="BB62" s="13" t="s">
        <v>588</v>
      </c>
      <c r="BC62" s="11" t="s">
        <v>588</v>
      </c>
      <c r="BD62" s="11" t="s">
        <v>588</v>
      </c>
      <c r="BE62" s="11" t="s">
        <v>588</v>
      </c>
      <c r="BF62" s="11" t="s">
        <v>588</v>
      </c>
      <c r="BG62" s="7" t="s">
        <v>588</v>
      </c>
      <c r="BH62" s="11" t="s">
        <v>588</v>
      </c>
      <c r="BI62" s="11" t="s">
        <v>588</v>
      </c>
      <c r="BJ62" s="11" t="s">
        <v>588</v>
      </c>
      <c r="BK62" s="11" t="s">
        <v>588</v>
      </c>
      <c r="BL62" s="11" t="s">
        <v>588</v>
      </c>
      <c r="BM62" s="11" t="s">
        <v>588</v>
      </c>
      <c r="BN62" s="11" t="s">
        <v>588</v>
      </c>
      <c r="BO62" s="11" t="s">
        <v>588</v>
      </c>
      <c r="BP62" s="11" t="s">
        <v>588</v>
      </c>
      <c r="BQ62" s="13" t="s">
        <v>588</v>
      </c>
      <c r="BR62" s="11" t="s">
        <v>588</v>
      </c>
      <c r="BS62" s="11" t="s">
        <v>8</v>
      </c>
      <c r="BT62" s="11" t="s">
        <v>112</v>
      </c>
      <c r="BU62" s="11" t="s">
        <v>112</v>
      </c>
      <c r="BV62" s="11" t="s">
        <v>588</v>
      </c>
      <c r="BW62" s="11" t="s">
        <v>588</v>
      </c>
      <c r="BX62" s="11" t="s">
        <v>588</v>
      </c>
      <c r="BY62" s="11" t="s">
        <v>588</v>
      </c>
      <c r="BZ62" s="11" t="s">
        <v>588</v>
      </c>
    </row>
    <row r="63" spans="1:78" x14ac:dyDescent="0.25">
      <c r="A63" s="11">
        <v>202324</v>
      </c>
      <c r="B63" s="11" t="s">
        <v>359</v>
      </c>
      <c r="C63" s="11" t="s">
        <v>359</v>
      </c>
      <c r="D63" s="11" t="s">
        <v>360</v>
      </c>
      <c r="E63" s="11" t="s">
        <v>440</v>
      </c>
      <c r="F63" s="11">
        <v>1</v>
      </c>
      <c r="G63" s="11" t="s">
        <v>441</v>
      </c>
      <c r="H63" s="11" t="s">
        <v>745</v>
      </c>
      <c r="I63" s="13">
        <v>45250</v>
      </c>
      <c r="J63" s="11">
        <v>20</v>
      </c>
      <c r="K63" s="11">
        <v>11</v>
      </c>
      <c r="L63" s="11">
        <v>2023</v>
      </c>
      <c r="M63" s="11" t="s">
        <v>628</v>
      </c>
      <c r="N63" s="11" t="s">
        <v>17</v>
      </c>
      <c r="O63" s="11" t="s">
        <v>51</v>
      </c>
      <c r="P63" s="11">
        <v>-38.590282000000002</v>
      </c>
      <c r="Q63" s="11">
        <v>145.51828699999999</v>
      </c>
      <c r="R63" s="11" t="s">
        <v>588</v>
      </c>
      <c r="S63" s="11" t="s">
        <v>588</v>
      </c>
      <c r="T63" s="11">
        <v>2</v>
      </c>
      <c r="U63" s="11">
        <v>2</v>
      </c>
      <c r="V63" s="13" t="s">
        <v>588</v>
      </c>
      <c r="W63" s="11" t="s">
        <v>588</v>
      </c>
      <c r="X63" s="11">
        <v>8</v>
      </c>
      <c r="Y63" s="11">
        <v>8</v>
      </c>
      <c r="Z63" s="11" t="s">
        <v>8</v>
      </c>
      <c r="AA63" s="13">
        <v>45281</v>
      </c>
      <c r="AB63" s="11">
        <v>21</v>
      </c>
      <c r="AC63" s="11">
        <v>12</v>
      </c>
      <c r="AD63" s="11">
        <v>2023</v>
      </c>
      <c r="AE63" s="13" t="s">
        <v>746</v>
      </c>
      <c r="AF63" s="11" t="s">
        <v>588</v>
      </c>
      <c r="AG63" s="11" t="s">
        <v>588</v>
      </c>
      <c r="AH63" s="11" t="s">
        <v>588</v>
      </c>
      <c r="AI63" s="11" t="s">
        <v>588</v>
      </c>
      <c r="AJ63" s="11" t="s">
        <v>588</v>
      </c>
      <c r="AK63" s="13" t="s">
        <v>588</v>
      </c>
      <c r="AL63" s="11" t="s">
        <v>588</v>
      </c>
      <c r="AM63" s="11" t="s">
        <v>588</v>
      </c>
      <c r="AN63" s="11" t="s">
        <v>588</v>
      </c>
      <c r="AO63" s="11" t="s">
        <v>588</v>
      </c>
      <c r="AP63" s="13">
        <v>45289</v>
      </c>
      <c r="AQ63" s="11" t="s">
        <v>7</v>
      </c>
      <c r="AR63" s="11" t="s">
        <v>195</v>
      </c>
      <c r="AS63" s="11">
        <v>1</v>
      </c>
      <c r="AT63" s="11">
        <v>2</v>
      </c>
      <c r="AU63" s="7" t="s">
        <v>588</v>
      </c>
      <c r="AV63" s="13" t="s">
        <v>588</v>
      </c>
      <c r="AW63" s="11" t="s">
        <v>588</v>
      </c>
      <c r="AX63" s="11" t="s">
        <v>588</v>
      </c>
      <c r="AY63" s="11" t="s">
        <v>588</v>
      </c>
      <c r="AZ63" s="11" t="s">
        <v>588</v>
      </c>
      <c r="BA63" s="7" t="s">
        <v>588</v>
      </c>
      <c r="BB63" s="13" t="s">
        <v>588</v>
      </c>
      <c r="BC63" s="11" t="s">
        <v>588</v>
      </c>
      <c r="BD63" s="11" t="s">
        <v>588</v>
      </c>
      <c r="BE63" s="11" t="s">
        <v>588</v>
      </c>
      <c r="BF63" s="11" t="s">
        <v>588</v>
      </c>
      <c r="BG63" s="7" t="s">
        <v>588</v>
      </c>
      <c r="BH63" s="11" t="s">
        <v>588</v>
      </c>
      <c r="BI63" s="11" t="s">
        <v>588</v>
      </c>
      <c r="BJ63" s="11" t="s">
        <v>588</v>
      </c>
      <c r="BK63" s="11" t="s">
        <v>588</v>
      </c>
      <c r="BL63" s="11" t="s">
        <v>588</v>
      </c>
      <c r="BM63" s="11">
        <v>5</v>
      </c>
      <c r="BN63" s="11">
        <v>5</v>
      </c>
      <c r="BO63" s="11" t="s">
        <v>8</v>
      </c>
      <c r="BP63" s="11">
        <v>1</v>
      </c>
      <c r="BQ63" s="13">
        <v>45324</v>
      </c>
      <c r="BR63" s="11" t="s">
        <v>21</v>
      </c>
      <c r="BS63" s="11" t="s">
        <v>8</v>
      </c>
      <c r="BT63" s="11" t="s">
        <v>65</v>
      </c>
      <c r="BU63" s="11" t="s">
        <v>65</v>
      </c>
      <c r="BV63" s="11" t="s">
        <v>8</v>
      </c>
      <c r="BW63" s="11" t="s">
        <v>90</v>
      </c>
      <c r="BX63" s="11" t="s">
        <v>90</v>
      </c>
      <c r="BY63" s="11" t="s">
        <v>588</v>
      </c>
      <c r="BZ63" s="11" t="s">
        <v>588</v>
      </c>
    </row>
    <row r="64" spans="1:78" x14ac:dyDescent="0.25">
      <c r="A64" s="11">
        <v>202324</v>
      </c>
      <c r="B64" s="11" t="s">
        <v>359</v>
      </c>
      <c r="C64" s="11" t="s">
        <v>359</v>
      </c>
      <c r="D64" s="11" t="s">
        <v>360</v>
      </c>
      <c r="E64" s="11" t="s">
        <v>16</v>
      </c>
      <c r="F64" s="11">
        <v>2</v>
      </c>
      <c r="G64" s="11" t="s">
        <v>442</v>
      </c>
      <c r="H64" s="11" t="s">
        <v>747</v>
      </c>
      <c r="I64" s="13">
        <v>45336</v>
      </c>
      <c r="J64" s="11">
        <v>14</v>
      </c>
      <c r="K64" s="11">
        <v>2</v>
      </c>
      <c r="L64" s="11">
        <v>2024</v>
      </c>
      <c r="M64" s="11" t="s">
        <v>640</v>
      </c>
      <c r="N64" s="11" t="s">
        <v>21</v>
      </c>
      <c r="O64" s="11" t="s">
        <v>51</v>
      </c>
      <c r="P64" s="11">
        <v>-38.592725999999999</v>
      </c>
      <c r="Q64" s="11">
        <v>145.520747</v>
      </c>
      <c r="R64" s="11" t="s">
        <v>588</v>
      </c>
      <c r="S64" s="11" t="s">
        <v>588</v>
      </c>
      <c r="T64" s="11">
        <v>3</v>
      </c>
      <c r="U64" s="11">
        <v>3</v>
      </c>
      <c r="V64" s="13" t="s">
        <v>588</v>
      </c>
      <c r="W64" s="11" t="s">
        <v>588</v>
      </c>
      <c r="X64" s="11">
        <v>8</v>
      </c>
      <c r="Y64" s="11">
        <v>8</v>
      </c>
      <c r="Z64" s="11" t="s">
        <v>8</v>
      </c>
      <c r="AA64" s="13">
        <v>45358</v>
      </c>
      <c r="AB64" s="11">
        <v>7</v>
      </c>
      <c r="AC64" s="11">
        <v>3</v>
      </c>
      <c r="AD64" s="11">
        <v>2024</v>
      </c>
      <c r="AE64" s="13" t="s">
        <v>748</v>
      </c>
      <c r="AF64" s="11" t="s">
        <v>588</v>
      </c>
      <c r="AG64" s="11" t="s">
        <v>588</v>
      </c>
      <c r="AH64" s="11" t="s">
        <v>588</v>
      </c>
      <c r="AI64" s="11" t="s">
        <v>588</v>
      </c>
      <c r="AJ64" s="11" t="s">
        <v>588</v>
      </c>
      <c r="AK64" s="13" t="s">
        <v>588</v>
      </c>
      <c r="AL64" s="11" t="s">
        <v>588</v>
      </c>
      <c r="AM64" s="11" t="s">
        <v>588</v>
      </c>
      <c r="AN64" s="11" t="s">
        <v>588</v>
      </c>
      <c r="AO64" s="11" t="s">
        <v>588</v>
      </c>
      <c r="AP64" s="13">
        <v>45366</v>
      </c>
      <c r="AQ64" s="11" t="s">
        <v>22</v>
      </c>
      <c r="AR64" s="11" t="s">
        <v>195</v>
      </c>
      <c r="AS64" s="11">
        <v>2</v>
      </c>
      <c r="AT64" s="11">
        <v>3</v>
      </c>
      <c r="AU64" s="7">
        <v>45399</v>
      </c>
      <c r="AV64" s="13">
        <v>45402</v>
      </c>
      <c r="AW64" s="11" t="s">
        <v>72</v>
      </c>
      <c r="AX64" s="11" t="s">
        <v>20</v>
      </c>
      <c r="AY64" s="11" t="s">
        <v>588</v>
      </c>
      <c r="AZ64" s="11" t="s">
        <v>20</v>
      </c>
      <c r="BA64" s="7" t="s">
        <v>588</v>
      </c>
      <c r="BB64" s="13" t="s">
        <v>588</v>
      </c>
      <c r="BC64" s="11" t="s">
        <v>588</v>
      </c>
      <c r="BD64" s="11" t="s">
        <v>588</v>
      </c>
      <c r="BE64" s="11" t="s">
        <v>588</v>
      </c>
      <c r="BF64" s="11" t="s">
        <v>588</v>
      </c>
      <c r="BG64" s="7" t="s">
        <v>588</v>
      </c>
      <c r="BH64" s="11" t="s">
        <v>588</v>
      </c>
      <c r="BI64" s="11" t="s">
        <v>588</v>
      </c>
      <c r="BJ64" s="11" t="s">
        <v>588</v>
      </c>
      <c r="BK64" s="11" t="s">
        <v>588</v>
      </c>
      <c r="BL64" s="11" t="s">
        <v>588</v>
      </c>
      <c r="BM64" s="11">
        <v>10</v>
      </c>
      <c r="BN64" s="11">
        <v>10</v>
      </c>
      <c r="BO64" s="11" t="s">
        <v>8</v>
      </c>
      <c r="BP64" s="11">
        <v>1</v>
      </c>
      <c r="BQ64" s="13">
        <v>45402</v>
      </c>
      <c r="BR64" s="11" t="s">
        <v>72</v>
      </c>
      <c r="BS64" s="11" t="s">
        <v>8</v>
      </c>
      <c r="BT64" s="11" t="s">
        <v>65</v>
      </c>
      <c r="BU64" s="11" t="s">
        <v>65</v>
      </c>
      <c r="BV64" s="11" t="s">
        <v>8</v>
      </c>
      <c r="BW64" s="11" t="s">
        <v>65</v>
      </c>
      <c r="BX64" s="11" t="s">
        <v>65</v>
      </c>
      <c r="BY64" s="11" t="s">
        <v>588</v>
      </c>
      <c r="BZ64" s="11" t="s">
        <v>588</v>
      </c>
    </row>
    <row r="65" spans="1:78" x14ac:dyDescent="0.25">
      <c r="A65" s="11">
        <v>202324</v>
      </c>
      <c r="B65" s="11" t="s">
        <v>365</v>
      </c>
      <c r="C65" s="11" t="s">
        <v>365</v>
      </c>
      <c r="D65" s="11" t="s">
        <v>367</v>
      </c>
      <c r="E65" s="11" t="s">
        <v>16</v>
      </c>
      <c r="F65" s="11">
        <v>1</v>
      </c>
      <c r="G65" s="11" t="s">
        <v>443</v>
      </c>
      <c r="H65" s="11" t="s">
        <v>749</v>
      </c>
      <c r="I65" s="13">
        <v>45226</v>
      </c>
      <c r="J65" s="11">
        <v>27</v>
      </c>
      <c r="K65" s="11">
        <v>10</v>
      </c>
      <c r="L65" s="11">
        <v>2023</v>
      </c>
      <c r="M65" s="11" t="s">
        <v>641</v>
      </c>
      <c r="N65" s="11" t="s">
        <v>29</v>
      </c>
      <c r="O65" s="11" t="s">
        <v>51</v>
      </c>
      <c r="P65" s="11">
        <v>-38.593609999999998</v>
      </c>
      <c r="Q65" s="11">
        <v>145.521852</v>
      </c>
      <c r="R65" s="11" t="s">
        <v>588</v>
      </c>
      <c r="S65" s="11" t="s">
        <v>588</v>
      </c>
      <c r="T65" s="11">
        <v>1</v>
      </c>
      <c r="U65" s="11">
        <v>3</v>
      </c>
      <c r="V65" s="13" t="s">
        <v>588</v>
      </c>
      <c r="W65" s="11" t="s">
        <v>588</v>
      </c>
      <c r="X65" s="11">
        <v>3</v>
      </c>
      <c r="Y65" s="11">
        <v>3</v>
      </c>
      <c r="Z65" s="11" t="s">
        <v>41</v>
      </c>
      <c r="AA65" s="13">
        <v>45231</v>
      </c>
      <c r="AB65" s="11">
        <v>1</v>
      </c>
      <c r="AC65" s="11">
        <v>11</v>
      </c>
      <c r="AD65" s="11">
        <v>2023</v>
      </c>
      <c r="AE65" s="13" t="s">
        <v>690</v>
      </c>
      <c r="AF65" s="11" t="s">
        <v>17</v>
      </c>
      <c r="AG65" s="13">
        <v>45233</v>
      </c>
      <c r="AH65" s="11">
        <v>3</v>
      </c>
      <c r="AI65" s="11">
        <v>11</v>
      </c>
      <c r="AJ65" s="11">
        <v>2023</v>
      </c>
      <c r="AK65" s="13" t="s">
        <v>750</v>
      </c>
      <c r="AL65" s="11" t="s">
        <v>17</v>
      </c>
      <c r="AM65" s="11" t="s">
        <v>20</v>
      </c>
      <c r="AN65" s="11" t="s">
        <v>588</v>
      </c>
      <c r="AO65" s="11" t="s">
        <v>20</v>
      </c>
      <c r="AP65" s="13" t="s">
        <v>588</v>
      </c>
      <c r="AQ65" s="11" t="s">
        <v>588</v>
      </c>
      <c r="AR65" s="11" t="s">
        <v>588</v>
      </c>
      <c r="AS65" s="11" t="s">
        <v>588</v>
      </c>
      <c r="AT65" s="11" t="s">
        <v>588</v>
      </c>
      <c r="AU65" s="7" t="s">
        <v>588</v>
      </c>
      <c r="AV65" s="13" t="s">
        <v>588</v>
      </c>
      <c r="AW65" s="11" t="s">
        <v>588</v>
      </c>
      <c r="AX65" s="11" t="s">
        <v>588</v>
      </c>
      <c r="AY65" s="11" t="s">
        <v>588</v>
      </c>
      <c r="AZ65" s="11" t="s">
        <v>588</v>
      </c>
      <c r="BA65" s="7" t="s">
        <v>588</v>
      </c>
      <c r="BB65" s="13" t="s">
        <v>588</v>
      </c>
      <c r="BC65" s="11" t="s">
        <v>588</v>
      </c>
      <c r="BD65" s="11" t="s">
        <v>588</v>
      </c>
      <c r="BE65" s="11" t="s">
        <v>588</v>
      </c>
      <c r="BF65" s="11" t="s">
        <v>588</v>
      </c>
      <c r="BG65" s="7" t="s">
        <v>588</v>
      </c>
      <c r="BH65" s="11" t="s">
        <v>588</v>
      </c>
      <c r="BI65" s="11" t="s">
        <v>588</v>
      </c>
      <c r="BJ65" s="11" t="s">
        <v>588</v>
      </c>
      <c r="BK65" s="11" t="s">
        <v>588</v>
      </c>
      <c r="BL65" s="11" t="s">
        <v>588</v>
      </c>
      <c r="BM65" s="11" t="s">
        <v>588</v>
      </c>
      <c r="BN65" s="11" t="s">
        <v>588</v>
      </c>
      <c r="BO65" s="11" t="s">
        <v>588</v>
      </c>
      <c r="BP65" s="11" t="s">
        <v>588</v>
      </c>
      <c r="BQ65" s="13" t="s">
        <v>588</v>
      </c>
      <c r="BR65" s="11" t="s">
        <v>588</v>
      </c>
      <c r="BS65" s="11" t="s">
        <v>8</v>
      </c>
      <c r="BT65" s="11" t="s">
        <v>113</v>
      </c>
      <c r="BU65" s="11" t="s">
        <v>113</v>
      </c>
      <c r="BV65" s="11" t="s">
        <v>588</v>
      </c>
      <c r="BW65" s="11" t="s">
        <v>588</v>
      </c>
      <c r="BX65" s="11" t="s">
        <v>588</v>
      </c>
      <c r="BY65" s="11" t="s">
        <v>588</v>
      </c>
      <c r="BZ65" s="11" t="s">
        <v>588</v>
      </c>
    </row>
    <row r="66" spans="1:78" x14ac:dyDescent="0.25">
      <c r="A66" s="11">
        <v>202324</v>
      </c>
      <c r="B66" s="11" t="s">
        <v>365</v>
      </c>
      <c r="C66" s="11" t="s">
        <v>365</v>
      </c>
      <c r="D66" s="11" t="s">
        <v>367</v>
      </c>
      <c r="E66" s="11" t="s">
        <v>16</v>
      </c>
      <c r="F66" s="11">
        <v>2</v>
      </c>
      <c r="G66" s="11" t="s">
        <v>444</v>
      </c>
      <c r="H66" s="11" t="s">
        <v>751</v>
      </c>
      <c r="I66" s="13">
        <v>45237</v>
      </c>
      <c r="J66" s="11">
        <v>7</v>
      </c>
      <c r="K66" s="11">
        <v>11</v>
      </c>
      <c r="L66" s="11">
        <v>2023</v>
      </c>
      <c r="M66" s="11" t="s">
        <v>642</v>
      </c>
      <c r="N66" s="11" t="s">
        <v>17</v>
      </c>
      <c r="O66" s="11" t="s">
        <v>36</v>
      </c>
      <c r="P66" s="11">
        <v>-38.594844999999999</v>
      </c>
      <c r="Q66" s="11">
        <v>145.522773</v>
      </c>
      <c r="R66" s="11" t="s">
        <v>588</v>
      </c>
      <c r="S66" s="11" t="s">
        <v>588</v>
      </c>
      <c r="T66" s="11">
        <v>2</v>
      </c>
      <c r="U66" s="11">
        <v>2</v>
      </c>
      <c r="V66" s="13" t="s">
        <v>588</v>
      </c>
      <c r="W66" s="11" t="s">
        <v>588</v>
      </c>
      <c r="X66" s="11">
        <v>3</v>
      </c>
      <c r="Y66" s="11">
        <v>3</v>
      </c>
      <c r="Z66" s="11" t="s">
        <v>41</v>
      </c>
      <c r="AA66" s="13">
        <v>45240</v>
      </c>
      <c r="AB66" s="11">
        <v>10</v>
      </c>
      <c r="AC66" s="11">
        <v>11</v>
      </c>
      <c r="AD66" s="11">
        <v>2023</v>
      </c>
      <c r="AE66" s="13" t="s">
        <v>752</v>
      </c>
      <c r="AF66" s="11" t="s">
        <v>17</v>
      </c>
      <c r="AG66" s="13">
        <v>45245</v>
      </c>
      <c r="AH66" s="11">
        <v>15</v>
      </c>
      <c r="AI66" s="11">
        <v>11</v>
      </c>
      <c r="AJ66" s="11">
        <v>2023</v>
      </c>
      <c r="AK66" s="13" t="s">
        <v>753</v>
      </c>
      <c r="AL66" s="11" t="s">
        <v>17</v>
      </c>
      <c r="AM66" s="11" t="s">
        <v>20</v>
      </c>
      <c r="AN66" s="11" t="s">
        <v>588</v>
      </c>
      <c r="AO66" s="11" t="s">
        <v>32</v>
      </c>
      <c r="AP66" s="13" t="s">
        <v>588</v>
      </c>
      <c r="AQ66" s="11" t="s">
        <v>588</v>
      </c>
      <c r="AR66" s="11" t="s">
        <v>588</v>
      </c>
      <c r="AS66" s="11" t="s">
        <v>588</v>
      </c>
      <c r="AT66" s="11" t="s">
        <v>588</v>
      </c>
      <c r="AU66" s="7" t="s">
        <v>588</v>
      </c>
      <c r="AV66" s="13" t="s">
        <v>588</v>
      </c>
      <c r="AW66" s="11" t="s">
        <v>588</v>
      </c>
      <c r="AX66" s="11" t="s">
        <v>588</v>
      </c>
      <c r="AY66" s="11" t="s">
        <v>588</v>
      </c>
      <c r="AZ66" s="11" t="s">
        <v>588</v>
      </c>
      <c r="BA66" s="7" t="s">
        <v>588</v>
      </c>
      <c r="BB66" s="13" t="s">
        <v>588</v>
      </c>
      <c r="BC66" s="11" t="s">
        <v>588</v>
      </c>
      <c r="BD66" s="11" t="s">
        <v>588</v>
      </c>
      <c r="BE66" s="11" t="s">
        <v>588</v>
      </c>
      <c r="BF66" s="11" t="s">
        <v>588</v>
      </c>
      <c r="BG66" s="7" t="s">
        <v>588</v>
      </c>
      <c r="BH66" s="11" t="s">
        <v>588</v>
      </c>
      <c r="BI66" s="11" t="s">
        <v>588</v>
      </c>
      <c r="BJ66" s="11" t="s">
        <v>588</v>
      </c>
      <c r="BK66" s="11" t="s">
        <v>588</v>
      </c>
      <c r="BL66" s="11" t="s">
        <v>588</v>
      </c>
      <c r="BM66" s="11" t="s">
        <v>588</v>
      </c>
      <c r="BN66" s="11" t="s">
        <v>588</v>
      </c>
      <c r="BO66" s="11" t="s">
        <v>588</v>
      </c>
      <c r="BP66" s="11" t="s">
        <v>588</v>
      </c>
      <c r="BQ66" s="13" t="s">
        <v>588</v>
      </c>
      <c r="BR66" s="11" t="s">
        <v>588</v>
      </c>
      <c r="BS66" s="11" t="s">
        <v>8</v>
      </c>
      <c r="BT66" s="11" t="s">
        <v>9</v>
      </c>
      <c r="BU66" s="11" t="s">
        <v>9</v>
      </c>
      <c r="BV66" s="11" t="s">
        <v>588</v>
      </c>
      <c r="BW66" s="11" t="s">
        <v>588</v>
      </c>
      <c r="BX66" s="11" t="s">
        <v>588</v>
      </c>
      <c r="BY66" s="11" t="s">
        <v>588</v>
      </c>
      <c r="BZ66" s="11" t="s">
        <v>588</v>
      </c>
    </row>
    <row r="67" spans="1:78" x14ac:dyDescent="0.25">
      <c r="A67" s="11">
        <v>202324</v>
      </c>
      <c r="B67" s="11" t="s">
        <v>365</v>
      </c>
      <c r="C67" s="11" t="s">
        <v>365</v>
      </c>
      <c r="D67" s="11" t="s">
        <v>367</v>
      </c>
      <c r="E67" s="11" t="s">
        <v>16</v>
      </c>
      <c r="F67" s="11">
        <v>3</v>
      </c>
      <c r="G67" s="11" t="s">
        <v>445</v>
      </c>
      <c r="H67" s="11" t="s">
        <v>754</v>
      </c>
      <c r="I67" s="13">
        <v>45289</v>
      </c>
      <c r="J67" s="11">
        <v>29</v>
      </c>
      <c r="K67" s="11">
        <v>12</v>
      </c>
      <c r="L67" s="11">
        <v>2023</v>
      </c>
      <c r="M67" s="11" t="s">
        <v>615</v>
      </c>
      <c r="N67" s="11" t="s">
        <v>7</v>
      </c>
      <c r="O67" s="11" t="s">
        <v>10</v>
      </c>
      <c r="P67" s="11">
        <v>-38.595103000000002</v>
      </c>
      <c r="Q67" s="11">
        <v>145.52323699999999</v>
      </c>
      <c r="R67" s="11" t="s">
        <v>588</v>
      </c>
      <c r="S67" s="11" t="s">
        <v>588</v>
      </c>
      <c r="T67" s="11">
        <v>2</v>
      </c>
      <c r="U67" s="11">
        <v>2</v>
      </c>
      <c r="V67" s="13" t="s">
        <v>588</v>
      </c>
      <c r="W67" s="11" t="s">
        <v>588</v>
      </c>
      <c r="X67" s="11">
        <v>5</v>
      </c>
      <c r="Y67" s="11">
        <v>5</v>
      </c>
      <c r="Z67" s="11" t="s">
        <v>41</v>
      </c>
      <c r="AA67" s="13">
        <v>45313</v>
      </c>
      <c r="AB67" s="11">
        <v>22</v>
      </c>
      <c r="AC67" s="11">
        <v>1</v>
      </c>
      <c r="AD67" s="11">
        <v>2024</v>
      </c>
      <c r="AE67" s="13" t="s">
        <v>755</v>
      </c>
      <c r="AF67" s="11" t="s">
        <v>12</v>
      </c>
      <c r="AG67" s="13">
        <v>45324</v>
      </c>
      <c r="AH67" s="11">
        <v>2</v>
      </c>
      <c r="AI67" s="11">
        <v>2</v>
      </c>
      <c r="AJ67" s="11">
        <v>2024</v>
      </c>
      <c r="AK67" s="13" t="s">
        <v>643</v>
      </c>
      <c r="AL67" s="11" t="s">
        <v>21</v>
      </c>
      <c r="AM67" s="11" t="s">
        <v>20</v>
      </c>
      <c r="AN67" s="11" t="s">
        <v>588</v>
      </c>
      <c r="AO67" s="11" t="s">
        <v>20</v>
      </c>
      <c r="AP67" s="13" t="s">
        <v>588</v>
      </c>
      <c r="AQ67" s="11" t="s">
        <v>588</v>
      </c>
      <c r="AR67" s="11" t="s">
        <v>588</v>
      </c>
      <c r="AS67" s="11" t="s">
        <v>588</v>
      </c>
      <c r="AT67" s="11" t="s">
        <v>588</v>
      </c>
      <c r="AU67" s="7" t="s">
        <v>588</v>
      </c>
      <c r="AV67" s="13" t="s">
        <v>588</v>
      </c>
      <c r="AW67" s="11" t="s">
        <v>588</v>
      </c>
      <c r="AX67" s="11" t="s">
        <v>588</v>
      </c>
      <c r="AY67" s="11" t="s">
        <v>588</v>
      </c>
      <c r="AZ67" s="11" t="s">
        <v>588</v>
      </c>
      <c r="BA67" s="7" t="s">
        <v>588</v>
      </c>
      <c r="BB67" s="13" t="s">
        <v>588</v>
      </c>
      <c r="BC67" s="11" t="s">
        <v>588</v>
      </c>
      <c r="BD67" s="11" t="s">
        <v>588</v>
      </c>
      <c r="BE67" s="11" t="s">
        <v>588</v>
      </c>
      <c r="BF67" s="11" t="s">
        <v>588</v>
      </c>
      <c r="BG67" s="7" t="s">
        <v>588</v>
      </c>
      <c r="BH67" s="11" t="s">
        <v>588</v>
      </c>
      <c r="BI67" s="11" t="s">
        <v>588</v>
      </c>
      <c r="BJ67" s="11" t="s">
        <v>588</v>
      </c>
      <c r="BK67" s="11" t="s">
        <v>588</v>
      </c>
      <c r="BL67" s="11" t="s">
        <v>588</v>
      </c>
      <c r="BM67" s="11" t="s">
        <v>588</v>
      </c>
      <c r="BN67" s="11" t="s">
        <v>588</v>
      </c>
      <c r="BO67" s="11" t="s">
        <v>588</v>
      </c>
      <c r="BP67" s="11" t="s">
        <v>588</v>
      </c>
      <c r="BQ67" s="13" t="s">
        <v>588</v>
      </c>
      <c r="BR67" s="11" t="s">
        <v>588</v>
      </c>
      <c r="BS67" s="11" t="s">
        <v>8</v>
      </c>
      <c r="BT67" s="11" t="s">
        <v>9</v>
      </c>
      <c r="BU67" s="11" t="s">
        <v>9</v>
      </c>
      <c r="BV67" s="11" t="s">
        <v>588</v>
      </c>
      <c r="BW67" s="11" t="s">
        <v>588</v>
      </c>
      <c r="BX67" s="11" t="s">
        <v>588</v>
      </c>
      <c r="BY67" s="11" t="s">
        <v>588</v>
      </c>
      <c r="BZ67" s="11" t="s">
        <v>588</v>
      </c>
    </row>
    <row r="68" spans="1:78" x14ac:dyDescent="0.25">
      <c r="A68" s="11">
        <v>202324</v>
      </c>
      <c r="B68" s="11" t="s">
        <v>365</v>
      </c>
      <c r="C68" s="11" t="s">
        <v>365</v>
      </c>
      <c r="D68" s="11" t="s">
        <v>367</v>
      </c>
      <c r="E68" s="11" t="s">
        <v>16</v>
      </c>
      <c r="F68" s="11">
        <v>4</v>
      </c>
      <c r="G68" s="11" t="s">
        <v>446</v>
      </c>
      <c r="H68" s="11" t="s">
        <v>756</v>
      </c>
      <c r="I68" s="13">
        <v>45324</v>
      </c>
      <c r="J68" s="11">
        <v>2</v>
      </c>
      <c r="K68" s="11">
        <v>2</v>
      </c>
      <c r="L68" s="11">
        <v>2024</v>
      </c>
      <c r="M68" s="11" t="s">
        <v>643</v>
      </c>
      <c r="N68" s="11" t="s">
        <v>21</v>
      </c>
      <c r="O68" s="11" t="s">
        <v>10</v>
      </c>
      <c r="P68" s="11">
        <v>-38.593328</v>
      </c>
      <c r="Q68" s="11">
        <v>145.521255</v>
      </c>
      <c r="R68" s="11" t="s">
        <v>588</v>
      </c>
      <c r="S68" s="11" t="s">
        <v>588</v>
      </c>
      <c r="T68" s="11">
        <v>3</v>
      </c>
      <c r="U68" s="11">
        <v>3</v>
      </c>
      <c r="V68" s="13" t="s">
        <v>588</v>
      </c>
      <c r="W68" s="11" t="s">
        <v>588</v>
      </c>
      <c r="X68" s="11">
        <v>4</v>
      </c>
      <c r="Y68" s="11">
        <v>4</v>
      </c>
      <c r="Z68" s="11" t="s">
        <v>41</v>
      </c>
      <c r="AA68" s="13">
        <v>45336</v>
      </c>
      <c r="AB68" s="11">
        <v>14</v>
      </c>
      <c r="AC68" s="11">
        <v>2</v>
      </c>
      <c r="AD68" s="11">
        <v>2024</v>
      </c>
      <c r="AE68" s="13" t="s">
        <v>640</v>
      </c>
      <c r="AF68" s="11" t="s">
        <v>21</v>
      </c>
      <c r="AG68" s="13">
        <v>45341</v>
      </c>
      <c r="AH68" s="11">
        <v>19</v>
      </c>
      <c r="AI68" s="11">
        <v>2</v>
      </c>
      <c r="AJ68" s="11">
        <v>2024</v>
      </c>
      <c r="AK68" s="13" t="s">
        <v>757</v>
      </c>
      <c r="AL68" s="11" t="s">
        <v>21</v>
      </c>
      <c r="AM68" s="11" t="s">
        <v>20</v>
      </c>
      <c r="AN68" s="11" t="s">
        <v>588</v>
      </c>
      <c r="AO68" s="11" t="s">
        <v>32</v>
      </c>
      <c r="AP68" s="13" t="s">
        <v>588</v>
      </c>
      <c r="AQ68" s="11" t="s">
        <v>588</v>
      </c>
      <c r="AR68" s="11" t="s">
        <v>588</v>
      </c>
      <c r="AS68" s="11" t="s">
        <v>588</v>
      </c>
      <c r="AT68" s="11" t="s">
        <v>588</v>
      </c>
      <c r="AU68" s="7" t="s">
        <v>588</v>
      </c>
      <c r="AV68" s="13" t="s">
        <v>588</v>
      </c>
      <c r="AW68" s="11" t="s">
        <v>588</v>
      </c>
      <c r="AX68" s="11" t="s">
        <v>588</v>
      </c>
      <c r="AY68" s="11" t="s">
        <v>588</v>
      </c>
      <c r="AZ68" s="11" t="s">
        <v>588</v>
      </c>
      <c r="BA68" s="7" t="s">
        <v>588</v>
      </c>
      <c r="BB68" s="13" t="s">
        <v>588</v>
      </c>
      <c r="BC68" s="11" t="s">
        <v>588</v>
      </c>
      <c r="BD68" s="11" t="s">
        <v>588</v>
      </c>
      <c r="BE68" s="11" t="s">
        <v>588</v>
      </c>
      <c r="BF68" s="11" t="s">
        <v>588</v>
      </c>
      <c r="BG68" s="7" t="s">
        <v>588</v>
      </c>
      <c r="BH68" s="11" t="s">
        <v>588</v>
      </c>
      <c r="BI68" s="11" t="s">
        <v>588</v>
      </c>
      <c r="BJ68" s="11" t="s">
        <v>588</v>
      </c>
      <c r="BK68" s="11" t="s">
        <v>588</v>
      </c>
      <c r="BL68" s="11" t="s">
        <v>588</v>
      </c>
      <c r="BM68" s="11" t="s">
        <v>588</v>
      </c>
      <c r="BN68" s="11" t="s">
        <v>588</v>
      </c>
      <c r="BO68" s="11" t="s">
        <v>588</v>
      </c>
      <c r="BP68" s="11" t="s">
        <v>588</v>
      </c>
      <c r="BQ68" s="13" t="s">
        <v>588</v>
      </c>
      <c r="BR68" s="11" t="s">
        <v>588</v>
      </c>
      <c r="BS68" s="11" t="s">
        <v>8</v>
      </c>
      <c r="BT68" s="11" t="s">
        <v>9</v>
      </c>
      <c r="BU68" s="11" t="s">
        <v>9</v>
      </c>
      <c r="BV68" s="11" t="s">
        <v>588</v>
      </c>
      <c r="BW68" s="11" t="s">
        <v>588</v>
      </c>
      <c r="BX68" s="11" t="s">
        <v>588</v>
      </c>
      <c r="BY68" s="11" t="s">
        <v>588</v>
      </c>
      <c r="BZ68" s="11" t="s">
        <v>588</v>
      </c>
    </row>
    <row r="69" spans="1:78" x14ac:dyDescent="0.25">
      <c r="A69" s="11">
        <v>202324</v>
      </c>
      <c r="B69" s="11" t="s">
        <v>43</v>
      </c>
      <c r="C69" s="11" t="s">
        <v>43</v>
      </c>
      <c r="D69" s="11" t="s">
        <v>53</v>
      </c>
      <c r="E69" s="11" t="s">
        <v>108</v>
      </c>
      <c r="F69" s="11">
        <v>1</v>
      </c>
      <c r="G69" s="11" t="s">
        <v>905</v>
      </c>
      <c r="H69" s="11" t="s">
        <v>905</v>
      </c>
      <c r="I69" s="13">
        <v>45298</v>
      </c>
      <c r="J69" s="11">
        <v>7</v>
      </c>
      <c r="K69" s="11">
        <v>1</v>
      </c>
      <c r="L69" s="11">
        <v>2024</v>
      </c>
      <c r="M69" s="11" t="s">
        <v>644</v>
      </c>
      <c r="N69" s="11" t="s">
        <v>12</v>
      </c>
      <c r="O69" s="11" t="s">
        <v>10</v>
      </c>
      <c r="P69" s="11" t="s">
        <v>588</v>
      </c>
      <c r="Q69" s="11" t="s">
        <v>588</v>
      </c>
      <c r="R69" s="11">
        <v>-38.668407000000002</v>
      </c>
      <c r="S69" s="11">
        <v>145.58944700000001</v>
      </c>
      <c r="T69" s="11">
        <v>2</v>
      </c>
      <c r="U69" s="11">
        <v>2</v>
      </c>
      <c r="V69" s="11" t="s">
        <v>588</v>
      </c>
      <c r="W69" s="11" t="s">
        <v>588</v>
      </c>
      <c r="X69" s="11">
        <v>3</v>
      </c>
      <c r="Y69" s="11">
        <v>3</v>
      </c>
      <c r="Z69" s="11" t="s">
        <v>41</v>
      </c>
      <c r="AA69" s="13">
        <v>45300</v>
      </c>
      <c r="AB69" s="11">
        <v>9</v>
      </c>
      <c r="AC69" s="11">
        <v>1</v>
      </c>
      <c r="AD69" s="11">
        <v>2024</v>
      </c>
      <c r="AE69" s="13" t="s">
        <v>646</v>
      </c>
      <c r="AF69" s="11" t="s">
        <v>12</v>
      </c>
      <c r="AG69" s="13">
        <v>45305</v>
      </c>
      <c r="AH69" s="11">
        <v>14</v>
      </c>
      <c r="AI69" s="11">
        <v>1</v>
      </c>
      <c r="AJ69" s="11">
        <v>2024</v>
      </c>
      <c r="AK69" s="13" t="s">
        <v>616</v>
      </c>
      <c r="AL69" s="11" t="s">
        <v>12</v>
      </c>
      <c r="AM69" s="11" t="s">
        <v>20</v>
      </c>
      <c r="AN69" s="11" t="s">
        <v>588</v>
      </c>
      <c r="AO69" s="11" t="s">
        <v>20</v>
      </c>
      <c r="AP69" s="13" t="s">
        <v>588</v>
      </c>
      <c r="AQ69" s="11" t="s">
        <v>588</v>
      </c>
      <c r="AR69" s="11" t="s">
        <v>588</v>
      </c>
      <c r="AS69" s="11" t="s">
        <v>588</v>
      </c>
      <c r="AT69" s="11" t="s">
        <v>588</v>
      </c>
      <c r="AU69" s="7" t="s">
        <v>588</v>
      </c>
      <c r="AV69" s="13" t="s">
        <v>588</v>
      </c>
      <c r="AW69" s="11" t="s">
        <v>588</v>
      </c>
      <c r="AX69" s="11" t="s">
        <v>588</v>
      </c>
      <c r="AY69" s="11" t="s">
        <v>588</v>
      </c>
      <c r="AZ69" s="11" t="s">
        <v>588</v>
      </c>
      <c r="BA69" s="7" t="s">
        <v>588</v>
      </c>
      <c r="BB69" s="13" t="s">
        <v>588</v>
      </c>
      <c r="BC69" s="11" t="s">
        <v>588</v>
      </c>
      <c r="BD69" s="11" t="s">
        <v>588</v>
      </c>
      <c r="BE69" s="11" t="s">
        <v>588</v>
      </c>
      <c r="BF69" s="11" t="s">
        <v>588</v>
      </c>
      <c r="BG69" s="7" t="s">
        <v>588</v>
      </c>
      <c r="BH69" s="11" t="s">
        <v>588</v>
      </c>
      <c r="BI69" s="11" t="s">
        <v>588</v>
      </c>
      <c r="BJ69" s="11" t="s">
        <v>588</v>
      </c>
      <c r="BK69" s="11" t="s">
        <v>588</v>
      </c>
      <c r="BL69" s="11" t="s">
        <v>588</v>
      </c>
      <c r="BM69" s="11" t="s">
        <v>588</v>
      </c>
      <c r="BN69" s="11" t="s">
        <v>588</v>
      </c>
      <c r="BO69" s="11" t="s">
        <v>588</v>
      </c>
      <c r="BP69" s="11" t="s">
        <v>588</v>
      </c>
      <c r="BQ69" s="13" t="s">
        <v>588</v>
      </c>
      <c r="BR69" s="11" t="s">
        <v>588</v>
      </c>
      <c r="BS69" s="11" t="s">
        <v>8</v>
      </c>
      <c r="BT69" s="11" t="s">
        <v>588</v>
      </c>
      <c r="BU69" s="11" t="s">
        <v>588</v>
      </c>
      <c r="BV69" s="11" t="s">
        <v>588</v>
      </c>
      <c r="BW69" s="11" t="s">
        <v>588</v>
      </c>
      <c r="BX69" s="11" t="s">
        <v>588</v>
      </c>
      <c r="BY69" s="11" t="s">
        <v>588</v>
      </c>
      <c r="BZ69" s="11" t="s">
        <v>588</v>
      </c>
    </row>
    <row r="70" spans="1:78" x14ac:dyDescent="0.25">
      <c r="A70" s="11">
        <v>202324</v>
      </c>
      <c r="B70" s="11" t="s">
        <v>54</v>
      </c>
      <c r="C70" s="11" t="s">
        <v>54</v>
      </c>
      <c r="D70" s="11" t="s">
        <v>99</v>
      </c>
      <c r="E70" s="11" t="s">
        <v>16</v>
      </c>
      <c r="F70" s="11">
        <v>1</v>
      </c>
      <c r="G70" s="11" t="s">
        <v>906</v>
      </c>
      <c r="H70" s="11" t="s">
        <v>906</v>
      </c>
      <c r="I70" s="13">
        <v>45260</v>
      </c>
      <c r="J70" s="11">
        <v>30</v>
      </c>
      <c r="K70" s="11">
        <v>11</v>
      </c>
      <c r="L70" s="11">
        <v>2023</v>
      </c>
      <c r="M70" s="11" t="s">
        <v>645</v>
      </c>
      <c r="N70" s="11" t="s">
        <v>17</v>
      </c>
      <c r="O70" s="11" t="s">
        <v>51</v>
      </c>
      <c r="P70" s="11" t="s">
        <v>588</v>
      </c>
      <c r="Q70" s="11" t="s">
        <v>588</v>
      </c>
      <c r="R70" s="11">
        <v>-38.672440000000002</v>
      </c>
      <c r="S70" s="11">
        <v>145.59873999999999</v>
      </c>
      <c r="T70" s="11">
        <v>3</v>
      </c>
      <c r="U70" s="11">
        <v>3</v>
      </c>
      <c r="V70" s="11" t="s">
        <v>588</v>
      </c>
      <c r="W70" s="11" t="s">
        <v>588</v>
      </c>
      <c r="X70" s="11">
        <v>18</v>
      </c>
      <c r="Y70" s="11">
        <v>17</v>
      </c>
      <c r="Z70" s="11" t="s">
        <v>41</v>
      </c>
      <c r="AA70" s="13">
        <v>45289</v>
      </c>
      <c r="AB70" s="11">
        <v>29</v>
      </c>
      <c r="AC70" s="11">
        <v>12</v>
      </c>
      <c r="AD70" s="11">
        <v>2023</v>
      </c>
      <c r="AE70" s="13" t="s">
        <v>615</v>
      </c>
      <c r="AF70" s="11" t="s">
        <v>7</v>
      </c>
      <c r="AG70" s="13">
        <v>45289</v>
      </c>
      <c r="AH70" s="11">
        <v>29</v>
      </c>
      <c r="AI70" s="11">
        <v>12</v>
      </c>
      <c r="AJ70" s="11">
        <v>2023</v>
      </c>
      <c r="AK70" s="13" t="s">
        <v>615</v>
      </c>
      <c r="AL70" s="11" t="s">
        <v>7</v>
      </c>
      <c r="AM70" s="11" t="s">
        <v>20</v>
      </c>
      <c r="AN70" s="11" t="s">
        <v>588</v>
      </c>
      <c r="AO70" s="11" t="s">
        <v>20</v>
      </c>
      <c r="AP70" s="11" t="s">
        <v>588</v>
      </c>
      <c r="AQ70" s="11" t="s">
        <v>588</v>
      </c>
      <c r="AR70" s="11" t="s">
        <v>588</v>
      </c>
      <c r="AS70" s="11" t="s">
        <v>588</v>
      </c>
      <c r="AT70" s="11" t="s">
        <v>588</v>
      </c>
      <c r="AU70" s="7" t="s">
        <v>588</v>
      </c>
      <c r="AV70" s="11" t="s">
        <v>588</v>
      </c>
      <c r="AW70" s="11" t="s">
        <v>588</v>
      </c>
      <c r="AX70" s="11" t="s">
        <v>588</v>
      </c>
      <c r="AY70" s="11" t="s">
        <v>588</v>
      </c>
      <c r="AZ70" s="11" t="s">
        <v>588</v>
      </c>
      <c r="BA70" s="7" t="s">
        <v>588</v>
      </c>
      <c r="BB70" s="11" t="s">
        <v>588</v>
      </c>
      <c r="BC70" s="11" t="s">
        <v>588</v>
      </c>
      <c r="BD70" s="11" t="s">
        <v>588</v>
      </c>
      <c r="BE70" s="11" t="s">
        <v>588</v>
      </c>
      <c r="BF70" s="11" t="s">
        <v>588</v>
      </c>
      <c r="BG70" s="7" t="s">
        <v>588</v>
      </c>
      <c r="BH70" s="11" t="s">
        <v>588</v>
      </c>
      <c r="BI70" s="11" t="s">
        <v>588</v>
      </c>
      <c r="BJ70" s="11" t="s">
        <v>588</v>
      </c>
      <c r="BK70" s="11" t="s">
        <v>588</v>
      </c>
      <c r="BL70" s="11" t="s">
        <v>588</v>
      </c>
      <c r="BM70" s="11" t="s">
        <v>588</v>
      </c>
      <c r="BN70" s="11" t="s">
        <v>588</v>
      </c>
      <c r="BO70" s="11" t="s">
        <v>588</v>
      </c>
      <c r="BP70" s="11" t="s">
        <v>588</v>
      </c>
      <c r="BQ70" s="11" t="s">
        <v>588</v>
      </c>
      <c r="BR70" s="11" t="s">
        <v>588</v>
      </c>
      <c r="BS70" s="11" t="s">
        <v>8</v>
      </c>
      <c r="BT70" s="11" t="s">
        <v>9</v>
      </c>
      <c r="BU70" s="11" t="s">
        <v>9</v>
      </c>
      <c r="BV70" s="11" t="s">
        <v>588</v>
      </c>
      <c r="BW70" s="11" t="s">
        <v>588</v>
      </c>
      <c r="BX70" s="11" t="s">
        <v>588</v>
      </c>
      <c r="BY70" s="11" t="s">
        <v>588</v>
      </c>
      <c r="BZ70" s="11" t="s">
        <v>588</v>
      </c>
    </row>
    <row r="71" spans="1:78" x14ac:dyDescent="0.25">
      <c r="A71" s="11">
        <v>202324</v>
      </c>
      <c r="B71" s="11" t="s">
        <v>54</v>
      </c>
      <c r="C71" s="11" t="s">
        <v>54</v>
      </c>
      <c r="D71" s="11" t="s">
        <v>99</v>
      </c>
      <c r="E71" s="11" t="s">
        <v>16</v>
      </c>
      <c r="F71" s="11">
        <v>2</v>
      </c>
      <c r="G71" s="11" t="s">
        <v>907</v>
      </c>
      <c r="H71" s="11" t="s">
        <v>907</v>
      </c>
      <c r="I71" s="13">
        <v>45300</v>
      </c>
      <c r="J71" s="11">
        <v>9</v>
      </c>
      <c r="K71" s="11">
        <v>1</v>
      </c>
      <c r="L71" s="11">
        <v>2024</v>
      </c>
      <c r="M71" s="11" t="s">
        <v>646</v>
      </c>
      <c r="N71" s="11" t="s">
        <v>12</v>
      </c>
      <c r="O71" s="11" t="s">
        <v>10</v>
      </c>
      <c r="P71" s="11" t="s">
        <v>588</v>
      </c>
      <c r="Q71" s="11" t="s">
        <v>588</v>
      </c>
      <c r="R71" s="11">
        <v>-38.672440000000002</v>
      </c>
      <c r="S71" s="11">
        <v>145.59873999999999</v>
      </c>
      <c r="T71" s="11">
        <v>2</v>
      </c>
      <c r="U71" s="11">
        <v>3</v>
      </c>
      <c r="V71" s="11" t="s">
        <v>588</v>
      </c>
      <c r="W71" s="11" t="s">
        <v>588</v>
      </c>
      <c r="X71" s="11">
        <v>10</v>
      </c>
      <c r="Y71" s="11">
        <v>8</v>
      </c>
      <c r="Z71" s="11" t="s">
        <v>41</v>
      </c>
      <c r="AA71" s="13">
        <v>45308</v>
      </c>
      <c r="AB71" s="11">
        <v>17</v>
      </c>
      <c r="AC71" s="11">
        <v>1</v>
      </c>
      <c r="AD71" s="11">
        <v>2024</v>
      </c>
      <c r="AE71" s="13" t="s">
        <v>758</v>
      </c>
      <c r="AF71" s="11" t="s">
        <v>12</v>
      </c>
      <c r="AG71" s="13">
        <v>45310</v>
      </c>
      <c r="AH71" s="11">
        <v>19</v>
      </c>
      <c r="AI71" s="11">
        <v>1</v>
      </c>
      <c r="AJ71" s="11">
        <v>2024</v>
      </c>
      <c r="AK71" s="13" t="s">
        <v>684</v>
      </c>
      <c r="AL71" s="11" t="s">
        <v>12</v>
      </c>
      <c r="AM71" s="11" t="s">
        <v>20</v>
      </c>
      <c r="AN71" s="11" t="s">
        <v>588</v>
      </c>
      <c r="AO71" s="11" t="s">
        <v>11</v>
      </c>
      <c r="AP71" s="11" t="s">
        <v>588</v>
      </c>
      <c r="AQ71" s="11" t="s">
        <v>588</v>
      </c>
      <c r="AR71" s="11" t="s">
        <v>588</v>
      </c>
      <c r="AS71" s="11" t="s">
        <v>588</v>
      </c>
      <c r="AT71" s="11" t="s">
        <v>588</v>
      </c>
      <c r="AU71" s="7" t="s">
        <v>588</v>
      </c>
      <c r="AV71" s="11" t="s">
        <v>588</v>
      </c>
      <c r="AW71" s="11" t="s">
        <v>588</v>
      </c>
      <c r="AX71" s="11" t="s">
        <v>588</v>
      </c>
      <c r="AY71" s="11" t="s">
        <v>588</v>
      </c>
      <c r="AZ71" s="11" t="s">
        <v>588</v>
      </c>
      <c r="BA71" s="7" t="s">
        <v>588</v>
      </c>
      <c r="BB71" s="11" t="s">
        <v>588</v>
      </c>
      <c r="BC71" s="11" t="s">
        <v>588</v>
      </c>
      <c r="BD71" s="11" t="s">
        <v>588</v>
      </c>
      <c r="BE71" s="11" t="s">
        <v>588</v>
      </c>
      <c r="BF71" s="11" t="s">
        <v>588</v>
      </c>
      <c r="BG71" s="7" t="s">
        <v>588</v>
      </c>
      <c r="BH71" s="11" t="s">
        <v>588</v>
      </c>
      <c r="BI71" s="11" t="s">
        <v>588</v>
      </c>
      <c r="BJ71" s="11" t="s">
        <v>588</v>
      </c>
      <c r="BK71" s="11" t="s">
        <v>588</v>
      </c>
      <c r="BL71" s="11" t="s">
        <v>588</v>
      </c>
      <c r="BM71" s="11" t="s">
        <v>588</v>
      </c>
      <c r="BN71" s="11" t="s">
        <v>588</v>
      </c>
      <c r="BO71" s="11" t="s">
        <v>588</v>
      </c>
      <c r="BP71" s="11" t="s">
        <v>588</v>
      </c>
      <c r="BQ71" s="11" t="s">
        <v>588</v>
      </c>
      <c r="BR71" s="11" t="s">
        <v>588</v>
      </c>
      <c r="BS71" s="11" t="s">
        <v>8</v>
      </c>
      <c r="BT71" s="11" t="s">
        <v>9</v>
      </c>
      <c r="BU71" s="11" t="s">
        <v>9</v>
      </c>
      <c r="BV71" s="11" t="s">
        <v>588</v>
      </c>
      <c r="BW71" s="11" t="s">
        <v>588</v>
      </c>
      <c r="BX71" s="11" t="s">
        <v>588</v>
      </c>
      <c r="BY71" s="11" t="s">
        <v>588</v>
      </c>
      <c r="BZ71" s="11" t="s">
        <v>588</v>
      </c>
    </row>
  </sheetData>
  <autoFilter ref="A1:BZ71" xr:uid="{B59897EC-094D-439B-9AC5-CFA6BB74477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63B9E-0521-4841-8AA4-8B6944189891}">
  <dimension ref="A1:CT67"/>
  <sheetViews>
    <sheetView zoomScale="80" zoomScaleNormal="80" workbookViewId="0">
      <pane xSplit="9" ySplit="1" topLeftCell="BZ14" activePane="bottomRight" state="frozen"/>
      <selection pane="topRight" activeCell="J1" sqref="J1"/>
      <selection pane="bottomLeft" activeCell="A2" sqref="A2"/>
      <selection pane="bottomRight" activeCell="C52" sqref="C52"/>
    </sheetView>
  </sheetViews>
  <sheetFormatPr defaultRowHeight="15" x14ac:dyDescent="0.25"/>
  <cols>
    <col min="1" max="1" width="7.7109375" style="11" bestFit="1" customWidth="1"/>
    <col min="2" max="2" width="10" style="11" customWidth="1"/>
    <col min="3" max="3" width="46.28515625" style="11" bestFit="1" customWidth="1"/>
    <col min="4" max="4" width="14" style="11" customWidth="1"/>
    <col min="5" max="5" width="12.5703125" style="11" customWidth="1"/>
    <col min="6" max="6" width="12.140625" style="11" customWidth="1"/>
    <col min="7" max="7" width="9.7109375" style="11" customWidth="1"/>
    <col min="8" max="8" width="52.140625" style="11" customWidth="1"/>
    <col min="9" max="9" width="15" style="11" customWidth="1"/>
    <col min="10" max="10" width="7.42578125" style="11" bestFit="1" customWidth="1"/>
    <col min="11" max="11" width="9.5703125" style="11" bestFit="1" customWidth="1"/>
    <col min="12" max="12" width="8" style="11" bestFit="1" customWidth="1"/>
    <col min="13" max="13" width="23.5703125" style="11" bestFit="1" customWidth="1"/>
    <col min="14" max="14" width="12.7109375" style="11" customWidth="1"/>
    <col min="15" max="15" width="13.85546875" style="11" bestFit="1" customWidth="1"/>
    <col min="16" max="16" width="20.7109375" style="11" customWidth="1"/>
    <col min="17" max="17" width="12.28515625" style="11" customWidth="1"/>
    <col min="18" max="18" width="12.85546875" style="11" customWidth="1"/>
    <col min="19" max="19" width="15.5703125" style="11" customWidth="1"/>
    <col min="20" max="20" width="14.140625" style="11" bestFit="1" customWidth="1"/>
    <col min="21" max="21" width="12.7109375" style="11" customWidth="1"/>
    <col min="22" max="22" width="12.5703125" style="11" customWidth="1"/>
    <col min="23" max="23" width="24.28515625" style="11" bestFit="1" customWidth="1"/>
    <col min="24" max="24" width="11.42578125" style="11" customWidth="1"/>
    <col min="25" max="25" width="12.140625" style="11" customWidth="1"/>
    <col min="26" max="26" width="9.140625" style="11"/>
    <col min="27" max="27" width="23.7109375" style="11" customWidth="1"/>
    <col min="28" max="28" width="8.42578125" style="11" bestFit="1" customWidth="1"/>
    <col min="29" max="29" width="9.5703125" style="11" bestFit="1" customWidth="1"/>
    <col min="30" max="30" width="8.42578125" style="11" bestFit="1" customWidth="1"/>
    <col min="31" max="31" width="27" style="11" bestFit="1" customWidth="1"/>
    <col min="32" max="32" width="23.28515625" style="11" bestFit="1" customWidth="1"/>
    <col min="33" max="33" width="23.28515625" style="11" customWidth="1"/>
    <col min="34" max="34" width="8.42578125" style="11" bestFit="1" customWidth="1"/>
    <col min="35" max="35" width="9.5703125" style="11" bestFit="1" customWidth="1"/>
    <col min="36" max="36" width="8.42578125" style="11" bestFit="1" customWidth="1"/>
    <col min="37" max="37" width="25.5703125" style="11" bestFit="1" customWidth="1"/>
    <col min="38" max="38" width="10.7109375" style="11" bestFit="1" customWidth="1"/>
    <col min="39" max="39" width="9.140625" style="11"/>
    <col min="40" max="40" width="20.28515625" style="11" bestFit="1" customWidth="1"/>
    <col min="41" max="41" width="22.140625" style="11" bestFit="1" customWidth="1"/>
    <col min="42" max="42" width="15.42578125" style="11" customWidth="1"/>
    <col min="43" max="43" width="10.5703125" style="11" bestFit="1" customWidth="1"/>
    <col min="44" max="46" width="9.140625" style="11"/>
    <col min="47" max="47" width="12.7109375" style="11" customWidth="1"/>
    <col min="48" max="48" width="19.85546875" style="11" bestFit="1" customWidth="1"/>
    <col min="49" max="49" width="21.7109375" style="11" bestFit="1" customWidth="1"/>
    <col min="50" max="50" width="20.7109375" style="11" customWidth="1"/>
    <col min="51" max="51" width="20.85546875" style="11" bestFit="1" customWidth="1"/>
    <col min="52" max="52" width="25.85546875" style="11" bestFit="1" customWidth="1"/>
    <col min="53" max="53" width="27.7109375" style="11" bestFit="1" customWidth="1"/>
    <col min="54" max="54" width="17" style="11" bestFit="1" customWidth="1"/>
    <col min="55" max="55" width="18.85546875" style="11" bestFit="1" customWidth="1"/>
    <col min="56" max="56" width="24.5703125" style="11" bestFit="1" customWidth="1"/>
    <col min="57" max="57" width="20.85546875" style="11" bestFit="1" customWidth="1"/>
    <col min="58" max="58" width="25.85546875" style="11" bestFit="1" customWidth="1"/>
    <col min="59" max="61" width="17.85546875" style="11" customWidth="1"/>
    <col min="62" max="62" width="24.85546875" style="11" customWidth="1"/>
    <col min="63" max="63" width="23.5703125" style="11" bestFit="1" customWidth="1"/>
    <col min="64" max="64" width="25.85546875" style="11" bestFit="1" customWidth="1"/>
    <col min="65" max="65" width="18.140625" style="11" bestFit="1" customWidth="1"/>
    <col min="66" max="66" width="15.140625" style="11" bestFit="1" customWidth="1"/>
    <col min="67" max="68" width="9.28515625" style="11" bestFit="1" customWidth="1"/>
    <col min="69" max="69" width="12.5703125" style="11" bestFit="1" customWidth="1"/>
    <col min="70" max="70" width="14.5703125" style="11" bestFit="1" customWidth="1"/>
    <col min="71" max="71" width="15.28515625" style="11" bestFit="1" customWidth="1"/>
    <col min="72" max="72" width="5.140625" style="11" customWidth="1"/>
    <col min="73" max="73" width="41.85546875" style="11" bestFit="1" customWidth="1"/>
    <col min="74" max="74" width="17.5703125" style="11" customWidth="1"/>
    <col min="75" max="75" width="9" style="11" customWidth="1"/>
    <col min="76" max="76" width="52.85546875" style="11" customWidth="1"/>
    <col min="77" max="77" width="17.7109375" style="11" customWidth="1"/>
    <col min="78" max="78" width="19.28515625" style="11" customWidth="1"/>
    <col min="79" max="79" width="18.140625" style="17" customWidth="1"/>
    <col min="80" max="80" width="18.5703125" style="11" customWidth="1"/>
    <col min="81" max="16384" width="9.140625" style="11"/>
  </cols>
  <sheetData>
    <row r="1" spans="1:98" s="15" customFormat="1" x14ac:dyDescent="0.25">
      <c r="A1" s="12" t="s">
        <v>0</v>
      </c>
      <c r="B1" s="12" t="s">
        <v>139</v>
      </c>
      <c r="C1" s="9" t="s">
        <v>231</v>
      </c>
      <c r="D1" s="12" t="s">
        <v>1</v>
      </c>
      <c r="E1" s="12" t="s">
        <v>2</v>
      </c>
      <c r="F1" s="9" t="s">
        <v>118</v>
      </c>
      <c r="G1" s="12" t="s">
        <v>141</v>
      </c>
      <c r="H1" s="9" t="s">
        <v>593</v>
      </c>
      <c r="I1" s="12" t="s">
        <v>142</v>
      </c>
      <c r="J1" s="12" t="s">
        <v>589</v>
      </c>
      <c r="K1" s="12" t="s">
        <v>590</v>
      </c>
      <c r="L1" s="12" t="s">
        <v>591</v>
      </c>
      <c r="M1" s="9" t="s">
        <v>592</v>
      </c>
      <c r="N1" s="12" t="s">
        <v>143</v>
      </c>
      <c r="O1" s="12" t="s">
        <v>3</v>
      </c>
      <c r="P1" s="2" t="s">
        <v>212</v>
      </c>
      <c r="Q1" s="2"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6" t="s">
        <v>596</v>
      </c>
      <c r="BV1" s="12" t="s">
        <v>221</v>
      </c>
      <c r="BW1" s="12" t="s">
        <v>191</v>
      </c>
      <c r="BX1" s="16" t="s">
        <v>597</v>
      </c>
      <c r="BY1" s="12" t="s">
        <v>192</v>
      </c>
      <c r="BZ1" s="18" t="s">
        <v>193</v>
      </c>
      <c r="CA1" s="18" t="s">
        <v>193</v>
      </c>
    </row>
    <row r="2" spans="1:98" x14ac:dyDescent="0.25">
      <c r="A2" s="11">
        <v>202223</v>
      </c>
      <c r="B2" s="11" t="s">
        <v>447</v>
      </c>
      <c r="C2" s="11" t="s">
        <v>577</v>
      </c>
      <c r="D2" s="11" t="s">
        <v>377</v>
      </c>
      <c r="E2" s="11" t="s">
        <v>234</v>
      </c>
      <c r="F2" s="11">
        <v>1</v>
      </c>
      <c r="G2" s="11" t="s">
        <v>448</v>
      </c>
      <c r="H2" s="11" t="s">
        <v>762</v>
      </c>
      <c r="I2" s="13">
        <v>44954</v>
      </c>
      <c r="J2" s="11">
        <v>28</v>
      </c>
      <c r="K2" s="11">
        <v>1</v>
      </c>
      <c r="L2" s="11">
        <v>2023</v>
      </c>
      <c r="M2" s="11" t="s">
        <v>763</v>
      </c>
      <c r="N2" s="11" t="s">
        <v>12</v>
      </c>
      <c r="O2" s="11" t="s">
        <v>10</v>
      </c>
      <c r="P2" s="11">
        <v>-38.619169999999997</v>
      </c>
      <c r="Q2" s="11">
        <v>145.54376999999999</v>
      </c>
      <c r="R2" s="11" t="s">
        <v>588</v>
      </c>
      <c r="S2" s="11" t="s">
        <v>588</v>
      </c>
      <c r="T2" s="11">
        <v>1</v>
      </c>
      <c r="U2" s="11">
        <v>3</v>
      </c>
      <c r="V2" s="13" t="s">
        <v>588</v>
      </c>
      <c r="W2" s="11" t="s">
        <v>588</v>
      </c>
      <c r="X2" s="11">
        <v>2</v>
      </c>
      <c r="Y2" s="11">
        <v>2</v>
      </c>
      <c r="Z2" s="11" t="s">
        <v>41</v>
      </c>
      <c r="AA2" s="13">
        <v>44954</v>
      </c>
      <c r="AB2" s="11">
        <v>28</v>
      </c>
      <c r="AC2" s="11">
        <v>1</v>
      </c>
      <c r="AD2" s="11">
        <v>2023</v>
      </c>
      <c r="AE2" s="13" t="s">
        <v>763</v>
      </c>
      <c r="AF2" s="11" t="s">
        <v>12</v>
      </c>
      <c r="AG2" s="13">
        <v>44973</v>
      </c>
      <c r="AH2" s="11">
        <v>16</v>
      </c>
      <c r="AI2" s="11">
        <v>2</v>
      </c>
      <c r="AJ2" s="11">
        <v>2023</v>
      </c>
      <c r="AK2" s="13" t="s">
        <v>764</v>
      </c>
      <c r="AL2" s="11" t="s">
        <v>21</v>
      </c>
      <c r="AM2" s="11" t="s">
        <v>20</v>
      </c>
      <c r="AN2" s="11" t="s">
        <v>588</v>
      </c>
      <c r="AO2" s="11" t="s">
        <v>20</v>
      </c>
      <c r="AP2" s="11" t="s">
        <v>588</v>
      </c>
      <c r="AQ2" s="11" t="s">
        <v>588</v>
      </c>
      <c r="AR2" s="11" t="s">
        <v>588</v>
      </c>
      <c r="AS2" s="11" t="s">
        <v>588</v>
      </c>
      <c r="AT2" s="11" t="s">
        <v>588</v>
      </c>
      <c r="AU2" s="7" t="s">
        <v>588</v>
      </c>
      <c r="AV2" s="11" t="s">
        <v>588</v>
      </c>
      <c r="AW2" s="11" t="s">
        <v>588</v>
      </c>
      <c r="AX2" s="11" t="s">
        <v>588</v>
      </c>
      <c r="AY2" s="11" t="s">
        <v>588</v>
      </c>
      <c r="AZ2" s="11" t="s">
        <v>588</v>
      </c>
      <c r="BA2" s="7" t="s">
        <v>588</v>
      </c>
      <c r="BB2" s="11" t="s">
        <v>588</v>
      </c>
      <c r="BC2" s="11" t="s">
        <v>588</v>
      </c>
      <c r="BD2" s="11" t="s">
        <v>588</v>
      </c>
      <c r="BE2" s="11" t="s">
        <v>588</v>
      </c>
      <c r="BF2" s="11" t="s">
        <v>588</v>
      </c>
      <c r="BG2" s="7" t="s">
        <v>588</v>
      </c>
      <c r="BH2" s="11" t="s">
        <v>588</v>
      </c>
      <c r="BI2" s="11" t="s">
        <v>588</v>
      </c>
      <c r="BJ2" s="11" t="s">
        <v>588</v>
      </c>
      <c r="BK2" s="11" t="s">
        <v>588</v>
      </c>
      <c r="BL2" s="11" t="s">
        <v>588</v>
      </c>
      <c r="BM2" s="11" t="s">
        <v>588</v>
      </c>
      <c r="BN2" s="11" t="s">
        <v>588</v>
      </c>
      <c r="BO2" s="11" t="s">
        <v>588</v>
      </c>
      <c r="BP2" s="11" t="s">
        <v>588</v>
      </c>
      <c r="BQ2" s="11" t="s">
        <v>588</v>
      </c>
      <c r="BR2" s="11" t="s">
        <v>588</v>
      </c>
      <c r="BS2" s="11" t="s">
        <v>41</v>
      </c>
      <c r="BT2" s="11" t="s">
        <v>588</v>
      </c>
      <c r="BU2" s="11" t="s">
        <v>42</v>
      </c>
      <c r="BV2" s="11" t="s">
        <v>588</v>
      </c>
      <c r="BW2" s="11" t="s">
        <v>588</v>
      </c>
      <c r="BX2" s="11" t="s">
        <v>588</v>
      </c>
      <c r="BY2" s="11" t="s">
        <v>588</v>
      </c>
      <c r="BZ2" s="11" t="s">
        <v>588</v>
      </c>
      <c r="CA2" s="17" t="s">
        <v>588</v>
      </c>
      <c r="CB2" s="11" t="s">
        <v>588</v>
      </c>
      <c r="CC2" s="11" t="s">
        <v>588</v>
      </c>
      <c r="CD2" s="11" t="s">
        <v>588</v>
      </c>
      <c r="CE2" s="11" t="s">
        <v>588</v>
      </c>
      <c r="CF2" s="11" t="s">
        <v>588</v>
      </c>
      <c r="CG2" s="11" t="s">
        <v>588</v>
      </c>
      <c r="CH2" s="11" t="s">
        <v>588</v>
      </c>
      <c r="CI2" s="11" t="s">
        <v>588</v>
      </c>
      <c r="CJ2" s="11" t="s">
        <v>588</v>
      </c>
      <c r="CK2" s="11" t="s">
        <v>588</v>
      </c>
      <c r="CL2" s="11" t="s">
        <v>588</v>
      </c>
      <c r="CM2" s="11" t="s">
        <v>588</v>
      </c>
      <c r="CN2" s="11" t="s">
        <v>588</v>
      </c>
      <c r="CO2" s="11" t="s">
        <v>588</v>
      </c>
      <c r="CP2" s="11" t="s">
        <v>588</v>
      </c>
      <c r="CQ2" s="11" t="s">
        <v>588</v>
      </c>
      <c r="CR2" s="11" t="s">
        <v>588</v>
      </c>
      <c r="CS2" s="11" t="s">
        <v>588</v>
      </c>
      <c r="CT2" s="11" t="s">
        <v>588</v>
      </c>
    </row>
    <row r="3" spans="1:98" x14ac:dyDescent="0.25">
      <c r="A3" s="11">
        <v>202223</v>
      </c>
      <c r="B3" s="11" t="s">
        <v>449</v>
      </c>
      <c r="C3" s="11" t="s">
        <v>509</v>
      </c>
      <c r="D3" s="11" t="s">
        <v>377</v>
      </c>
      <c r="E3" s="11" t="s">
        <v>234</v>
      </c>
      <c r="F3" s="11">
        <v>2</v>
      </c>
      <c r="G3" s="11" t="s">
        <v>450</v>
      </c>
      <c r="H3" s="11" t="s">
        <v>765</v>
      </c>
      <c r="I3" s="13">
        <v>44973</v>
      </c>
      <c r="J3" s="11">
        <v>16</v>
      </c>
      <c r="K3" s="11">
        <v>2</v>
      </c>
      <c r="L3" s="11">
        <v>2023</v>
      </c>
      <c r="M3" s="11" t="s">
        <v>764</v>
      </c>
      <c r="N3" s="11" t="s">
        <v>21</v>
      </c>
      <c r="O3" s="11" t="s">
        <v>10</v>
      </c>
      <c r="P3" s="11">
        <v>-38.614868000000001</v>
      </c>
      <c r="Q3" s="11">
        <v>145.540954</v>
      </c>
      <c r="R3" s="11" t="s">
        <v>588</v>
      </c>
      <c r="S3" s="11" t="s">
        <v>588</v>
      </c>
      <c r="T3" s="11">
        <v>2</v>
      </c>
      <c r="U3" s="11">
        <v>2</v>
      </c>
      <c r="V3" s="13" t="s">
        <v>588</v>
      </c>
      <c r="W3" s="11" t="s">
        <v>588</v>
      </c>
      <c r="X3" s="11">
        <v>3</v>
      </c>
      <c r="Y3" s="11">
        <v>3</v>
      </c>
      <c r="Z3" s="11" t="s">
        <v>41</v>
      </c>
      <c r="AA3" s="13">
        <v>44984</v>
      </c>
      <c r="AB3" s="11">
        <v>27</v>
      </c>
      <c r="AC3" s="11">
        <v>2</v>
      </c>
      <c r="AD3" s="11">
        <v>2023</v>
      </c>
      <c r="AE3" s="13" t="s">
        <v>766</v>
      </c>
      <c r="AF3" s="11" t="s">
        <v>21</v>
      </c>
      <c r="AG3" s="13">
        <v>44995</v>
      </c>
      <c r="AH3" s="11">
        <v>10</v>
      </c>
      <c r="AI3" s="11">
        <v>3</v>
      </c>
      <c r="AJ3" s="11">
        <v>2023</v>
      </c>
      <c r="AK3" s="13" t="s">
        <v>767</v>
      </c>
      <c r="AL3" s="11" t="s">
        <v>22</v>
      </c>
      <c r="AM3" s="11" t="s">
        <v>20</v>
      </c>
      <c r="AN3" s="11" t="s">
        <v>588</v>
      </c>
      <c r="AO3" s="11" t="s">
        <v>20</v>
      </c>
      <c r="AP3" s="11" t="s">
        <v>588</v>
      </c>
      <c r="AQ3" s="11" t="s">
        <v>588</v>
      </c>
      <c r="AR3" s="11" t="s">
        <v>588</v>
      </c>
      <c r="AS3" s="11" t="s">
        <v>588</v>
      </c>
      <c r="AT3" s="11" t="s">
        <v>588</v>
      </c>
      <c r="AU3" s="7" t="s">
        <v>588</v>
      </c>
      <c r="AV3" s="11" t="s">
        <v>588</v>
      </c>
      <c r="AW3" s="11" t="s">
        <v>588</v>
      </c>
      <c r="AX3" s="11" t="s">
        <v>588</v>
      </c>
      <c r="AY3" s="11" t="s">
        <v>588</v>
      </c>
      <c r="AZ3" s="11" t="s">
        <v>588</v>
      </c>
      <c r="BA3" s="7" t="s">
        <v>588</v>
      </c>
      <c r="BB3" s="11" t="s">
        <v>588</v>
      </c>
      <c r="BC3" s="11" t="s">
        <v>588</v>
      </c>
      <c r="BD3" s="11" t="s">
        <v>588</v>
      </c>
      <c r="BE3" s="11" t="s">
        <v>588</v>
      </c>
      <c r="BF3" s="11" t="s">
        <v>588</v>
      </c>
      <c r="BG3" s="7" t="s">
        <v>588</v>
      </c>
      <c r="BH3" s="11" t="s">
        <v>588</v>
      </c>
      <c r="BI3" s="11" t="s">
        <v>588</v>
      </c>
      <c r="BJ3" s="11" t="s">
        <v>588</v>
      </c>
      <c r="BK3" s="11" t="s">
        <v>588</v>
      </c>
      <c r="BL3" s="11" t="s">
        <v>588</v>
      </c>
      <c r="BM3" s="11" t="s">
        <v>588</v>
      </c>
      <c r="BN3" s="11" t="s">
        <v>588</v>
      </c>
      <c r="BO3" s="11" t="s">
        <v>588</v>
      </c>
      <c r="BP3" s="11" t="s">
        <v>588</v>
      </c>
      <c r="BQ3" s="11" t="s">
        <v>588</v>
      </c>
      <c r="BR3" s="11" t="s">
        <v>588</v>
      </c>
      <c r="BS3" s="11" t="s">
        <v>41</v>
      </c>
      <c r="BT3" s="11" t="s">
        <v>588</v>
      </c>
      <c r="BU3" s="11" t="s">
        <v>42</v>
      </c>
      <c r="BV3" s="11" t="s">
        <v>588</v>
      </c>
      <c r="BW3" s="11" t="s">
        <v>588</v>
      </c>
      <c r="BX3" s="11" t="s">
        <v>588</v>
      </c>
      <c r="BY3" s="11" t="s">
        <v>588</v>
      </c>
      <c r="BZ3" s="11" t="s">
        <v>588</v>
      </c>
      <c r="CA3" s="17" t="s">
        <v>588</v>
      </c>
      <c r="CB3" s="11" t="s">
        <v>588</v>
      </c>
      <c r="CC3" s="11" t="s">
        <v>588</v>
      </c>
      <c r="CD3" s="11" t="s">
        <v>588</v>
      </c>
      <c r="CE3" s="11" t="s">
        <v>588</v>
      </c>
      <c r="CF3" s="11" t="s">
        <v>588</v>
      </c>
      <c r="CG3" s="11" t="s">
        <v>588</v>
      </c>
      <c r="CH3" s="11" t="s">
        <v>588</v>
      </c>
      <c r="CI3" s="11" t="s">
        <v>588</v>
      </c>
      <c r="CJ3" s="11" t="s">
        <v>588</v>
      </c>
      <c r="CK3" s="11" t="s">
        <v>588</v>
      </c>
      <c r="CL3" s="11" t="s">
        <v>588</v>
      </c>
      <c r="CM3" s="11" t="s">
        <v>588</v>
      </c>
      <c r="CN3" s="11" t="s">
        <v>588</v>
      </c>
      <c r="CO3" s="11" t="s">
        <v>588</v>
      </c>
      <c r="CP3" s="11" t="s">
        <v>588</v>
      </c>
      <c r="CQ3" s="11" t="s">
        <v>588</v>
      </c>
      <c r="CR3" s="11" t="s">
        <v>588</v>
      </c>
      <c r="CS3" s="11" t="s">
        <v>588</v>
      </c>
      <c r="CT3" s="11" t="s">
        <v>588</v>
      </c>
    </row>
    <row r="4" spans="1:98" x14ac:dyDescent="0.25">
      <c r="A4" s="11">
        <v>202223</v>
      </c>
      <c r="B4" s="11" t="s">
        <v>380</v>
      </c>
      <c r="C4" s="11" t="s">
        <v>380</v>
      </c>
      <c r="D4" s="11" t="s">
        <v>381</v>
      </c>
      <c r="E4" s="11" t="s">
        <v>382</v>
      </c>
      <c r="F4" s="11">
        <v>1</v>
      </c>
      <c r="G4" s="11" t="s">
        <v>451</v>
      </c>
      <c r="H4" s="11" t="s">
        <v>768</v>
      </c>
      <c r="I4" s="13">
        <v>44954</v>
      </c>
      <c r="J4" s="11">
        <v>28</v>
      </c>
      <c r="K4" s="11">
        <v>1</v>
      </c>
      <c r="L4" s="11">
        <v>2023</v>
      </c>
      <c r="M4" s="11" t="s">
        <v>763</v>
      </c>
      <c r="N4" s="11" t="s">
        <v>12</v>
      </c>
      <c r="O4" s="11" t="s">
        <v>10</v>
      </c>
      <c r="P4" s="11">
        <v>-38.623190000000001</v>
      </c>
      <c r="Q4" s="11">
        <v>145.54633000000001</v>
      </c>
      <c r="R4" s="11" t="s">
        <v>588</v>
      </c>
      <c r="S4" s="11" t="s">
        <v>588</v>
      </c>
      <c r="T4" s="11">
        <v>3</v>
      </c>
      <c r="U4" s="11">
        <v>3</v>
      </c>
      <c r="V4" s="11" t="s">
        <v>588</v>
      </c>
      <c r="W4" s="11" t="s">
        <v>588</v>
      </c>
      <c r="X4" s="11">
        <v>3</v>
      </c>
      <c r="Y4" s="11">
        <v>3</v>
      </c>
      <c r="Z4" s="11" t="s">
        <v>41</v>
      </c>
      <c r="AA4" s="13">
        <v>44964</v>
      </c>
      <c r="AB4" s="11">
        <v>7</v>
      </c>
      <c r="AC4" s="11">
        <v>2</v>
      </c>
      <c r="AD4" s="11">
        <v>2023</v>
      </c>
      <c r="AE4" s="13" t="s">
        <v>769</v>
      </c>
      <c r="AF4" s="11" t="s">
        <v>21</v>
      </c>
      <c r="AG4" s="13">
        <v>44973</v>
      </c>
      <c r="AH4" s="11">
        <v>16</v>
      </c>
      <c r="AI4" s="11">
        <v>2</v>
      </c>
      <c r="AJ4" s="11">
        <v>2023</v>
      </c>
      <c r="AK4" s="13" t="s">
        <v>764</v>
      </c>
      <c r="AL4" s="11" t="s">
        <v>21</v>
      </c>
      <c r="AM4" s="11" t="s">
        <v>20</v>
      </c>
      <c r="AN4" s="11" t="s">
        <v>588</v>
      </c>
      <c r="AO4" s="11" t="s">
        <v>20</v>
      </c>
      <c r="AP4" s="11" t="s">
        <v>588</v>
      </c>
      <c r="AQ4" s="11" t="s">
        <v>588</v>
      </c>
      <c r="AR4" s="11" t="s">
        <v>588</v>
      </c>
      <c r="AS4" s="11" t="s">
        <v>588</v>
      </c>
      <c r="AT4" s="11" t="s">
        <v>588</v>
      </c>
      <c r="AU4" s="7" t="s">
        <v>588</v>
      </c>
      <c r="AV4" s="11" t="s">
        <v>588</v>
      </c>
      <c r="AW4" s="11" t="s">
        <v>588</v>
      </c>
      <c r="AX4" s="11" t="s">
        <v>588</v>
      </c>
      <c r="AY4" s="11" t="s">
        <v>588</v>
      </c>
      <c r="AZ4" s="11" t="s">
        <v>588</v>
      </c>
      <c r="BA4" s="7" t="s">
        <v>588</v>
      </c>
      <c r="BB4" s="11" t="s">
        <v>588</v>
      </c>
      <c r="BC4" s="11" t="s">
        <v>588</v>
      </c>
      <c r="BD4" s="11" t="s">
        <v>588</v>
      </c>
      <c r="BE4" s="11" t="s">
        <v>588</v>
      </c>
      <c r="BF4" s="11" t="s">
        <v>588</v>
      </c>
      <c r="BG4" s="7" t="s">
        <v>588</v>
      </c>
      <c r="BH4" s="11" t="s">
        <v>588</v>
      </c>
      <c r="BI4" s="11" t="s">
        <v>588</v>
      </c>
      <c r="BJ4" s="11" t="s">
        <v>588</v>
      </c>
      <c r="BK4" s="11" t="s">
        <v>588</v>
      </c>
      <c r="BL4" s="11" t="s">
        <v>588</v>
      </c>
      <c r="BM4" s="11" t="s">
        <v>588</v>
      </c>
      <c r="BN4" s="11" t="s">
        <v>588</v>
      </c>
      <c r="BO4" s="11" t="s">
        <v>588</v>
      </c>
      <c r="BP4" s="11" t="s">
        <v>588</v>
      </c>
      <c r="BQ4" s="11" t="s">
        <v>588</v>
      </c>
      <c r="BR4" s="11" t="s">
        <v>588</v>
      </c>
      <c r="BS4" s="11" t="s">
        <v>41</v>
      </c>
      <c r="BT4" s="11" t="s">
        <v>588</v>
      </c>
      <c r="BU4" s="11" t="s">
        <v>42</v>
      </c>
      <c r="BV4" s="11" t="s">
        <v>588</v>
      </c>
      <c r="BW4" s="11" t="s">
        <v>588</v>
      </c>
      <c r="BX4" s="11" t="s">
        <v>588</v>
      </c>
      <c r="BY4" s="11" t="s">
        <v>588</v>
      </c>
      <c r="BZ4" s="11" t="s">
        <v>588</v>
      </c>
      <c r="CA4" s="17" t="s">
        <v>588</v>
      </c>
      <c r="CB4" s="11" t="s">
        <v>588</v>
      </c>
      <c r="CC4" s="11" t="s">
        <v>588</v>
      </c>
      <c r="CD4" s="11" t="s">
        <v>588</v>
      </c>
      <c r="CE4" s="11" t="s">
        <v>588</v>
      </c>
      <c r="CF4" s="11" t="s">
        <v>588</v>
      </c>
      <c r="CG4" s="11" t="s">
        <v>588</v>
      </c>
      <c r="CH4" s="11" t="s">
        <v>588</v>
      </c>
      <c r="CI4" s="11" t="s">
        <v>588</v>
      </c>
      <c r="CJ4" s="11" t="s">
        <v>588</v>
      </c>
      <c r="CK4" s="11" t="s">
        <v>588</v>
      </c>
      <c r="CL4" s="11" t="s">
        <v>588</v>
      </c>
      <c r="CM4" s="11" t="s">
        <v>588</v>
      </c>
      <c r="CN4" s="11" t="s">
        <v>588</v>
      </c>
      <c r="CO4" s="11" t="s">
        <v>588</v>
      </c>
      <c r="CP4" s="11" t="s">
        <v>588</v>
      </c>
      <c r="CQ4" s="11" t="s">
        <v>588</v>
      </c>
      <c r="CR4" s="11" t="s">
        <v>588</v>
      </c>
      <c r="CS4" s="11" t="s">
        <v>588</v>
      </c>
      <c r="CT4" s="11" t="s">
        <v>588</v>
      </c>
    </row>
    <row r="5" spans="1:98" x14ac:dyDescent="0.25">
      <c r="A5" s="11">
        <v>202223</v>
      </c>
      <c r="B5" s="11" t="s">
        <v>380</v>
      </c>
      <c r="C5" s="11" t="s">
        <v>380</v>
      </c>
      <c r="D5" s="11" t="s">
        <v>381</v>
      </c>
      <c r="E5" s="11" t="s">
        <v>382</v>
      </c>
      <c r="F5" s="11">
        <v>2</v>
      </c>
      <c r="G5" s="11" t="s">
        <v>452</v>
      </c>
      <c r="H5" s="11" t="s">
        <v>770</v>
      </c>
      <c r="I5" s="13">
        <v>44986</v>
      </c>
      <c r="J5" s="11">
        <v>1</v>
      </c>
      <c r="K5" s="11">
        <v>3</v>
      </c>
      <c r="L5" s="11">
        <v>2023</v>
      </c>
      <c r="M5" s="11" t="s">
        <v>771</v>
      </c>
      <c r="N5" s="11" t="s">
        <v>22</v>
      </c>
      <c r="O5" s="11" t="s">
        <v>51</v>
      </c>
      <c r="P5" s="11">
        <v>-38.621865999999997</v>
      </c>
      <c r="Q5" s="11">
        <v>145.54567900000001</v>
      </c>
      <c r="R5" s="11" t="s">
        <v>588</v>
      </c>
      <c r="S5" s="11" t="s">
        <v>588</v>
      </c>
      <c r="T5" s="11">
        <v>3</v>
      </c>
      <c r="U5" s="11">
        <v>3</v>
      </c>
      <c r="V5" s="11" t="s">
        <v>588</v>
      </c>
      <c r="W5" s="11" t="s">
        <v>588</v>
      </c>
      <c r="X5" s="11">
        <v>3</v>
      </c>
      <c r="Y5" s="11">
        <v>3</v>
      </c>
      <c r="Z5" s="11" t="s">
        <v>41</v>
      </c>
      <c r="AA5" s="13">
        <v>45002</v>
      </c>
      <c r="AB5" s="11">
        <v>17</v>
      </c>
      <c r="AC5" s="11">
        <v>3</v>
      </c>
      <c r="AD5" s="11">
        <v>2023</v>
      </c>
      <c r="AE5" s="13" t="s">
        <v>772</v>
      </c>
      <c r="AF5" s="11" t="s">
        <v>22</v>
      </c>
      <c r="AG5" s="13">
        <v>45017</v>
      </c>
      <c r="AH5" s="11">
        <v>1</v>
      </c>
      <c r="AI5" s="11">
        <v>4</v>
      </c>
      <c r="AJ5" s="11">
        <v>2023</v>
      </c>
      <c r="AK5" s="13" t="s">
        <v>773</v>
      </c>
      <c r="AL5" s="11" t="s">
        <v>72</v>
      </c>
      <c r="AM5" s="11" t="s">
        <v>20</v>
      </c>
      <c r="AN5" s="11" t="s">
        <v>588</v>
      </c>
      <c r="AO5" s="11" t="s">
        <v>20</v>
      </c>
      <c r="AP5" s="11" t="s">
        <v>588</v>
      </c>
      <c r="AQ5" s="11" t="s">
        <v>588</v>
      </c>
      <c r="AR5" s="11" t="s">
        <v>588</v>
      </c>
      <c r="AS5" s="11" t="s">
        <v>588</v>
      </c>
      <c r="AT5" s="11" t="s">
        <v>588</v>
      </c>
      <c r="AU5" s="7" t="s">
        <v>588</v>
      </c>
      <c r="AV5" s="11" t="s">
        <v>588</v>
      </c>
      <c r="AW5" s="11" t="s">
        <v>588</v>
      </c>
      <c r="AX5" s="11" t="s">
        <v>588</v>
      </c>
      <c r="AY5" s="11" t="s">
        <v>588</v>
      </c>
      <c r="AZ5" s="11" t="s">
        <v>588</v>
      </c>
      <c r="BA5" s="7" t="s">
        <v>588</v>
      </c>
      <c r="BB5" s="11" t="s">
        <v>588</v>
      </c>
      <c r="BC5" s="11" t="s">
        <v>588</v>
      </c>
      <c r="BD5" s="11" t="s">
        <v>588</v>
      </c>
      <c r="BE5" s="11" t="s">
        <v>588</v>
      </c>
      <c r="BF5" s="11" t="s">
        <v>588</v>
      </c>
      <c r="BG5" s="7" t="s">
        <v>588</v>
      </c>
      <c r="BH5" s="11" t="s">
        <v>588</v>
      </c>
      <c r="BI5" s="11" t="s">
        <v>588</v>
      </c>
      <c r="BJ5" s="11" t="s">
        <v>588</v>
      </c>
      <c r="BK5" s="11" t="s">
        <v>588</v>
      </c>
      <c r="BL5" s="11" t="s">
        <v>588</v>
      </c>
      <c r="BM5" s="11" t="s">
        <v>588</v>
      </c>
      <c r="BN5" s="11" t="s">
        <v>588</v>
      </c>
      <c r="BO5" s="11" t="s">
        <v>588</v>
      </c>
      <c r="BP5" s="11" t="s">
        <v>588</v>
      </c>
      <c r="BQ5" s="11" t="s">
        <v>588</v>
      </c>
      <c r="BR5" s="11" t="s">
        <v>588</v>
      </c>
      <c r="BS5" s="11" t="s">
        <v>41</v>
      </c>
      <c r="BT5" s="11" t="s">
        <v>588</v>
      </c>
      <c r="BU5" s="11" t="s">
        <v>42</v>
      </c>
      <c r="BV5" s="11" t="s">
        <v>588</v>
      </c>
      <c r="BW5" s="11" t="s">
        <v>588</v>
      </c>
      <c r="BX5" s="11" t="s">
        <v>588</v>
      </c>
      <c r="BY5" s="11" t="s">
        <v>453</v>
      </c>
      <c r="BZ5" s="11" t="s">
        <v>588</v>
      </c>
      <c r="CA5" s="17" t="s">
        <v>588</v>
      </c>
      <c r="CB5" s="11" t="s">
        <v>588</v>
      </c>
      <c r="CC5" s="11" t="s">
        <v>588</v>
      </c>
      <c r="CD5" s="11" t="s">
        <v>588</v>
      </c>
      <c r="CE5" s="11" t="s">
        <v>588</v>
      </c>
      <c r="CF5" s="11" t="s">
        <v>588</v>
      </c>
      <c r="CG5" s="11" t="s">
        <v>588</v>
      </c>
      <c r="CH5" s="11" t="s">
        <v>588</v>
      </c>
      <c r="CI5" s="11" t="s">
        <v>588</v>
      </c>
      <c r="CJ5" s="11" t="s">
        <v>588</v>
      </c>
      <c r="CK5" s="11" t="s">
        <v>588</v>
      </c>
      <c r="CL5" s="11" t="s">
        <v>588</v>
      </c>
      <c r="CM5" s="11" t="s">
        <v>588</v>
      </c>
      <c r="CN5" s="11" t="s">
        <v>588</v>
      </c>
      <c r="CO5" s="11" t="s">
        <v>588</v>
      </c>
      <c r="CP5" s="11" t="s">
        <v>588</v>
      </c>
      <c r="CQ5" s="11" t="s">
        <v>588</v>
      </c>
      <c r="CR5" s="11" t="s">
        <v>588</v>
      </c>
      <c r="CS5" s="11" t="s">
        <v>588</v>
      </c>
      <c r="CT5" s="11" t="s">
        <v>588</v>
      </c>
    </row>
    <row r="6" spans="1:98" x14ac:dyDescent="0.25">
      <c r="A6" s="11">
        <v>202223</v>
      </c>
      <c r="B6" s="11" t="s">
        <v>239</v>
      </c>
      <c r="C6" s="11" t="s">
        <v>239</v>
      </c>
      <c r="D6" s="11" t="s">
        <v>240</v>
      </c>
      <c r="E6" s="11" t="s">
        <v>16</v>
      </c>
      <c r="F6" s="11">
        <v>1</v>
      </c>
      <c r="G6" s="11" t="s">
        <v>454</v>
      </c>
      <c r="H6" s="11" t="s">
        <v>774</v>
      </c>
      <c r="I6" s="13">
        <v>44883</v>
      </c>
      <c r="J6" s="11">
        <v>18</v>
      </c>
      <c r="K6" s="11">
        <v>11</v>
      </c>
      <c r="L6" s="11">
        <v>2022</v>
      </c>
      <c r="M6" s="11" t="s">
        <v>775</v>
      </c>
      <c r="N6" s="11" t="s">
        <v>17</v>
      </c>
      <c r="O6" s="11" t="s">
        <v>51</v>
      </c>
      <c r="P6" s="11">
        <v>-38.625213000000002</v>
      </c>
      <c r="Q6" s="11">
        <v>145.547415</v>
      </c>
      <c r="R6" s="11" t="s">
        <v>588</v>
      </c>
      <c r="S6" s="11" t="s">
        <v>588</v>
      </c>
      <c r="T6" s="11">
        <v>1</v>
      </c>
      <c r="U6" s="11">
        <v>3</v>
      </c>
      <c r="V6" s="11" t="s">
        <v>588</v>
      </c>
      <c r="W6" s="11" t="s">
        <v>588</v>
      </c>
      <c r="X6" s="11">
        <v>1</v>
      </c>
      <c r="Y6" s="11">
        <v>1</v>
      </c>
      <c r="Z6" s="11" t="s">
        <v>41</v>
      </c>
      <c r="AA6" s="13">
        <v>44883</v>
      </c>
      <c r="AB6" s="11">
        <v>18</v>
      </c>
      <c r="AC6" s="11">
        <v>11</v>
      </c>
      <c r="AD6" s="11">
        <v>2022</v>
      </c>
      <c r="AE6" s="13" t="s">
        <v>775</v>
      </c>
      <c r="AF6" s="11" t="s">
        <v>17</v>
      </c>
      <c r="AG6" s="13">
        <v>44929</v>
      </c>
      <c r="AH6" s="11">
        <v>3</v>
      </c>
      <c r="AI6" s="11">
        <v>1</v>
      </c>
      <c r="AJ6" s="11">
        <v>2023</v>
      </c>
      <c r="AK6" s="13" t="s">
        <v>776</v>
      </c>
      <c r="AL6" s="11" t="s">
        <v>7</v>
      </c>
      <c r="AM6" s="11" t="s">
        <v>20</v>
      </c>
      <c r="AN6" s="11" t="s">
        <v>588</v>
      </c>
      <c r="AO6" s="11" t="s">
        <v>20</v>
      </c>
      <c r="AP6" s="11" t="s">
        <v>588</v>
      </c>
      <c r="AQ6" s="11" t="s">
        <v>588</v>
      </c>
      <c r="AR6" s="11" t="s">
        <v>588</v>
      </c>
      <c r="AS6" s="11" t="s">
        <v>588</v>
      </c>
      <c r="AT6" s="11" t="s">
        <v>588</v>
      </c>
      <c r="AU6" s="7" t="s">
        <v>588</v>
      </c>
      <c r="AV6" s="11" t="s">
        <v>588</v>
      </c>
      <c r="AW6" s="11" t="s">
        <v>588</v>
      </c>
      <c r="AX6" s="11" t="s">
        <v>588</v>
      </c>
      <c r="AY6" s="11" t="s">
        <v>588</v>
      </c>
      <c r="AZ6" s="11" t="s">
        <v>588</v>
      </c>
      <c r="BA6" s="7" t="s">
        <v>588</v>
      </c>
      <c r="BB6" s="11" t="s">
        <v>588</v>
      </c>
      <c r="BC6" s="11" t="s">
        <v>588</v>
      </c>
      <c r="BD6" s="11" t="s">
        <v>588</v>
      </c>
      <c r="BE6" s="11" t="s">
        <v>588</v>
      </c>
      <c r="BF6" s="11" t="s">
        <v>588</v>
      </c>
      <c r="BG6" s="7" t="s">
        <v>588</v>
      </c>
      <c r="BH6" s="11" t="s">
        <v>588</v>
      </c>
      <c r="BI6" s="11" t="s">
        <v>588</v>
      </c>
      <c r="BJ6" s="11" t="s">
        <v>588</v>
      </c>
      <c r="BK6" s="11" t="s">
        <v>588</v>
      </c>
      <c r="BL6" s="11" t="s">
        <v>588</v>
      </c>
      <c r="BM6" s="11" t="s">
        <v>588</v>
      </c>
      <c r="BN6" s="11" t="s">
        <v>588</v>
      </c>
      <c r="BO6" s="11" t="s">
        <v>588</v>
      </c>
      <c r="BP6" s="11" t="s">
        <v>588</v>
      </c>
      <c r="BQ6" s="11" t="s">
        <v>588</v>
      </c>
      <c r="BR6" s="11" t="s">
        <v>588</v>
      </c>
      <c r="BS6" s="11" t="s">
        <v>41</v>
      </c>
      <c r="BT6" s="11" t="s">
        <v>588</v>
      </c>
      <c r="BU6" s="11" t="s">
        <v>42</v>
      </c>
      <c r="BV6" s="11" t="s">
        <v>588</v>
      </c>
      <c r="BW6" s="11" t="s">
        <v>588</v>
      </c>
      <c r="BX6" s="11" t="s">
        <v>588</v>
      </c>
      <c r="BY6" s="11" t="s">
        <v>588</v>
      </c>
      <c r="BZ6" s="11" t="s">
        <v>588</v>
      </c>
      <c r="CA6" s="17" t="s">
        <v>588</v>
      </c>
      <c r="CB6" s="11" t="s">
        <v>588</v>
      </c>
      <c r="CC6" s="11" t="s">
        <v>588</v>
      </c>
      <c r="CD6" s="11" t="s">
        <v>588</v>
      </c>
      <c r="CE6" s="11" t="s">
        <v>588</v>
      </c>
      <c r="CF6" s="11" t="s">
        <v>588</v>
      </c>
      <c r="CG6" s="11" t="s">
        <v>588</v>
      </c>
      <c r="CH6" s="11" t="s">
        <v>588</v>
      </c>
      <c r="CI6" s="11" t="s">
        <v>588</v>
      </c>
      <c r="CJ6" s="11" t="s">
        <v>588</v>
      </c>
      <c r="CK6" s="11" t="s">
        <v>588</v>
      </c>
      <c r="CL6" s="11" t="s">
        <v>588</v>
      </c>
      <c r="CM6" s="11" t="s">
        <v>588</v>
      </c>
      <c r="CN6" s="11" t="s">
        <v>588</v>
      </c>
      <c r="CO6" s="11" t="s">
        <v>588</v>
      </c>
      <c r="CP6" s="11" t="s">
        <v>588</v>
      </c>
      <c r="CQ6" s="11" t="s">
        <v>588</v>
      </c>
      <c r="CR6" s="11" t="s">
        <v>588</v>
      </c>
      <c r="CS6" s="11" t="s">
        <v>588</v>
      </c>
      <c r="CT6" s="11" t="s">
        <v>588</v>
      </c>
    </row>
    <row r="7" spans="1:98" x14ac:dyDescent="0.25">
      <c r="A7" s="11">
        <v>202223</v>
      </c>
      <c r="B7" s="11" t="s">
        <v>239</v>
      </c>
      <c r="C7" s="11" t="s">
        <v>239</v>
      </c>
      <c r="D7" s="11" t="s">
        <v>240</v>
      </c>
      <c r="E7" s="11" t="s">
        <v>16</v>
      </c>
      <c r="F7" s="11">
        <v>2</v>
      </c>
      <c r="G7" s="11" t="s">
        <v>455</v>
      </c>
      <c r="H7" s="11" t="s">
        <v>777</v>
      </c>
      <c r="I7" s="13">
        <v>44936</v>
      </c>
      <c r="J7" s="11">
        <v>10</v>
      </c>
      <c r="K7" s="11">
        <v>1</v>
      </c>
      <c r="L7" s="11">
        <v>2023</v>
      </c>
      <c r="M7" s="11" t="s">
        <v>778</v>
      </c>
      <c r="N7" s="11" t="s">
        <v>12</v>
      </c>
      <c r="O7" s="11" t="s">
        <v>10</v>
      </c>
      <c r="P7" s="11">
        <v>-38.627000000000002</v>
      </c>
      <c r="Q7" s="11">
        <v>145.54832999999999</v>
      </c>
      <c r="R7" s="11" t="s">
        <v>588</v>
      </c>
      <c r="S7" s="11" t="s">
        <v>588</v>
      </c>
      <c r="T7" s="11">
        <v>3</v>
      </c>
      <c r="U7" s="11">
        <v>3</v>
      </c>
      <c r="V7" s="11" t="s">
        <v>588</v>
      </c>
      <c r="W7" s="11" t="s">
        <v>588</v>
      </c>
      <c r="X7" s="11">
        <v>4</v>
      </c>
      <c r="Y7" s="11">
        <v>4</v>
      </c>
      <c r="Z7" s="11" t="s">
        <v>41</v>
      </c>
      <c r="AA7" s="13">
        <v>44954</v>
      </c>
      <c r="AB7" s="11">
        <v>28</v>
      </c>
      <c r="AC7" s="11">
        <v>1</v>
      </c>
      <c r="AD7" s="11">
        <v>2023</v>
      </c>
      <c r="AE7" s="13" t="s">
        <v>763</v>
      </c>
      <c r="AF7" s="11" t="s">
        <v>12</v>
      </c>
      <c r="AG7" s="13">
        <v>44964</v>
      </c>
      <c r="AH7" s="11">
        <v>7</v>
      </c>
      <c r="AI7" s="11">
        <v>2</v>
      </c>
      <c r="AJ7" s="11">
        <v>2023</v>
      </c>
      <c r="AK7" s="13" t="s">
        <v>769</v>
      </c>
      <c r="AL7" s="11" t="s">
        <v>21</v>
      </c>
      <c r="AM7" s="11" t="s">
        <v>20</v>
      </c>
      <c r="AN7" s="11" t="s">
        <v>588</v>
      </c>
      <c r="AO7" s="11" t="s">
        <v>20</v>
      </c>
      <c r="AP7" s="11" t="s">
        <v>588</v>
      </c>
      <c r="AQ7" s="11" t="s">
        <v>588</v>
      </c>
      <c r="AR7" s="11" t="s">
        <v>588</v>
      </c>
      <c r="AS7" s="11" t="s">
        <v>588</v>
      </c>
      <c r="AT7" s="11" t="s">
        <v>588</v>
      </c>
      <c r="AU7" s="7" t="s">
        <v>588</v>
      </c>
      <c r="AV7" s="11" t="s">
        <v>588</v>
      </c>
      <c r="AW7" s="11" t="s">
        <v>588</v>
      </c>
      <c r="AX7" s="11" t="s">
        <v>588</v>
      </c>
      <c r="AY7" s="11" t="s">
        <v>588</v>
      </c>
      <c r="AZ7" s="11" t="s">
        <v>588</v>
      </c>
      <c r="BA7" s="7" t="s">
        <v>588</v>
      </c>
      <c r="BB7" s="11" t="s">
        <v>588</v>
      </c>
      <c r="BC7" s="11" t="s">
        <v>588</v>
      </c>
      <c r="BD7" s="11" t="s">
        <v>588</v>
      </c>
      <c r="BE7" s="11" t="s">
        <v>588</v>
      </c>
      <c r="BF7" s="11" t="s">
        <v>588</v>
      </c>
      <c r="BG7" s="7" t="s">
        <v>588</v>
      </c>
      <c r="BH7" s="11" t="s">
        <v>588</v>
      </c>
      <c r="BI7" s="11" t="s">
        <v>588</v>
      </c>
      <c r="BJ7" s="11" t="s">
        <v>588</v>
      </c>
      <c r="BK7" s="11" t="s">
        <v>588</v>
      </c>
      <c r="BL7" s="11" t="s">
        <v>588</v>
      </c>
      <c r="BM7" s="11" t="s">
        <v>588</v>
      </c>
      <c r="BN7" s="11" t="s">
        <v>588</v>
      </c>
      <c r="BO7" s="11" t="s">
        <v>588</v>
      </c>
      <c r="BP7" s="11" t="s">
        <v>588</v>
      </c>
      <c r="BQ7" s="11" t="s">
        <v>588</v>
      </c>
      <c r="BR7" s="11" t="s">
        <v>588</v>
      </c>
      <c r="BS7" s="11" t="s">
        <v>41</v>
      </c>
      <c r="BT7" s="11" t="s">
        <v>588</v>
      </c>
      <c r="BU7" s="11" t="s">
        <v>42</v>
      </c>
      <c r="BV7" s="11" t="s">
        <v>588</v>
      </c>
      <c r="BW7" s="11" t="s">
        <v>588</v>
      </c>
      <c r="BX7" s="11" t="s">
        <v>588</v>
      </c>
      <c r="BY7" s="11" t="s">
        <v>588</v>
      </c>
      <c r="BZ7" s="11" t="s">
        <v>588</v>
      </c>
      <c r="CA7" s="17" t="s">
        <v>588</v>
      </c>
      <c r="CB7" s="11" t="s">
        <v>588</v>
      </c>
      <c r="CC7" s="11" t="s">
        <v>588</v>
      </c>
      <c r="CD7" s="11" t="s">
        <v>588</v>
      </c>
      <c r="CE7" s="11" t="s">
        <v>588</v>
      </c>
      <c r="CF7" s="11" t="s">
        <v>588</v>
      </c>
      <c r="CG7" s="11" t="s">
        <v>588</v>
      </c>
      <c r="CH7" s="11" t="s">
        <v>588</v>
      </c>
      <c r="CI7" s="11" t="s">
        <v>588</v>
      </c>
      <c r="CJ7" s="11" t="s">
        <v>588</v>
      </c>
      <c r="CK7" s="11" t="s">
        <v>588</v>
      </c>
      <c r="CL7" s="11" t="s">
        <v>588</v>
      </c>
      <c r="CM7" s="11" t="s">
        <v>588</v>
      </c>
      <c r="CN7" s="11" t="s">
        <v>588</v>
      </c>
      <c r="CO7" s="11" t="s">
        <v>588</v>
      </c>
      <c r="CP7" s="11" t="s">
        <v>588</v>
      </c>
      <c r="CQ7" s="11" t="s">
        <v>588</v>
      </c>
      <c r="CR7" s="11" t="s">
        <v>588</v>
      </c>
      <c r="CS7" s="11" t="s">
        <v>588</v>
      </c>
      <c r="CT7" s="11" t="s">
        <v>588</v>
      </c>
    </row>
    <row r="8" spans="1:98" x14ac:dyDescent="0.25">
      <c r="A8" s="11">
        <v>202223</v>
      </c>
      <c r="B8" s="11" t="s">
        <v>242</v>
      </c>
      <c r="C8" s="11" t="s">
        <v>242</v>
      </c>
      <c r="D8" s="11" t="s">
        <v>244</v>
      </c>
      <c r="E8" s="11" t="s">
        <v>243</v>
      </c>
      <c r="F8" s="11">
        <v>1</v>
      </c>
      <c r="G8" s="11" t="s">
        <v>456</v>
      </c>
      <c r="H8" s="11" t="s">
        <v>779</v>
      </c>
      <c r="I8" s="13">
        <v>44901</v>
      </c>
      <c r="J8" s="11">
        <v>6</v>
      </c>
      <c r="K8" s="11">
        <v>12</v>
      </c>
      <c r="L8" s="11">
        <v>2022</v>
      </c>
      <c r="M8" s="11" t="s">
        <v>780</v>
      </c>
      <c r="N8" s="11" t="s">
        <v>7</v>
      </c>
      <c r="O8" s="11" t="s">
        <v>10</v>
      </c>
      <c r="P8" s="11">
        <v>-38.611207</v>
      </c>
      <c r="Q8" s="11">
        <v>145.53807900000001</v>
      </c>
      <c r="R8" s="11" t="s">
        <v>588</v>
      </c>
      <c r="S8" s="11" t="s">
        <v>588</v>
      </c>
      <c r="T8" s="11">
        <v>2</v>
      </c>
      <c r="U8" s="11">
        <v>2</v>
      </c>
      <c r="V8" s="11" t="s">
        <v>588</v>
      </c>
      <c r="W8" s="11" t="s">
        <v>588</v>
      </c>
      <c r="X8" s="11">
        <v>3</v>
      </c>
      <c r="Y8" s="11">
        <v>3</v>
      </c>
      <c r="Z8" s="11" t="s">
        <v>41</v>
      </c>
      <c r="AA8" s="13">
        <v>44904</v>
      </c>
      <c r="AB8" s="11">
        <v>9</v>
      </c>
      <c r="AC8" s="11">
        <v>12</v>
      </c>
      <c r="AD8" s="11">
        <v>2022</v>
      </c>
      <c r="AE8" s="13" t="s">
        <v>781</v>
      </c>
      <c r="AF8" s="11" t="s">
        <v>7</v>
      </c>
      <c r="AG8" s="13">
        <v>44918</v>
      </c>
      <c r="AH8" s="11">
        <v>23</v>
      </c>
      <c r="AI8" s="11">
        <v>12</v>
      </c>
      <c r="AJ8" s="11">
        <v>2022</v>
      </c>
      <c r="AK8" s="13" t="s">
        <v>782</v>
      </c>
      <c r="AL8" s="11" t="s">
        <v>7</v>
      </c>
      <c r="AM8" s="11" t="s">
        <v>20</v>
      </c>
      <c r="AN8" s="11" t="s">
        <v>588</v>
      </c>
      <c r="AO8" s="11" t="s">
        <v>20</v>
      </c>
      <c r="AP8" s="11" t="s">
        <v>588</v>
      </c>
      <c r="AQ8" s="11" t="s">
        <v>588</v>
      </c>
      <c r="AR8" s="11" t="s">
        <v>588</v>
      </c>
      <c r="AS8" s="11" t="s">
        <v>588</v>
      </c>
      <c r="AT8" s="11" t="s">
        <v>588</v>
      </c>
      <c r="AU8" s="7" t="s">
        <v>588</v>
      </c>
      <c r="AV8" s="11" t="s">
        <v>588</v>
      </c>
      <c r="AW8" s="11" t="s">
        <v>588</v>
      </c>
      <c r="AX8" s="11" t="s">
        <v>588</v>
      </c>
      <c r="AY8" s="11" t="s">
        <v>588</v>
      </c>
      <c r="AZ8" s="11" t="s">
        <v>588</v>
      </c>
      <c r="BA8" s="7" t="s">
        <v>588</v>
      </c>
      <c r="BB8" s="11" t="s">
        <v>588</v>
      </c>
      <c r="BC8" s="11" t="s">
        <v>588</v>
      </c>
      <c r="BD8" s="11" t="s">
        <v>588</v>
      </c>
      <c r="BE8" s="11" t="s">
        <v>588</v>
      </c>
      <c r="BF8" s="11" t="s">
        <v>588</v>
      </c>
      <c r="BG8" s="7" t="s">
        <v>588</v>
      </c>
      <c r="BH8" s="11" t="s">
        <v>588</v>
      </c>
      <c r="BI8" s="11" t="s">
        <v>588</v>
      </c>
      <c r="BJ8" s="11" t="s">
        <v>588</v>
      </c>
      <c r="BK8" s="11" t="s">
        <v>588</v>
      </c>
      <c r="BL8" s="11" t="s">
        <v>588</v>
      </c>
      <c r="BM8" s="11" t="s">
        <v>588</v>
      </c>
      <c r="BN8" s="11" t="s">
        <v>588</v>
      </c>
      <c r="BO8" s="11" t="s">
        <v>588</v>
      </c>
      <c r="BP8" s="11" t="s">
        <v>588</v>
      </c>
      <c r="BQ8" s="11" t="s">
        <v>588</v>
      </c>
      <c r="BR8" s="11" t="s">
        <v>588</v>
      </c>
      <c r="BS8" s="11" t="s">
        <v>8</v>
      </c>
      <c r="BT8" s="11" t="s">
        <v>9</v>
      </c>
      <c r="BU8" s="11" t="s">
        <v>9</v>
      </c>
      <c r="BV8" s="11" t="s">
        <v>588</v>
      </c>
      <c r="BW8" s="11" t="s">
        <v>588</v>
      </c>
      <c r="BX8" s="11" t="s">
        <v>588</v>
      </c>
      <c r="BY8" s="11" t="s">
        <v>588</v>
      </c>
      <c r="BZ8" s="11" t="s">
        <v>588</v>
      </c>
      <c r="CA8" s="17" t="s">
        <v>588</v>
      </c>
      <c r="CB8" s="11" t="s">
        <v>588</v>
      </c>
      <c r="CC8" s="11" t="s">
        <v>588</v>
      </c>
      <c r="CD8" s="11" t="s">
        <v>588</v>
      </c>
      <c r="CE8" s="11" t="s">
        <v>588</v>
      </c>
      <c r="CF8" s="11" t="s">
        <v>588</v>
      </c>
      <c r="CG8" s="11" t="s">
        <v>588</v>
      </c>
      <c r="CH8" s="11" t="s">
        <v>588</v>
      </c>
      <c r="CI8" s="11" t="s">
        <v>588</v>
      </c>
      <c r="CJ8" s="11" t="s">
        <v>588</v>
      </c>
      <c r="CK8" s="11" t="s">
        <v>588</v>
      </c>
      <c r="CL8" s="11" t="s">
        <v>588</v>
      </c>
      <c r="CM8" s="11" t="s">
        <v>588</v>
      </c>
      <c r="CN8" s="11" t="s">
        <v>588</v>
      </c>
      <c r="CO8" s="11" t="s">
        <v>588</v>
      </c>
      <c r="CP8" s="11" t="s">
        <v>588</v>
      </c>
      <c r="CQ8" s="11" t="s">
        <v>588</v>
      </c>
      <c r="CR8" s="11" t="s">
        <v>588</v>
      </c>
      <c r="CS8" s="11" t="s">
        <v>588</v>
      </c>
      <c r="CT8" s="11" t="s">
        <v>588</v>
      </c>
    </row>
    <row r="9" spans="1:98" x14ac:dyDescent="0.25">
      <c r="A9" s="11">
        <v>202223</v>
      </c>
      <c r="B9" s="11" t="s">
        <v>242</v>
      </c>
      <c r="C9" s="11" t="s">
        <v>242</v>
      </c>
      <c r="D9" s="11" t="s">
        <v>244</v>
      </c>
      <c r="E9" s="11" t="s">
        <v>243</v>
      </c>
      <c r="F9" s="11">
        <v>2</v>
      </c>
      <c r="G9" s="11" t="s">
        <v>457</v>
      </c>
      <c r="H9" s="11" t="s">
        <v>783</v>
      </c>
      <c r="I9" s="13">
        <v>44954</v>
      </c>
      <c r="J9" s="11">
        <v>28</v>
      </c>
      <c r="K9" s="11">
        <v>1</v>
      </c>
      <c r="L9" s="11">
        <v>2023</v>
      </c>
      <c r="M9" s="11" t="s">
        <v>763</v>
      </c>
      <c r="N9" s="11" t="s">
        <v>12</v>
      </c>
      <c r="O9" s="11" t="s">
        <v>10</v>
      </c>
      <c r="P9" s="11" t="s">
        <v>588</v>
      </c>
      <c r="Q9" s="11" t="s">
        <v>588</v>
      </c>
      <c r="R9" s="11">
        <v>-38.611350999999999</v>
      </c>
      <c r="S9" s="11">
        <v>145.53840600000001</v>
      </c>
      <c r="T9" s="11">
        <v>3</v>
      </c>
      <c r="U9" s="11">
        <v>3</v>
      </c>
      <c r="V9" s="11" t="s">
        <v>588</v>
      </c>
      <c r="W9" s="11" t="s">
        <v>588</v>
      </c>
      <c r="X9" s="11">
        <v>1</v>
      </c>
      <c r="Y9" s="11">
        <v>1</v>
      </c>
      <c r="Z9" s="11" t="s">
        <v>8</v>
      </c>
      <c r="AA9" s="13">
        <v>44954</v>
      </c>
      <c r="AB9" s="11">
        <v>28</v>
      </c>
      <c r="AC9" s="11">
        <v>1</v>
      </c>
      <c r="AD9" s="11">
        <v>2023</v>
      </c>
      <c r="AE9" s="13" t="s">
        <v>763</v>
      </c>
      <c r="AF9" s="11" t="s">
        <v>588</v>
      </c>
      <c r="AG9" s="11" t="s">
        <v>588</v>
      </c>
      <c r="AH9" s="11" t="s">
        <v>588</v>
      </c>
      <c r="AI9" s="11" t="s">
        <v>588</v>
      </c>
      <c r="AJ9" s="11" t="s">
        <v>588</v>
      </c>
      <c r="AK9" s="13" t="s">
        <v>588</v>
      </c>
      <c r="AL9" s="11" t="s">
        <v>588</v>
      </c>
      <c r="AM9" s="11" t="s">
        <v>588</v>
      </c>
      <c r="AN9" s="11" t="s">
        <v>588</v>
      </c>
      <c r="AO9" s="11" t="s">
        <v>588</v>
      </c>
      <c r="AP9" s="13">
        <v>44984</v>
      </c>
      <c r="AQ9" s="11" t="s">
        <v>21</v>
      </c>
      <c r="AR9" s="11" t="s">
        <v>194</v>
      </c>
      <c r="AS9" s="11">
        <v>2</v>
      </c>
      <c r="AT9" s="11">
        <v>3</v>
      </c>
      <c r="AU9" s="7" t="s">
        <v>588</v>
      </c>
      <c r="AV9" s="13" t="s">
        <v>588</v>
      </c>
      <c r="AW9" s="11" t="s">
        <v>588</v>
      </c>
      <c r="AX9" s="11" t="s">
        <v>588</v>
      </c>
      <c r="AY9" s="11" t="s">
        <v>588</v>
      </c>
      <c r="AZ9" s="11" t="s">
        <v>588</v>
      </c>
      <c r="BA9" s="7" t="s">
        <v>588</v>
      </c>
      <c r="BB9" s="11" t="s">
        <v>588</v>
      </c>
      <c r="BC9" s="11" t="s">
        <v>588</v>
      </c>
      <c r="BD9" s="11" t="s">
        <v>588</v>
      </c>
      <c r="BE9" s="11" t="s">
        <v>588</v>
      </c>
      <c r="BF9" s="11" t="s">
        <v>588</v>
      </c>
      <c r="BG9" s="7" t="s">
        <v>588</v>
      </c>
      <c r="BH9" s="11" t="s">
        <v>588</v>
      </c>
      <c r="BI9" s="11" t="s">
        <v>588</v>
      </c>
      <c r="BJ9" s="11" t="s">
        <v>588</v>
      </c>
      <c r="BK9" s="11" t="s">
        <v>588</v>
      </c>
      <c r="BL9" s="11" t="s">
        <v>588</v>
      </c>
      <c r="BM9" s="11">
        <v>5</v>
      </c>
      <c r="BN9" s="11">
        <v>5</v>
      </c>
      <c r="BO9" s="11" t="s">
        <v>8</v>
      </c>
      <c r="BP9" s="11">
        <v>2</v>
      </c>
      <c r="BQ9" s="13">
        <v>45002</v>
      </c>
      <c r="BR9" s="11" t="s">
        <v>22</v>
      </c>
      <c r="BS9" s="11" t="s">
        <v>8</v>
      </c>
      <c r="BT9" s="11" t="s">
        <v>9</v>
      </c>
      <c r="BU9" s="11" t="s">
        <v>9</v>
      </c>
      <c r="BV9" s="11" t="s">
        <v>8</v>
      </c>
      <c r="BW9" s="11" t="s">
        <v>9</v>
      </c>
      <c r="BX9" s="11" t="s">
        <v>9</v>
      </c>
      <c r="BY9" s="11" t="s">
        <v>458</v>
      </c>
      <c r="BZ9" s="11" t="s">
        <v>588</v>
      </c>
      <c r="CA9" s="17" t="s">
        <v>588</v>
      </c>
      <c r="CB9" s="11" t="s">
        <v>588</v>
      </c>
      <c r="CC9" s="11" t="s">
        <v>588</v>
      </c>
      <c r="CD9" s="11" t="s">
        <v>588</v>
      </c>
      <c r="CE9" s="11" t="s">
        <v>588</v>
      </c>
      <c r="CF9" s="11" t="s">
        <v>588</v>
      </c>
      <c r="CG9" s="11" t="s">
        <v>588</v>
      </c>
      <c r="CH9" s="11" t="s">
        <v>588</v>
      </c>
      <c r="CI9" s="11" t="s">
        <v>588</v>
      </c>
      <c r="CJ9" s="11" t="s">
        <v>588</v>
      </c>
      <c r="CK9" s="11" t="s">
        <v>588</v>
      </c>
      <c r="CL9" s="11" t="s">
        <v>588</v>
      </c>
      <c r="CM9" s="11" t="s">
        <v>588</v>
      </c>
      <c r="CN9" s="11" t="s">
        <v>588</v>
      </c>
      <c r="CO9" s="11" t="s">
        <v>588</v>
      </c>
      <c r="CP9" s="11" t="s">
        <v>588</v>
      </c>
      <c r="CQ9" s="11" t="s">
        <v>588</v>
      </c>
      <c r="CR9" s="11" t="s">
        <v>588</v>
      </c>
      <c r="CS9" s="11" t="s">
        <v>588</v>
      </c>
      <c r="CT9" s="11" t="s">
        <v>588</v>
      </c>
    </row>
    <row r="10" spans="1:98" x14ac:dyDescent="0.25">
      <c r="A10" s="11">
        <v>202223</v>
      </c>
      <c r="B10" s="11" t="s">
        <v>247</v>
      </c>
      <c r="C10" s="11" t="s">
        <v>247</v>
      </c>
      <c r="D10" s="11" t="s">
        <v>248</v>
      </c>
      <c r="E10" s="11" t="s">
        <v>249</v>
      </c>
      <c r="F10" s="11">
        <v>1</v>
      </c>
      <c r="G10" s="11" t="s">
        <v>459</v>
      </c>
      <c r="H10" s="11" t="s">
        <v>784</v>
      </c>
      <c r="I10" s="13">
        <v>44950</v>
      </c>
      <c r="J10" s="11">
        <v>24</v>
      </c>
      <c r="K10" s="11">
        <v>1</v>
      </c>
      <c r="L10" s="11">
        <v>2023</v>
      </c>
      <c r="M10" s="11" t="s">
        <v>785</v>
      </c>
      <c r="N10" s="11" t="s">
        <v>12</v>
      </c>
      <c r="O10" s="11" t="s">
        <v>10</v>
      </c>
      <c r="P10" s="11">
        <v>-38.605763000000003</v>
      </c>
      <c r="Q10" s="11">
        <v>145.53299699999999</v>
      </c>
      <c r="R10" s="11" t="s">
        <v>588</v>
      </c>
      <c r="S10" s="11" t="s">
        <v>588</v>
      </c>
      <c r="T10" s="11">
        <v>3</v>
      </c>
      <c r="U10" s="11">
        <v>3</v>
      </c>
      <c r="V10" s="11" t="s">
        <v>588</v>
      </c>
      <c r="W10" s="11" t="s">
        <v>588</v>
      </c>
      <c r="X10" s="11">
        <v>1</v>
      </c>
      <c r="Y10" s="11">
        <v>1</v>
      </c>
      <c r="Z10" s="11" t="s">
        <v>8</v>
      </c>
      <c r="AA10" s="13">
        <v>44950</v>
      </c>
      <c r="AB10" s="11">
        <v>24</v>
      </c>
      <c r="AC10" s="11">
        <v>1</v>
      </c>
      <c r="AD10" s="11">
        <v>2023</v>
      </c>
      <c r="AE10" s="13" t="s">
        <v>785</v>
      </c>
      <c r="AF10" s="11" t="s">
        <v>588</v>
      </c>
      <c r="AG10" s="11" t="s">
        <v>588</v>
      </c>
      <c r="AH10" s="11" t="s">
        <v>588</v>
      </c>
      <c r="AI10" s="11" t="s">
        <v>588</v>
      </c>
      <c r="AJ10" s="11" t="s">
        <v>588</v>
      </c>
      <c r="AK10" s="13" t="s">
        <v>588</v>
      </c>
      <c r="AL10" s="11" t="s">
        <v>588</v>
      </c>
      <c r="AM10" s="11" t="s">
        <v>588</v>
      </c>
      <c r="AN10" s="11" t="s">
        <v>588</v>
      </c>
      <c r="AO10" s="11" t="s">
        <v>588</v>
      </c>
      <c r="AP10" s="13">
        <v>44970</v>
      </c>
      <c r="AQ10" s="11" t="s">
        <v>21</v>
      </c>
      <c r="AR10" s="11" t="s">
        <v>195</v>
      </c>
      <c r="AS10" s="11">
        <v>1</v>
      </c>
      <c r="AT10" s="11">
        <v>3</v>
      </c>
      <c r="AU10" s="7" t="s">
        <v>588</v>
      </c>
      <c r="AV10" s="13" t="s">
        <v>588</v>
      </c>
      <c r="AW10" s="11" t="s">
        <v>588</v>
      </c>
      <c r="AX10" s="11" t="s">
        <v>588</v>
      </c>
      <c r="AY10" s="11" t="s">
        <v>588</v>
      </c>
      <c r="AZ10" s="11" t="s">
        <v>588</v>
      </c>
      <c r="BA10" s="7" t="s">
        <v>588</v>
      </c>
      <c r="BB10" s="13" t="s">
        <v>588</v>
      </c>
      <c r="BC10" s="11" t="s">
        <v>588</v>
      </c>
      <c r="BD10" s="11" t="s">
        <v>588</v>
      </c>
      <c r="BE10" s="11" t="s">
        <v>588</v>
      </c>
      <c r="BF10" s="11" t="s">
        <v>588</v>
      </c>
      <c r="BG10" s="7" t="s">
        <v>588</v>
      </c>
      <c r="BH10" s="11" t="s">
        <v>588</v>
      </c>
      <c r="BI10" s="11" t="s">
        <v>588</v>
      </c>
      <c r="BJ10" s="11" t="s">
        <v>588</v>
      </c>
      <c r="BK10" s="11" t="s">
        <v>588</v>
      </c>
      <c r="BL10" s="11" t="s">
        <v>588</v>
      </c>
      <c r="BM10" s="11">
        <v>5</v>
      </c>
      <c r="BN10" s="11">
        <v>5</v>
      </c>
      <c r="BO10" s="11" t="s">
        <v>8</v>
      </c>
      <c r="BP10" s="11">
        <v>1</v>
      </c>
      <c r="BQ10" s="13">
        <v>45002</v>
      </c>
      <c r="BR10" s="11" t="s">
        <v>22</v>
      </c>
      <c r="BS10" s="11" t="s">
        <v>41</v>
      </c>
      <c r="BT10" s="11" t="s">
        <v>588</v>
      </c>
      <c r="BU10" s="11" t="s">
        <v>42</v>
      </c>
      <c r="BV10" s="11" t="s">
        <v>8</v>
      </c>
      <c r="BW10" s="11" t="s">
        <v>222</v>
      </c>
      <c r="BX10" s="11" t="s">
        <v>222</v>
      </c>
      <c r="BY10" s="11" t="s">
        <v>588</v>
      </c>
      <c r="BZ10" s="11" t="s">
        <v>588</v>
      </c>
      <c r="CA10" s="17" t="s">
        <v>588</v>
      </c>
      <c r="CB10" s="11" t="s">
        <v>588</v>
      </c>
      <c r="CC10" s="11" t="s">
        <v>588</v>
      </c>
      <c r="CD10" s="11" t="s">
        <v>588</v>
      </c>
      <c r="CE10" s="11" t="s">
        <v>588</v>
      </c>
      <c r="CF10" s="11" t="s">
        <v>588</v>
      </c>
      <c r="CG10" s="11" t="s">
        <v>588</v>
      </c>
      <c r="CH10" s="11" t="s">
        <v>588</v>
      </c>
      <c r="CI10" s="11" t="s">
        <v>588</v>
      </c>
      <c r="CJ10" s="11" t="s">
        <v>588</v>
      </c>
      <c r="CK10" s="11" t="s">
        <v>588</v>
      </c>
      <c r="CL10" s="11" t="s">
        <v>588</v>
      </c>
      <c r="CM10" s="11" t="s">
        <v>588</v>
      </c>
      <c r="CN10" s="11" t="s">
        <v>588</v>
      </c>
      <c r="CO10" s="11" t="s">
        <v>588</v>
      </c>
      <c r="CP10" s="11" t="s">
        <v>588</v>
      </c>
      <c r="CQ10" s="11" t="s">
        <v>588</v>
      </c>
      <c r="CR10" s="11" t="s">
        <v>588</v>
      </c>
      <c r="CS10" s="11" t="s">
        <v>588</v>
      </c>
      <c r="CT10" s="11" t="s">
        <v>588</v>
      </c>
    </row>
    <row r="11" spans="1:98" x14ac:dyDescent="0.25">
      <c r="A11" s="11">
        <v>202223</v>
      </c>
      <c r="B11" s="11" t="s">
        <v>57</v>
      </c>
      <c r="C11" s="11" t="s">
        <v>57</v>
      </c>
      <c r="D11" s="11" t="s">
        <v>84</v>
      </c>
      <c r="E11" s="11" t="s">
        <v>16</v>
      </c>
      <c r="F11" s="11">
        <v>1</v>
      </c>
      <c r="G11" s="11" t="s">
        <v>786</v>
      </c>
      <c r="H11" s="11" t="s">
        <v>786</v>
      </c>
      <c r="I11" s="13">
        <v>44925</v>
      </c>
      <c r="J11" s="11">
        <v>30</v>
      </c>
      <c r="K11" s="11">
        <v>12</v>
      </c>
      <c r="L11" s="11">
        <v>2022</v>
      </c>
      <c r="M11" s="11" t="s">
        <v>787</v>
      </c>
      <c r="N11" s="11" t="s">
        <v>7</v>
      </c>
      <c r="O11" s="11" t="s">
        <v>51</v>
      </c>
      <c r="P11" s="11" t="s">
        <v>588</v>
      </c>
      <c r="Q11" s="11" t="s">
        <v>588</v>
      </c>
      <c r="R11" s="11">
        <v>-38.675859000000003</v>
      </c>
      <c r="S11" s="11">
        <v>145.60340199999999</v>
      </c>
      <c r="T11" s="11">
        <v>3</v>
      </c>
      <c r="U11" s="11">
        <v>3</v>
      </c>
      <c r="V11" s="11" t="s">
        <v>588</v>
      </c>
      <c r="W11" s="11" t="s">
        <v>588</v>
      </c>
      <c r="X11" s="11">
        <v>13</v>
      </c>
      <c r="Y11" s="11">
        <v>12</v>
      </c>
      <c r="Z11" s="11" t="s">
        <v>8</v>
      </c>
      <c r="AA11" s="13">
        <v>44941</v>
      </c>
      <c r="AB11" s="11">
        <v>15</v>
      </c>
      <c r="AC11" s="11">
        <v>1</v>
      </c>
      <c r="AD11" s="11">
        <v>2023</v>
      </c>
      <c r="AE11" s="13" t="s">
        <v>788</v>
      </c>
      <c r="AF11" s="11" t="s">
        <v>588</v>
      </c>
      <c r="AG11" s="11" t="s">
        <v>588</v>
      </c>
      <c r="AH11" s="11" t="s">
        <v>588</v>
      </c>
      <c r="AI11" s="11" t="s">
        <v>588</v>
      </c>
      <c r="AJ11" s="11" t="s">
        <v>588</v>
      </c>
      <c r="AK11" s="13" t="s">
        <v>588</v>
      </c>
      <c r="AL11" s="11" t="s">
        <v>588</v>
      </c>
      <c r="AM11" s="11" t="s">
        <v>588</v>
      </c>
      <c r="AN11" s="11" t="s">
        <v>588</v>
      </c>
      <c r="AO11" s="11" t="s">
        <v>588</v>
      </c>
      <c r="AP11" s="13">
        <v>44944</v>
      </c>
      <c r="AQ11" s="11" t="s">
        <v>12</v>
      </c>
      <c r="AR11" s="11" t="s">
        <v>195</v>
      </c>
      <c r="AS11" s="11">
        <v>3</v>
      </c>
      <c r="AT11" s="11">
        <v>3</v>
      </c>
      <c r="AU11" s="7">
        <v>44948</v>
      </c>
      <c r="AV11" s="13">
        <v>44950</v>
      </c>
      <c r="AW11" s="11" t="s">
        <v>12</v>
      </c>
      <c r="AX11" s="11" t="s">
        <v>20</v>
      </c>
      <c r="AY11" s="11" t="s">
        <v>588</v>
      </c>
      <c r="AZ11" s="11" t="s">
        <v>20</v>
      </c>
      <c r="BA11" s="7">
        <v>44956</v>
      </c>
      <c r="BB11" s="13">
        <v>44957</v>
      </c>
      <c r="BC11" s="11" t="s">
        <v>12</v>
      </c>
      <c r="BD11" s="11" t="s">
        <v>20</v>
      </c>
      <c r="BE11" s="11" t="s">
        <v>588</v>
      </c>
      <c r="BF11" s="11" t="s">
        <v>20</v>
      </c>
      <c r="BG11" s="7" t="s">
        <v>588</v>
      </c>
      <c r="BH11" s="11" t="s">
        <v>588</v>
      </c>
      <c r="BI11" s="11" t="s">
        <v>588</v>
      </c>
      <c r="BJ11" s="11" t="s">
        <v>588</v>
      </c>
      <c r="BK11" s="11" t="s">
        <v>588</v>
      </c>
      <c r="BL11" s="11" t="s">
        <v>588</v>
      </c>
      <c r="BM11" s="11">
        <v>49</v>
      </c>
      <c r="BN11" s="11">
        <v>43</v>
      </c>
      <c r="BO11" s="11" t="s">
        <v>8</v>
      </c>
      <c r="BP11" s="11">
        <v>1</v>
      </c>
      <c r="BQ11" s="13">
        <v>44991</v>
      </c>
      <c r="BR11" s="11" t="s">
        <v>22</v>
      </c>
      <c r="BS11" s="11" t="s">
        <v>8</v>
      </c>
      <c r="BT11" s="11" t="s">
        <v>9</v>
      </c>
      <c r="BU11" s="11" t="s">
        <v>9</v>
      </c>
      <c r="BV11" s="11" t="s">
        <v>8</v>
      </c>
      <c r="BW11" s="11" t="s">
        <v>222</v>
      </c>
      <c r="BX11" s="11" t="s">
        <v>222</v>
      </c>
      <c r="BY11" s="11" t="s">
        <v>588</v>
      </c>
      <c r="BZ11" s="11" t="s">
        <v>588</v>
      </c>
      <c r="CA11" s="17" t="s">
        <v>588</v>
      </c>
      <c r="CB11" s="11" t="s">
        <v>588</v>
      </c>
      <c r="CC11" s="11" t="s">
        <v>588</v>
      </c>
      <c r="CD11" s="11" t="s">
        <v>588</v>
      </c>
      <c r="CE11" s="11" t="s">
        <v>588</v>
      </c>
      <c r="CF11" s="11" t="s">
        <v>588</v>
      </c>
      <c r="CG11" s="11" t="s">
        <v>588</v>
      </c>
      <c r="CH11" s="11" t="s">
        <v>588</v>
      </c>
      <c r="CI11" s="11" t="s">
        <v>588</v>
      </c>
      <c r="CJ11" s="11" t="s">
        <v>588</v>
      </c>
      <c r="CK11" s="11" t="s">
        <v>588</v>
      </c>
      <c r="CL11" s="11" t="s">
        <v>588</v>
      </c>
      <c r="CM11" s="11" t="s">
        <v>588</v>
      </c>
      <c r="CN11" s="11" t="s">
        <v>588</v>
      </c>
      <c r="CO11" s="11" t="s">
        <v>588</v>
      </c>
      <c r="CP11" s="11" t="s">
        <v>588</v>
      </c>
      <c r="CQ11" s="11" t="s">
        <v>588</v>
      </c>
      <c r="CR11" s="11" t="s">
        <v>588</v>
      </c>
      <c r="CS11" s="11" t="s">
        <v>588</v>
      </c>
      <c r="CT11" s="11" t="s">
        <v>588</v>
      </c>
    </row>
    <row r="12" spans="1:98" x14ac:dyDescent="0.25">
      <c r="A12" s="11">
        <v>202223</v>
      </c>
      <c r="B12" s="11" t="s">
        <v>23</v>
      </c>
      <c r="C12" s="11" t="s">
        <v>23</v>
      </c>
      <c r="D12" s="11" t="s">
        <v>61</v>
      </c>
      <c r="E12" s="11" t="s">
        <v>16</v>
      </c>
      <c r="F12" s="11">
        <v>1</v>
      </c>
      <c r="G12" s="11" t="s">
        <v>789</v>
      </c>
      <c r="H12" s="11" t="s">
        <v>789</v>
      </c>
      <c r="I12" s="13">
        <v>44825</v>
      </c>
      <c r="J12" s="11">
        <v>21</v>
      </c>
      <c r="K12" s="11">
        <v>9</v>
      </c>
      <c r="L12" s="11">
        <v>2022</v>
      </c>
      <c r="M12" s="11" t="s">
        <v>790</v>
      </c>
      <c r="N12" s="11" t="s">
        <v>28</v>
      </c>
      <c r="O12" s="11" t="s">
        <v>36</v>
      </c>
      <c r="P12" s="11" t="s">
        <v>588</v>
      </c>
      <c r="Q12" s="11" t="s">
        <v>588</v>
      </c>
      <c r="R12" s="11">
        <v>-38.672322999999999</v>
      </c>
      <c r="S12" s="11">
        <v>145.62603999999999</v>
      </c>
      <c r="T12" s="11">
        <v>2</v>
      </c>
      <c r="U12" s="11">
        <v>3</v>
      </c>
      <c r="V12" s="11" t="s">
        <v>588</v>
      </c>
      <c r="W12" s="11" t="s">
        <v>588</v>
      </c>
      <c r="X12" s="11">
        <v>5</v>
      </c>
      <c r="Y12" s="11">
        <v>5</v>
      </c>
      <c r="Z12" s="11" t="s">
        <v>41</v>
      </c>
      <c r="AA12" s="13">
        <v>44831</v>
      </c>
      <c r="AB12" s="11">
        <v>27</v>
      </c>
      <c r="AC12" s="11">
        <v>9</v>
      </c>
      <c r="AD12" s="11">
        <v>2022</v>
      </c>
      <c r="AE12" s="13" t="s">
        <v>791</v>
      </c>
      <c r="AF12" s="11" t="s">
        <v>28</v>
      </c>
      <c r="AG12" s="13">
        <v>44835</v>
      </c>
      <c r="AH12" s="11">
        <v>1</v>
      </c>
      <c r="AI12" s="11">
        <v>10</v>
      </c>
      <c r="AJ12" s="11">
        <v>2022</v>
      </c>
      <c r="AK12" s="13" t="s">
        <v>792</v>
      </c>
      <c r="AL12" s="11" t="s">
        <v>29</v>
      </c>
      <c r="AM12" s="11" t="s">
        <v>20</v>
      </c>
      <c r="AN12" s="11" t="s">
        <v>588</v>
      </c>
      <c r="AO12" s="11" t="s">
        <v>48</v>
      </c>
      <c r="AP12" s="11" t="s">
        <v>588</v>
      </c>
      <c r="AQ12" s="11" t="s">
        <v>588</v>
      </c>
      <c r="AR12" s="11" t="s">
        <v>588</v>
      </c>
      <c r="AS12" s="11" t="s">
        <v>588</v>
      </c>
      <c r="AT12" s="11" t="s">
        <v>588</v>
      </c>
      <c r="AU12" s="7" t="s">
        <v>588</v>
      </c>
      <c r="AV12" s="11" t="s">
        <v>588</v>
      </c>
      <c r="AW12" s="11" t="s">
        <v>588</v>
      </c>
      <c r="AX12" s="11" t="s">
        <v>588</v>
      </c>
      <c r="AY12" s="11" t="s">
        <v>588</v>
      </c>
      <c r="AZ12" s="11" t="s">
        <v>588</v>
      </c>
      <c r="BA12" s="7" t="s">
        <v>588</v>
      </c>
      <c r="BB12" s="11" t="s">
        <v>588</v>
      </c>
      <c r="BC12" s="11" t="s">
        <v>588</v>
      </c>
      <c r="BD12" s="11" t="s">
        <v>588</v>
      </c>
      <c r="BE12" s="11" t="s">
        <v>588</v>
      </c>
      <c r="BF12" s="11" t="s">
        <v>588</v>
      </c>
      <c r="BG12" s="7" t="s">
        <v>588</v>
      </c>
      <c r="BH12" s="11" t="s">
        <v>588</v>
      </c>
      <c r="BI12" s="11" t="s">
        <v>588</v>
      </c>
      <c r="BJ12" s="11" t="s">
        <v>588</v>
      </c>
      <c r="BK12" s="11" t="s">
        <v>588</v>
      </c>
      <c r="BL12" s="11" t="s">
        <v>588</v>
      </c>
      <c r="BM12" s="11" t="s">
        <v>588</v>
      </c>
      <c r="BN12" s="11" t="s">
        <v>588</v>
      </c>
      <c r="BO12" s="11" t="s">
        <v>588</v>
      </c>
      <c r="BP12" s="11" t="s">
        <v>588</v>
      </c>
      <c r="BQ12" s="11" t="s">
        <v>588</v>
      </c>
      <c r="BR12" s="11" t="s">
        <v>588</v>
      </c>
      <c r="BS12" s="11" t="s">
        <v>8</v>
      </c>
      <c r="BT12" s="11" t="s">
        <v>9</v>
      </c>
      <c r="BU12" s="11" t="s">
        <v>9</v>
      </c>
      <c r="BV12" s="11" t="s">
        <v>8</v>
      </c>
      <c r="BW12" s="11" t="s">
        <v>9</v>
      </c>
      <c r="BX12" s="11" t="s">
        <v>9</v>
      </c>
      <c r="BY12" s="11" t="s">
        <v>588</v>
      </c>
      <c r="BZ12" s="11" t="s">
        <v>588</v>
      </c>
      <c r="CA12" s="17" t="s">
        <v>588</v>
      </c>
      <c r="CB12" s="11" t="s">
        <v>588</v>
      </c>
      <c r="CC12" s="11" t="s">
        <v>588</v>
      </c>
      <c r="CD12" s="11" t="s">
        <v>588</v>
      </c>
      <c r="CE12" s="11" t="s">
        <v>588</v>
      </c>
      <c r="CF12" s="11" t="s">
        <v>588</v>
      </c>
      <c r="CG12" s="11" t="s">
        <v>588</v>
      </c>
      <c r="CH12" s="11" t="s">
        <v>588</v>
      </c>
      <c r="CI12" s="11" t="s">
        <v>588</v>
      </c>
      <c r="CJ12" s="11" t="s">
        <v>588</v>
      </c>
      <c r="CK12" s="11" t="s">
        <v>588</v>
      </c>
      <c r="CL12" s="11" t="s">
        <v>588</v>
      </c>
      <c r="CM12" s="11" t="s">
        <v>588</v>
      </c>
      <c r="CN12" s="11" t="s">
        <v>588</v>
      </c>
      <c r="CO12" s="11" t="s">
        <v>588</v>
      </c>
      <c r="CP12" s="11" t="s">
        <v>588</v>
      </c>
      <c r="CQ12" s="11" t="s">
        <v>588</v>
      </c>
      <c r="CR12" s="11" t="s">
        <v>588</v>
      </c>
      <c r="CS12" s="11" t="s">
        <v>588</v>
      </c>
      <c r="CT12" s="11" t="s">
        <v>588</v>
      </c>
    </row>
    <row r="13" spans="1:98" x14ac:dyDescent="0.25">
      <c r="A13" s="11">
        <v>202223</v>
      </c>
      <c r="B13" s="11" t="s">
        <v>23</v>
      </c>
      <c r="C13" s="11" t="s">
        <v>23</v>
      </c>
      <c r="D13" s="11" t="s">
        <v>61</v>
      </c>
      <c r="E13" s="11" t="s">
        <v>16</v>
      </c>
      <c r="F13" s="11">
        <v>2</v>
      </c>
      <c r="G13" s="11" t="s">
        <v>793</v>
      </c>
      <c r="H13" s="11" t="s">
        <v>793</v>
      </c>
      <c r="I13" s="13">
        <v>44847</v>
      </c>
      <c r="J13" s="11">
        <v>13</v>
      </c>
      <c r="K13" s="11">
        <v>10</v>
      </c>
      <c r="L13" s="11">
        <v>2022</v>
      </c>
      <c r="M13" s="11" t="s">
        <v>794</v>
      </c>
      <c r="N13" s="11" t="s">
        <v>29</v>
      </c>
      <c r="O13" s="11" t="s">
        <v>10</v>
      </c>
      <c r="P13" s="11" t="s">
        <v>588</v>
      </c>
      <c r="Q13" s="11" t="s">
        <v>588</v>
      </c>
      <c r="R13" s="11">
        <v>-38.673932000000001</v>
      </c>
      <c r="S13" s="11">
        <v>145.621431</v>
      </c>
      <c r="T13" s="11">
        <v>3</v>
      </c>
      <c r="U13" s="11">
        <v>3</v>
      </c>
      <c r="V13" s="11" t="s">
        <v>588</v>
      </c>
      <c r="W13" s="11" t="s">
        <v>588</v>
      </c>
      <c r="X13" s="11">
        <v>5</v>
      </c>
      <c r="Y13" s="11">
        <v>5</v>
      </c>
      <c r="Z13" s="11" t="s">
        <v>41</v>
      </c>
      <c r="AA13" s="13">
        <v>44851</v>
      </c>
      <c r="AB13" s="11">
        <v>17</v>
      </c>
      <c r="AC13" s="11">
        <v>10</v>
      </c>
      <c r="AD13" s="11">
        <v>2022</v>
      </c>
      <c r="AE13" s="13" t="s">
        <v>795</v>
      </c>
      <c r="AF13" s="11" t="s">
        <v>29</v>
      </c>
      <c r="AG13" s="13">
        <v>44853</v>
      </c>
      <c r="AH13" s="11">
        <v>19</v>
      </c>
      <c r="AI13" s="11">
        <v>10</v>
      </c>
      <c r="AJ13" s="11">
        <v>2022</v>
      </c>
      <c r="AK13" s="13" t="s">
        <v>796</v>
      </c>
      <c r="AL13" s="11" t="s">
        <v>29</v>
      </c>
      <c r="AM13" s="11" t="s">
        <v>20</v>
      </c>
      <c r="AN13" s="11" t="s">
        <v>588</v>
      </c>
      <c r="AO13" s="11" t="s">
        <v>11</v>
      </c>
      <c r="AP13" s="11" t="s">
        <v>588</v>
      </c>
      <c r="AQ13" s="11" t="s">
        <v>588</v>
      </c>
      <c r="AR13" s="11" t="s">
        <v>588</v>
      </c>
      <c r="AS13" s="11" t="s">
        <v>588</v>
      </c>
      <c r="AT13" s="11" t="s">
        <v>588</v>
      </c>
      <c r="AU13" s="7" t="s">
        <v>588</v>
      </c>
      <c r="AV13" s="11" t="s">
        <v>588</v>
      </c>
      <c r="AW13" s="11" t="s">
        <v>588</v>
      </c>
      <c r="AX13" s="11" t="s">
        <v>588</v>
      </c>
      <c r="AY13" s="11" t="s">
        <v>588</v>
      </c>
      <c r="AZ13" s="11" t="s">
        <v>588</v>
      </c>
      <c r="BA13" s="7" t="s">
        <v>588</v>
      </c>
      <c r="BB13" s="11" t="s">
        <v>588</v>
      </c>
      <c r="BC13" s="11" t="s">
        <v>588</v>
      </c>
      <c r="BD13" s="11" t="s">
        <v>588</v>
      </c>
      <c r="BE13" s="11" t="s">
        <v>588</v>
      </c>
      <c r="BF13" s="11" t="s">
        <v>588</v>
      </c>
      <c r="BG13" s="7" t="s">
        <v>588</v>
      </c>
      <c r="BH13" s="11" t="s">
        <v>588</v>
      </c>
      <c r="BI13" s="11" t="s">
        <v>588</v>
      </c>
      <c r="BJ13" s="11" t="s">
        <v>588</v>
      </c>
      <c r="BK13" s="11" t="s">
        <v>588</v>
      </c>
      <c r="BL13" s="11" t="s">
        <v>588</v>
      </c>
      <c r="BM13" s="11" t="s">
        <v>588</v>
      </c>
      <c r="BN13" s="11" t="s">
        <v>588</v>
      </c>
      <c r="BO13" s="11" t="s">
        <v>588</v>
      </c>
      <c r="BP13" s="11" t="s">
        <v>588</v>
      </c>
      <c r="BQ13" s="11" t="s">
        <v>588</v>
      </c>
      <c r="BR13" s="11" t="s">
        <v>588</v>
      </c>
      <c r="BS13" s="11" t="s">
        <v>8</v>
      </c>
      <c r="BT13" s="11" t="s">
        <v>9</v>
      </c>
      <c r="BU13" s="11" t="s">
        <v>9</v>
      </c>
      <c r="BV13" s="11" t="s">
        <v>8</v>
      </c>
      <c r="BW13" s="11" t="s">
        <v>9</v>
      </c>
      <c r="BX13" s="11" t="s">
        <v>9</v>
      </c>
      <c r="BY13" s="11" t="s">
        <v>588</v>
      </c>
      <c r="BZ13" s="11" t="s">
        <v>588</v>
      </c>
      <c r="CA13" s="17" t="s">
        <v>588</v>
      </c>
      <c r="CB13" s="11" t="s">
        <v>588</v>
      </c>
      <c r="CC13" s="11" t="s">
        <v>588</v>
      </c>
      <c r="CD13" s="11" t="s">
        <v>588</v>
      </c>
      <c r="CE13" s="11" t="s">
        <v>588</v>
      </c>
      <c r="CF13" s="11" t="s">
        <v>588</v>
      </c>
      <c r="CG13" s="11" t="s">
        <v>588</v>
      </c>
      <c r="CH13" s="11" t="s">
        <v>588</v>
      </c>
      <c r="CI13" s="11" t="s">
        <v>588</v>
      </c>
      <c r="CJ13" s="11" t="s">
        <v>588</v>
      </c>
      <c r="CK13" s="11" t="s">
        <v>588</v>
      </c>
      <c r="CL13" s="11" t="s">
        <v>588</v>
      </c>
      <c r="CM13" s="11" t="s">
        <v>588</v>
      </c>
      <c r="CN13" s="11" t="s">
        <v>588</v>
      </c>
      <c r="CO13" s="11" t="s">
        <v>588</v>
      </c>
      <c r="CP13" s="11" t="s">
        <v>588</v>
      </c>
      <c r="CQ13" s="11" t="s">
        <v>588</v>
      </c>
      <c r="CR13" s="11" t="s">
        <v>588</v>
      </c>
      <c r="CS13" s="11" t="s">
        <v>588</v>
      </c>
      <c r="CT13" s="11" t="s">
        <v>588</v>
      </c>
    </row>
    <row r="14" spans="1:98" x14ac:dyDescent="0.25">
      <c r="A14" s="11">
        <v>202223</v>
      </c>
      <c r="B14" s="11" t="s">
        <v>23</v>
      </c>
      <c r="C14" s="11" t="s">
        <v>23</v>
      </c>
      <c r="D14" s="11" t="s">
        <v>61</v>
      </c>
      <c r="E14" s="11" t="s">
        <v>16</v>
      </c>
      <c r="F14" s="11">
        <v>3</v>
      </c>
      <c r="G14" s="11" t="s">
        <v>797</v>
      </c>
      <c r="H14" s="11" t="s">
        <v>797</v>
      </c>
      <c r="I14" s="13">
        <v>44884</v>
      </c>
      <c r="J14" s="11">
        <v>19</v>
      </c>
      <c r="K14" s="11">
        <v>11</v>
      </c>
      <c r="L14" s="11">
        <v>2022</v>
      </c>
      <c r="M14" s="11" t="s">
        <v>798</v>
      </c>
      <c r="N14" s="11" t="s">
        <v>17</v>
      </c>
      <c r="O14" s="11" t="s">
        <v>10</v>
      </c>
      <c r="P14" s="11" t="s">
        <v>588</v>
      </c>
      <c r="Q14" s="11" t="s">
        <v>588</v>
      </c>
      <c r="R14" s="11">
        <v>-38.673876</v>
      </c>
      <c r="S14" s="11">
        <v>145.621601</v>
      </c>
      <c r="T14" s="11">
        <v>1</v>
      </c>
      <c r="U14" s="11">
        <v>1</v>
      </c>
      <c r="V14" s="11" t="s">
        <v>588</v>
      </c>
      <c r="W14" s="11" t="s">
        <v>588</v>
      </c>
      <c r="X14" s="11">
        <v>4</v>
      </c>
      <c r="Y14" s="11">
        <v>4</v>
      </c>
      <c r="Z14" s="11" t="s">
        <v>41</v>
      </c>
      <c r="AA14" s="13">
        <v>44888</v>
      </c>
      <c r="AB14" s="11">
        <v>23</v>
      </c>
      <c r="AC14" s="11">
        <v>11</v>
      </c>
      <c r="AD14" s="11">
        <v>2022</v>
      </c>
      <c r="AE14" s="13" t="s">
        <v>799</v>
      </c>
      <c r="AF14" s="11" t="s">
        <v>17</v>
      </c>
      <c r="AG14" s="13">
        <v>44890</v>
      </c>
      <c r="AH14" s="11">
        <v>25</v>
      </c>
      <c r="AI14" s="11">
        <v>11</v>
      </c>
      <c r="AJ14" s="11">
        <v>2022</v>
      </c>
      <c r="AK14" s="13" t="s">
        <v>800</v>
      </c>
      <c r="AL14" s="11" t="s">
        <v>17</v>
      </c>
      <c r="AM14" s="11" t="s">
        <v>20</v>
      </c>
      <c r="AN14" s="11" t="s">
        <v>588</v>
      </c>
      <c r="AO14" s="11" t="s">
        <v>20</v>
      </c>
      <c r="AP14" s="11" t="s">
        <v>588</v>
      </c>
      <c r="AQ14" s="11" t="s">
        <v>588</v>
      </c>
      <c r="AR14" s="11" t="s">
        <v>588</v>
      </c>
      <c r="AS14" s="11" t="s">
        <v>588</v>
      </c>
      <c r="AT14" s="11" t="s">
        <v>588</v>
      </c>
      <c r="AU14" s="7" t="s">
        <v>588</v>
      </c>
      <c r="AV14" s="11" t="s">
        <v>588</v>
      </c>
      <c r="AW14" s="11" t="s">
        <v>588</v>
      </c>
      <c r="AX14" s="11" t="s">
        <v>588</v>
      </c>
      <c r="AY14" s="11" t="s">
        <v>588</v>
      </c>
      <c r="AZ14" s="11" t="s">
        <v>588</v>
      </c>
      <c r="BA14" s="7" t="s">
        <v>588</v>
      </c>
      <c r="BB14" s="11" t="s">
        <v>588</v>
      </c>
      <c r="BC14" s="11" t="s">
        <v>588</v>
      </c>
      <c r="BD14" s="11" t="s">
        <v>588</v>
      </c>
      <c r="BE14" s="11" t="s">
        <v>588</v>
      </c>
      <c r="BF14" s="11" t="s">
        <v>588</v>
      </c>
      <c r="BG14" s="7" t="s">
        <v>588</v>
      </c>
      <c r="BH14" s="11" t="s">
        <v>588</v>
      </c>
      <c r="BI14" s="11" t="s">
        <v>588</v>
      </c>
      <c r="BJ14" s="11" t="s">
        <v>588</v>
      </c>
      <c r="BK14" s="11" t="s">
        <v>588</v>
      </c>
      <c r="BL14" s="11" t="s">
        <v>588</v>
      </c>
      <c r="BM14" s="11" t="s">
        <v>588</v>
      </c>
      <c r="BN14" s="11" t="s">
        <v>588</v>
      </c>
      <c r="BO14" s="11" t="s">
        <v>588</v>
      </c>
      <c r="BP14" s="11" t="s">
        <v>588</v>
      </c>
      <c r="BQ14" s="11" t="s">
        <v>588</v>
      </c>
      <c r="BR14" s="11" t="s">
        <v>588</v>
      </c>
      <c r="BS14" s="11" t="s">
        <v>8</v>
      </c>
      <c r="BT14" s="11" t="s">
        <v>9</v>
      </c>
      <c r="BU14" s="11" t="s">
        <v>9</v>
      </c>
      <c r="BV14" s="11" t="s">
        <v>8</v>
      </c>
      <c r="BW14" s="11" t="s">
        <v>9</v>
      </c>
      <c r="BX14" s="11" t="s">
        <v>9</v>
      </c>
      <c r="BY14" s="11" t="s">
        <v>588</v>
      </c>
      <c r="BZ14" s="11" t="s">
        <v>588</v>
      </c>
      <c r="CA14" s="17" t="s">
        <v>588</v>
      </c>
      <c r="CB14" s="11" t="s">
        <v>588</v>
      </c>
      <c r="CC14" s="11" t="s">
        <v>588</v>
      </c>
      <c r="CD14" s="11" t="s">
        <v>588</v>
      </c>
      <c r="CE14" s="11" t="s">
        <v>588</v>
      </c>
      <c r="CF14" s="11" t="s">
        <v>588</v>
      </c>
      <c r="CG14" s="11" t="s">
        <v>588</v>
      </c>
      <c r="CH14" s="11" t="s">
        <v>588</v>
      </c>
      <c r="CI14" s="11" t="s">
        <v>588</v>
      </c>
      <c r="CJ14" s="11" t="s">
        <v>588</v>
      </c>
      <c r="CK14" s="11" t="s">
        <v>588</v>
      </c>
      <c r="CL14" s="11" t="s">
        <v>588</v>
      </c>
      <c r="CM14" s="11" t="s">
        <v>588</v>
      </c>
      <c r="CN14" s="11" t="s">
        <v>588</v>
      </c>
      <c r="CO14" s="11" t="s">
        <v>588</v>
      </c>
      <c r="CP14" s="11" t="s">
        <v>588</v>
      </c>
      <c r="CQ14" s="11" t="s">
        <v>588</v>
      </c>
      <c r="CR14" s="11" t="s">
        <v>588</v>
      </c>
      <c r="CS14" s="11" t="s">
        <v>588</v>
      </c>
      <c r="CT14" s="11" t="s">
        <v>588</v>
      </c>
    </row>
    <row r="15" spans="1:98" x14ac:dyDescent="0.25">
      <c r="A15" s="11">
        <v>202223</v>
      </c>
      <c r="B15" s="11" t="s">
        <v>23</v>
      </c>
      <c r="C15" s="11" t="s">
        <v>23</v>
      </c>
      <c r="D15" s="11" t="s">
        <v>61</v>
      </c>
      <c r="E15" s="11" t="s">
        <v>16</v>
      </c>
      <c r="F15" s="11">
        <v>4</v>
      </c>
      <c r="G15" s="11" t="s">
        <v>801</v>
      </c>
      <c r="H15" s="11" t="s">
        <v>801</v>
      </c>
      <c r="I15" s="13">
        <v>44914</v>
      </c>
      <c r="J15" s="11">
        <v>19</v>
      </c>
      <c r="K15" s="11">
        <v>12</v>
      </c>
      <c r="L15" s="11">
        <v>2022</v>
      </c>
      <c r="M15" s="11" t="s">
        <v>802</v>
      </c>
      <c r="N15" s="11" t="s">
        <v>7</v>
      </c>
      <c r="O15" s="11" t="s">
        <v>19</v>
      </c>
      <c r="P15" s="11" t="s">
        <v>588</v>
      </c>
      <c r="Q15" s="11" t="s">
        <v>588</v>
      </c>
      <c r="R15" s="11">
        <v>-38.674067999999998</v>
      </c>
      <c r="S15" s="11">
        <v>145.621287</v>
      </c>
      <c r="T15" s="11">
        <v>3</v>
      </c>
      <c r="U15" s="11">
        <v>3</v>
      </c>
      <c r="V15" s="11" t="s">
        <v>588</v>
      </c>
      <c r="W15" s="11" t="s">
        <v>588</v>
      </c>
      <c r="X15" s="11">
        <v>3</v>
      </c>
      <c r="Y15" s="11">
        <v>3</v>
      </c>
      <c r="Z15" s="11" t="s">
        <v>41</v>
      </c>
      <c r="AA15" s="13">
        <v>44925</v>
      </c>
      <c r="AB15" s="11">
        <v>30</v>
      </c>
      <c r="AC15" s="11">
        <v>12</v>
      </c>
      <c r="AD15" s="11">
        <v>2022</v>
      </c>
      <c r="AE15" s="13" t="s">
        <v>787</v>
      </c>
      <c r="AF15" s="11" t="s">
        <v>7</v>
      </c>
      <c r="AG15" s="13">
        <v>44927</v>
      </c>
      <c r="AH15" s="11">
        <v>1</v>
      </c>
      <c r="AI15" s="11">
        <v>1</v>
      </c>
      <c r="AJ15" s="11">
        <v>2023</v>
      </c>
      <c r="AK15" s="13" t="s">
        <v>803</v>
      </c>
      <c r="AL15" s="11" t="s">
        <v>12</v>
      </c>
      <c r="AM15" s="11" t="s">
        <v>20</v>
      </c>
      <c r="AN15" s="11" t="s">
        <v>588</v>
      </c>
      <c r="AO15" s="11" t="s">
        <v>20</v>
      </c>
      <c r="AP15" s="11" t="s">
        <v>588</v>
      </c>
      <c r="AQ15" s="11" t="s">
        <v>588</v>
      </c>
      <c r="AR15" s="11" t="s">
        <v>588</v>
      </c>
      <c r="AS15" s="11" t="s">
        <v>588</v>
      </c>
      <c r="AT15" s="11" t="s">
        <v>588</v>
      </c>
      <c r="AU15" s="7" t="s">
        <v>588</v>
      </c>
      <c r="AV15" s="11" t="s">
        <v>588</v>
      </c>
      <c r="AW15" s="11" t="s">
        <v>588</v>
      </c>
      <c r="AX15" s="11" t="s">
        <v>588</v>
      </c>
      <c r="AY15" s="11" t="s">
        <v>588</v>
      </c>
      <c r="AZ15" s="11" t="s">
        <v>588</v>
      </c>
      <c r="BA15" s="7" t="s">
        <v>588</v>
      </c>
      <c r="BB15" s="11" t="s">
        <v>588</v>
      </c>
      <c r="BC15" s="11" t="s">
        <v>588</v>
      </c>
      <c r="BD15" s="11" t="s">
        <v>588</v>
      </c>
      <c r="BE15" s="11" t="s">
        <v>588</v>
      </c>
      <c r="BF15" s="11" t="s">
        <v>588</v>
      </c>
      <c r="BG15" s="7" t="s">
        <v>588</v>
      </c>
      <c r="BH15" s="11" t="s">
        <v>588</v>
      </c>
      <c r="BI15" s="11" t="s">
        <v>588</v>
      </c>
      <c r="BJ15" s="11" t="s">
        <v>588</v>
      </c>
      <c r="BK15" s="11" t="s">
        <v>588</v>
      </c>
      <c r="BL15" s="11" t="s">
        <v>588</v>
      </c>
      <c r="BM15" s="11" t="s">
        <v>588</v>
      </c>
      <c r="BN15" s="11" t="s">
        <v>588</v>
      </c>
      <c r="BO15" s="11" t="s">
        <v>588</v>
      </c>
      <c r="BP15" s="11" t="s">
        <v>588</v>
      </c>
      <c r="BQ15" s="11" t="s">
        <v>588</v>
      </c>
      <c r="BR15" s="11" t="s">
        <v>588</v>
      </c>
      <c r="BS15" s="11" t="s">
        <v>8</v>
      </c>
      <c r="BT15" s="11" t="s">
        <v>9</v>
      </c>
      <c r="BU15" s="11" t="s">
        <v>9</v>
      </c>
      <c r="BV15" s="11" t="s">
        <v>8</v>
      </c>
      <c r="BW15" s="11" t="s">
        <v>9</v>
      </c>
      <c r="BX15" s="11" t="s">
        <v>9</v>
      </c>
      <c r="BY15" s="11" t="s">
        <v>588</v>
      </c>
      <c r="BZ15" s="11" t="s">
        <v>588</v>
      </c>
      <c r="CA15" s="17" t="s">
        <v>588</v>
      </c>
      <c r="CB15" s="11" t="s">
        <v>588</v>
      </c>
      <c r="CC15" s="11" t="s">
        <v>588</v>
      </c>
      <c r="CD15" s="11" t="s">
        <v>588</v>
      </c>
      <c r="CE15" s="11" t="s">
        <v>588</v>
      </c>
      <c r="CF15" s="11" t="s">
        <v>588</v>
      </c>
      <c r="CG15" s="11" t="s">
        <v>588</v>
      </c>
      <c r="CH15" s="11" t="s">
        <v>588</v>
      </c>
      <c r="CI15" s="11" t="s">
        <v>588</v>
      </c>
      <c r="CJ15" s="11" t="s">
        <v>588</v>
      </c>
      <c r="CK15" s="11" t="s">
        <v>588</v>
      </c>
      <c r="CL15" s="11" t="s">
        <v>588</v>
      </c>
      <c r="CM15" s="11" t="s">
        <v>588</v>
      </c>
      <c r="CN15" s="11" t="s">
        <v>588</v>
      </c>
      <c r="CO15" s="11" t="s">
        <v>588</v>
      </c>
      <c r="CP15" s="11" t="s">
        <v>588</v>
      </c>
      <c r="CQ15" s="11" t="s">
        <v>588</v>
      </c>
      <c r="CR15" s="11" t="s">
        <v>588</v>
      </c>
      <c r="CS15" s="11" t="s">
        <v>588</v>
      </c>
      <c r="CT15" s="11" t="s">
        <v>588</v>
      </c>
    </row>
    <row r="16" spans="1:98" x14ac:dyDescent="0.25">
      <c r="A16" s="11">
        <v>202223</v>
      </c>
      <c r="B16" s="11" t="s">
        <v>23</v>
      </c>
      <c r="C16" s="11" t="s">
        <v>23</v>
      </c>
      <c r="D16" s="11" t="s">
        <v>61</v>
      </c>
      <c r="E16" s="11" t="s">
        <v>16</v>
      </c>
      <c r="F16" s="11">
        <v>5</v>
      </c>
      <c r="G16" s="11" t="s">
        <v>804</v>
      </c>
      <c r="H16" s="11" t="s">
        <v>804</v>
      </c>
      <c r="I16" s="13">
        <v>44929</v>
      </c>
      <c r="J16" s="11">
        <v>3</v>
      </c>
      <c r="K16" s="11">
        <v>1</v>
      </c>
      <c r="L16" s="11">
        <v>2023</v>
      </c>
      <c r="M16" s="11" t="s">
        <v>776</v>
      </c>
      <c r="N16" s="11" t="s">
        <v>12</v>
      </c>
      <c r="O16" s="11" t="s">
        <v>19</v>
      </c>
      <c r="P16" s="11" t="s">
        <v>588</v>
      </c>
      <c r="Q16" s="11" t="s">
        <v>588</v>
      </c>
      <c r="R16" s="11">
        <v>-38.673898000000001</v>
      </c>
      <c r="S16" s="11">
        <v>145.621343</v>
      </c>
      <c r="T16" s="11">
        <v>3</v>
      </c>
      <c r="U16" s="11">
        <v>3</v>
      </c>
      <c r="V16" s="13">
        <v>44933</v>
      </c>
      <c r="W16" s="11" t="s">
        <v>223</v>
      </c>
      <c r="X16" s="11">
        <v>19</v>
      </c>
      <c r="Y16" s="11">
        <v>16</v>
      </c>
      <c r="Z16" s="11" t="s">
        <v>8</v>
      </c>
      <c r="AA16" s="13">
        <v>44959</v>
      </c>
      <c r="AB16" s="11">
        <v>2</v>
      </c>
      <c r="AC16" s="11">
        <v>2</v>
      </c>
      <c r="AD16" s="11">
        <v>2023</v>
      </c>
      <c r="AE16" s="13" t="s">
        <v>805</v>
      </c>
      <c r="AF16" s="11" t="s">
        <v>588</v>
      </c>
      <c r="AG16" s="11" t="s">
        <v>588</v>
      </c>
      <c r="AH16" s="11" t="s">
        <v>588</v>
      </c>
      <c r="AI16" s="11" t="s">
        <v>588</v>
      </c>
      <c r="AJ16" s="11" t="s">
        <v>588</v>
      </c>
      <c r="AK16" s="13" t="s">
        <v>588</v>
      </c>
      <c r="AL16" s="11" t="s">
        <v>588</v>
      </c>
      <c r="AM16" s="11" t="s">
        <v>588</v>
      </c>
      <c r="AN16" s="11" t="s">
        <v>588</v>
      </c>
      <c r="AO16" s="11" t="s">
        <v>588</v>
      </c>
      <c r="AP16" s="13">
        <v>44961</v>
      </c>
      <c r="AQ16" s="11" t="s">
        <v>21</v>
      </c>
      <c r="AR16" s="11" t="s">
        <v>195</v>
      </c>
      <c r="AS16" s="11">
        <v>2</v>
      </c>
      <c r="AT16" s="11">
        <v>3</v>
      </c>
      <c r="AU16" s="7">
        <v>44988</v>
      </c>
      <c r="AV16" s="13">
        <v>44989</v>
      </c>
      <c r="AW16" s="11" t="s">
        <v>22</v>
      </c>
      <c r="AX16" s="11" t="s">
        <v>20</v>
      </c>
      <c r="AY16" s="11" t="s">
        <v>588</v>
      </c>
      <c r="AZ16" s="11" t="s">
        <v>20</v>
      </c>
      <c r="BA16" s="7" t="s">
        <v>588</v>
      </c>
      <c r="BB16" s="11" t="s">
        <v>588</v>
      </c>
      <c r="BC16" s="11" t="s">
        <v>588</v>
      </c>
      <c r="BD16" s="11" t="s">
        <v>588</v>
      </c>
      <c r="BE16" s="11" t="s">
        <v>588</v>
      </c>
      <c r="BF16" s="11" t="s">
        <v>588</v>
      </c>
      <c r="BG16" s="7" t="s">
        <v>588</v>
      </c>
      <c r="BH16" s="11" t="s">
        <v>588</v>
      </c>
      <c r="BI16" s="11" t="s">
        <v>588</v>
      </c>
      <c r="BJ16" s="11" t="s">
        <v>588</v>
      </c>
      <c r="BK16" s="11" t="s">
        <v>588</v>
      </c>
      <c r="BL16" s="11" t="s">
        <v>588</v>
      </c>
      <c r="BM16" s="11">
        <v>38</v>
      </c>
      <c r="BN16" s="11">
        <v>32</v>
      </c>
      <c r="BO16" s="11" t="s">
        <v>8</v>
      </c>
      <c r="BP16" s="11">
        <v>1</v>
      </c>
      <c r="BQ16" s="13">
        <v>44999</v>
      </c>
      <c r="BR16" s="11" t="s">
        <v>22</v>
      </c>
      <c r="BS16" s="11" t="s">
        <v>8</v>
      </c>
      <c r="BT16" s="11" t="s">
        <v>9</v>
      </c>
      <c r="BU16" s="11" t="s">
        <v>9</v>
      </c>
      <c r="BV16" s="11" t="s">
        <v>8</v>
      </c>
      <c r="BW16" s="11" t="s">
        <v>9</v>
      </c>
      <c r="BX16" s="11" t="s">
        <v>97</v>
      </c>
      <c r="BY16" s="11" t="s">
        <v>588</v>
      </c>
      <c r="BZ16" s="11" t="s">
        <v>588</v>
      </c>
      <c r="CA16" s="17" t="s">
        <v>588</v>
      </c>
      <c r="CB16" s="11" t="s">
        <v>588</v>
      </c>
      <c r="CC16" s="11" t="s">
        <v>588</v>
      </c>
      <c r="CD16" s="11" t="s">
        <v>588</v>
      </c>
      <c r="CE16" s="11" t="s">
        <v>588</v>
      </c>
      <c r="CF16" s="11" t="s">
        <v>588</v>
      </c>
      <c r="CG16" s="11" t="s">
        <v>588</v>
      </c>
      <c r="CH16" s="11" t="s">
        <v>588</v>
      </c>
      <c r="CI16" s="11" t="s">
        <v>588</v>
      </c>
      <c r="CJ16" s="11" t="s">
        <v>588</v>
      </c>
      <c r="CK16" s="11" t="s">
        <v>588</v>
      </c>
      <c r="CL16" s="11" t="s">
        <v>588</v>
      </c>
      <c r="CM16" s="11" t="s">
        <v>588</v>
      </c>
      <c r="CN16" s="11" t="s">
        <v>588</v>
      </c>
      <c r="CO16" s="11" t="s">
        <v>588</v>
      </c>
      <c r="CP16" s="11" t="s">
        <v>588</v>
      </c>
      <c r="CQ16" s="11" t="s">
        <v>588</v>
      </c>
      <c r="CR16" s="11" t="s">
        <v>588</v>
      </c>
      <c r="CS16" s="11" t="s">
        <v>588</v>
      </c>
      <c r="CT16" s="11" t="s">
        <v>588</v>
      </c>
    </row>
    <row r="17" spans="1:98" x14ac:dyDescent="0.25">
      <c r="A17" s="11">
        <v>202223</v>
      </c>
      <c r="B17" s="11" t="s">
        <v>46</v>
      </c>
      <c r="C17" s="11" t="s">
        <v>46</v>
      </c>
      <c r="D17" s="11" t="s">
        <v>100</v>
      </c>
      <c r="E17" s="11" t="s">
        <v>16</v>
      </c>
      <c r="F17" s="11">
        <v>1</v>
      </c>
      <c r="G17" s="11" t="s">
        <v>806</v>
      </c>
      <c r="H17" s="11" t="s">
        <v>806</v>
      </c>
      <c r="I17" s="13">
        <v>44896</v>
      </c>
      <c r="J17" s="11">
        <v>1</v>
      </c>
      <c r="K17" s="11">
        <v>12</v>
      </c>
      <c r="L17" s="11">
        <v>2022</v>
      </c>
      <c r="M17" s="11" t="s">
        <v>807</v>
      </c>
      <c r="N17" s="11" t="s">
        <v>7</v>
      </c>
      <c r="O17" s="11" t="s">
        <v>10</v>
      </c>
      <c r="P17" s="11">
        <v>-38.663822000000003</v>
      </c>
      <c r="Q17" s="11">
        <v>145.583697</v>
      </c>
      <c r="R17" s="11" t="s">
        <v>588</v>
      </c>
      <c r="S17" s="11" t="s">
        <v>588</v>
      </c>
      <c r="T17" s="11">
        <v>1</v>
      </c>
      <c r="U17" s="11">
        <v>3</v>
      </c>
      <c r="V17" s="11" t="s">
        <v>588</v>
      </c>
      <c r="W17" s="11" t="s">
        <v>588</v>
      </c>
      <c r="X17" s="11">
        <v>2</v>
      </c>
      <c r="Y17" s="11">
        <v>2</v>
      </c>
      <c r="Z17" s="11" t="s">
        <v>41</v>
      </c>
      <c r="AA17" s="13">
        <v>44896</v>
      </c>
      <c r="AB17" s="11">
        <v>1</v>
      </c>
      <c r="AC17" s="11">
        <v>12</v>
      </c>
      <c r="AD17" s="11">
        <v>2022</v>
      </c>
      <c r="AE17" s="13" t="s">
        <v>807</v>
      </c>
      <c r="AF17" s="11" t="s">
        <v>7</v>
      </c>
      <c r="AG17" s="13">
        <v>44905</v>
      </c>
      <c r="AH17" s="11">
        <v>10</v>
      </c>
      <c r="AI17" s="11">
        <v>12</v>
      </c>
      <c r="AJ17" s="11">
        <v>2022</v>
      </c>
      <c r="AK17" s="13" t="s">
        <v>808</v>
      </c>
      <c r="AL17" s="11" t="s">
        <v>7</v>
      </c>
      <c r="AM17" s="11" t="s">
        <v>20</v>
      </c>
      <c r="AN17" s="11" t="s">
        <v>588</v>
      </c>
      <c r="AO17" s="11" t="s">
        <v>20</v>
      </c>
      <c r="AP17" s="11" t="s">
        <v>588</v>
      </c>
      <c r="AQ17" s="11" t="s">
        <v>588</v>
      </c>
      <c r="AR17" s="11" t="s">
        <v>588</v>
      </c>
      <c r="AS17" s="11" t="s">
        <v>588</v>
      </c>
      <c r="AT17" s="11" t="s">
        <v>588</v>
      </c>
      <c r="AU17" s="7" t="s">
        <v>588</v>
      </c>
      <c r="AV17" s="11" t="s">
        <v>588</v>
      </c>
      <c r="AW17" s="11" t="s">
        <v>588</v>
      </c>
      <c r="AX17" s="11" t="s">
        <v>588</v>
      </c>
      <c r="AY17" s="11" t="s">
        <v>588</v>
      </c>
      <c r="AZ17" s="11" t="s">
        <v>588</v>
      </c>
      <c r="BA17" s="7" t="s">
        <v>588</v>
      </c>
      <c r="BB17" s="11" t="s">
        <v>588</v>
      </c>
      <c r="BC17" s="11" t="s">
        <v>588</v>
      </c>
      <c r="BD17" s="11" t="s">
        <v>588</v>
      </c>
      <c r="BE17" s="11" t="s">
        <v>588</v>
      </c>
      <c r="BF17" s="11" t="s">
        <v>588</v>
      </c>
      <c r="BG17" s="7" t="s">
        <v>588</v>
      </c>
      <c r="BH17" s="11" t="s">
        <v>588</v>
      </c>
      <c r="BI17" s="11" t="s">
        <v>588</v>
      </c>
      <c r="BJ17" s="11" t="s">
        <v>588</v>
      </c>
      <c r="BK17" s="11" t="s">
        <v>588</v>
      </c>
      <c r="BL17" s="11" t="s">
        <v>588</v>
      </c>
      <c r="BM17" s="11" t="s">
        <v>588</v>
      </c>
      <c r="BN17" s="11" t="s">
        <v>588</v>
      </c>
      <c r="BO17" s="11" t="s">
        <v>588</v>
      </c>
      <c r="BP17" s="11" t="s">
        <v>588</v>
      </c>
      <c r="BQ17" s="11" t="s">
        <v>588</v>
      </c>
      <c r="BR17" s="11" t="s">
        <v>588</v>
      </c>
      <c r="BS17" s="11" t="s">
        <v>41</v>
      </c>
      <c r="BT17" s="11" t="s">
        <v>588</v>
      </c>
      <c r="BU17" s="11" t="s">
        <v>42</v>
      </c>
      <c r="BV17" s="11" t="s">
        <v>8</v>
      </c>
      <c r="BW17" s="11" t="s">
        <v>9</v>
      </c>
      <c r="BX17" s="11" t="s">
        <v>9</v>
      </c>
      <c r="BY17" s="11" t="s">
        <v>588</v>
      </c>
      <c r="BZ17" s="11" t="s">
        <v>588</v>
      </c>
      <c r="CA17" s="17" t="s">
        <v>588</v>
      </c>
      <c r="CB17" s="11" t="s">
        <v>588</v>
      </c>
      <c r="CC17" s="11" t="s">
        <v>588</v>
      </c>
      <c r="CD17" s="11" t="s">
        <v>588</v>
      </c>
      <c r="CE17" s="11" t="s">
        <v>588</v>
      </c>
      <c r="CF17" s="11" t="s">
        <v>588</v>
      </c>
      <c r="CG17" s="11" t="s">
        <v>588</v>
      </c>
      <c r="CH17" s="11" t="s">
        <v>588</v>
      </c>
      <c r="CI17" s="11" t="s">
        <v>588</v>
      </c>
      <c r="CJ17" s="11" t="s">
        <v>588</v>
      </c>
      <c r="CK17" s="11" t="s">
        <v>588</v>
      </c>
      <c r="CL17" s="11" t="s">
        <v>588</v>
      </c>
      <c r="CM17" s="11" t="s">
        <v>588</v>
      </c>
      <c r="CN17" s="11" t="s">
        <v>588</v>
      </c>
      <c r="CO17" s="11" t="s">
        <v>588</v>
      </c>
      <c r="CP17" s="11" t="s">
        <v>588</v>
      </c>
      <c r="CQ17" s="11" t="s">
        <v>588</v>
      </c>
      <c r="CR17" s="11" t="s">
        <v>588</v>
      </c>
      <c r="CS17" s="11" t="s">
        <v>588</v>
      </c>
      <c r="CT17" s="11" t="s">
        <v>588</v>
      </c>
    </row>
    <row r="18" spans="1:98" x14ac:dyDescent="0.25">
      <c r="A18" s="11">
        <v>202223</v>
      </c>
      <c r="B18" s="11" t="s">
        <v>14</v>
      </c>
      <c r="C18" s="11" t="s">
        <v>14</v>
      </c>
      <c r="D18" s="11" t="s">
        <v>82</v>
      </c>
      <c r="E18" s="11" t="s">
        <v>16</v>
      </c>
      <c r="F18" s="11">
        <v>1</v>
      </c>
      <c r="G18" s="11" t="s">
        <v>809</v>
      </c>
      <c r="H18" s="11" t="s">
        <v>809</v>
      </c>
      <c r="I18" s="13">
        <v>44888</v>
      </c>
      <c r="J18" s="11">
        <v>23</v>
      </c>
      <c r="K18" s="11">
        <v>11</v>
      </c>
      <c r="L18" s="11">
        <v>2022</v>
      </c>
      <c r="M18" s="11" t="s">
        <v>799</v>
      </c>
      <c r="N18" s="11" t="s">
        <v>17</v>
      </c>
      <c r="O18" s="11" t="s">
        <v>19</v>
      </c>
      <c r="P18" s="11" t="s">
        <v>588</v>
      </c>
      <c r="Q18" s="11" t="s">
        <v>588</v>
      </c>
      <c r="R18" s="11">
        <v>-38.659638000000001</v>
      </c>
      <c r="S18" s="11">
        <v>145.580736</v>
      </c>
      <c r="T18" s="11">
        <v>2</v>
      </c>
      <c r="U18" s="11">
        <v>3</v>
      </c>
      <c r="V18" s="11" t="s">
        <v>588</v>
      </c>
      <c r="W18" s="11" t="s">
        <v>588</v>
      </c>
      <c r="X18" s="11">
        <v>2</v>
      </c>
      <c r="Y18" s="11">
        <v>2</v>
      </c>
      <c r="Z18" s="11" t="s">
        <v>41</v>
      </c>
      <c r="AA18" s="13">
        <v>44888</v>
      </c>
      <c r="AB18" s="11">
        <v>23</v>
      </c>
      <c r="AC18" s="11">
        <v>11</v>
      </c>
      <c r="AD18" s="11">
        <v>2022</v>
      </c>
      <c r="AE18" s="13" t="s">
        <v>799</v>
      </c>
      <c r="AF18" s="11" t="s">
        <v>17</v>
      </c>
      <c r="AG18" s="13">
        <v>44891</v>
      </c>
      <c r="AH18" s="11">
        <v>26</v>
      </c>
      <c r="AI18" s="11">
        <v>11</v>
      </c>
      <c r="AJ18" s="11">
        <v>2022</v>
      </c>
      <c r="AK18" s="13" t="s">
        <v>810</v>
      </c>
      <c r="AL18" s="11" t="s">
        <v>17</v>
      </c>
      <c r="AM18" s="11" t="s">
        <v>20</v>
      </c>
      <c r="AN18" s="11" t="s">
        <v>588</v>
      </c>
      <c r="AO18" s="11" t="s">
        <v>48</v>
      </c>
      <c r="AP18" s="11" t="s">
        <v>588</v>
      </c>
      <c r="AQ18" s="11" t="s">
        <v>588</v>
      </c>
      <c r="AR18" s="11" t="s">
        <v>588</v>
      </c>
      <c r="AS18" s="11" t="s">
        <v>588</v>
      </c>
      <c r="AT18" s="11" t="s">
        <v>588</v>
      </c>
      <c r="AU18" s="7" t="s">
        <v>588</v>
      </c>
      <c r="AV18" s="11" t="s">
        <v>588</v>
      </c>
      <c r="AW18" s="11" t="s">
        <v>588</v>
      </c>
      <c r="AX18" s="11" t="s">
        <v>588</v>
      </c>
      <c r="AY18" s="11" t="s">
        <v>588</v>
      </c>
      <c r="AZ18" s="11" t="s">
        <v>588</v>
      </c>
      <c r="BA18" s="7" t="s">
        <v>588</v>
      </c>
      <c r="BB18" s="11" t="s">
        <v>588</v>
      </c>
      <c r="BC18" s="11" t="s">
        <v>588</v>
      </c>
      <c r="BD18" s="11" t="s">
        <v>588</v>
      </c>
      <c r="BE18" s="11" t="s">
        <v>588</v>
      </c>
      <c r="BF18" s="11" t="s">
        <v>588</v>
      </c>
      <c r="BG18" s="7" t="s">
        <v>588</v>
      </c>
      <c r="BH18" s="11" t="s">
        <v>588</v>
      </c>
      <c r="BI18" s="11" t="s">
        <v>588</v>
      </c>
      <c r="BJ18" s="11" t="s">
        <v>588</v>
      </c>
      <c r="BK18" s="11" t="s">
        <v>588</v>
      </c>
      <c r="BL18" s="11" t="s">
        <v>588</v>
      </c>
      <c r="BM18" s="11" t="s">
        <v>588</v>
      </c>
      <c r="BN18" s="11" t="s">
        <v>588</v>
      </c>
      <c r="BO18" s="11" t="s">
        <v>588</v>
      </c>
      <c r="BP18" s="11" t="s">
        <v>588</v>
      </c>
      <c r="BQ18" s="11" t="s">
        <v>588</v>
      </c>
      <c r="BR18" s="11" t="s">
        <v>588</v>
      </c>
      <c r="BS18" s="11" t="s">
        <v>8</v>
      </c>
      <c r="BT18" s="11" t="s">
        <v>18</v>
      </c>
      <c r="BU18" s="11" t="s">
        <v>18</v>
      </c>
      <c r="BV18" s="11" t="s">
        <v>8</v>
      </c>
      <c r="BW18" s="11" t="s">
        <v>9</v>
      </c>
      <c r="BX18" s="11" t="s">
        <v>9</v>
      </c>
      <c r="BY18" s="11" t="s">
        <v>588</v>
      </c>
      <c r="BZ18" s="11" t="s">
        <v>588</v>
      </c>
      <c r="CA18" s="17" t="s">
        <v>588</v>
      </c>
      <c r="CB18" s="11" t="s">
        <v>588</v>
      </c>
      <c r="CC18" s="11" t="s">
        <v>588</v>
      </c>
      <c r="CD18" s="11" t="s">
        <v>588</v>
      </c>
      <c r="CE18" s="11" t="s">
        <v>588</v>
      </c>
      <c r="CF18" s="11" t="s">
        <v>588</v>
      </c>
      <c r="CG18" s="11" t="s">
        <v>588</v>
      </c>
      <c r="CH18" s="11" t="s">
        <v>588</v>
      </c>
      <c r="CI18" s="11" t="s">
        <v>588</v>
      </c>
      <c r="CJ18" s="11" t="s">
        <v>588</v>
      </c>
      <c r="CK18" s="11" t="s">
        <v>588</v>
      </c>
      <c r="CL18" s="11" t="s">
        <v>588</v>
      </c>
      <c r="CM18" s="11" t="s">
        <v>588</v>
      </c>
      <c r="CN18" s="11" t="s">
        <v>588</v>
      </c>
      <c r="CO18" s="11" t="s">
        <v>588</v>
      </c>
      <c r="CP18" s="11" t="s">
        <v>588</v>
      </c>
      <c r="CQ18" s="11" t="s">
        <v>588</v>
      </c>
      <c r="CR18" s="11" t="s">
        <v>588</v>
      </c>
      <c r="CS18" s="11" t="s">
        <v>588</v>
      </c>
      <c r="CT18" s="11" t="s">
        <v>588</v>
      </c>
    </row>
    <row r="19" spans="1:98" x14ac:dyDescent="0.25">
      <c r="A19" s="11">
        <v>202223</v>
      </c>
      <c r="B19" s="11" t="s">
        <v>14</v>
      </c>
      <c r="C19" s="11" t="s">
        <v>14</v>
      </c>
      <c r="D19" s="11" t="s">
        <v>82</v>
      </c>
      <c r="E19" s="11" t="s">
        <v>16</v>
      </c>
      <c r="F19" s="11">
        <v>2</v>
      </c>
      <c r="G19" s="11" t="s">
        <v>811</v>
      </c>
      <c r="H19" s="11" t="s">
        <v>811</v>
      </c>
      <c r="I19" s="13">
        <v>44956</v>
      </c>
      <c r="J19" s="11">
        <v>30</v>
      </c>
      <c r="K19" s="11">
        <v>1</v>
      </c>
      <c r="L19" s="11">
        <v>2023</v>
      </c>
      <c r="M19" s="11" t="s">
        <v>812</v>
      </c>
      <c r="N19" s="11" t="s">
        <v>12</v>
      </c>
      <c r="O19" s="11" t="s">
        <v>19</v>
      </c>
      <c r="P19" s="11">
        <v>-38.659734999999998</v>
      </c>
      <c r="Q19" s="11">
        <v>145.58070499999999</v>
      </c>
      <c r="R19" s="11" t="s">
        <v>588</v>
      </c>
      <c r="S19" s="11" t="s">
        <v>588</v>
      </c>
      <c r="T19" s="11">
        <v>2</v>
      </c>
      <c r="U19" s="11">
        <v>2</v>
      </c>
      <c r="V19" s="11" t="s">
        <v>588</v>
      </c>
      <c r="W19" s="11" t="s">
        <v>588</v>
      </c>
      <c r="X19" s="11">
        <v>1</v>
      </c>
      <c r="Y19" s="11">
        <v>1</v>
      </c>
      <c r="Z19" s="11" t="s">
        <v>8</v>
      </c>
      <c r="AA19" s="13">
        <v>44956</v>
      </c>
      <c r="AB19" s="11">
        <v>30</v>
      </c>
      <c r="AC19" s="11">
        <v>1</v>
      </c>
      <c r="AD19" s="11">
        <v>2023</v>
      </c>
      <c r="AE19" s="13" t="s">
        <v>812</v>
      </c>
      <c r="AF19" s="11" t="s">
        <v>588</v>
      </c>
      <c r="AG19" s="11" t="s">
        <v>588</v>
      </c>
      <c r="AH19" s="11" t="s">
        <v>588</v>
      </c>
      <c r="AI19" s="11" t="s">
        <v>588</v>
      </c>
      <c r="AJ19" s="11" t="s">
        <v>588</v>
      </c>
      <c r="AK19" s="13" t="s">
        <v>588</v>
      </c>
      <c r="AL19" s="11" t="s">
        <v>588</v>
      </c>
      <c r="AM19" s="11" t="s">
        <v>588</v>
      </c>
      <c r="AN19" s="11" t="s">
        <v>588</v>
      </c>
      <c r="AO19" s="11" t="s">
        <v>588</v>
      </c>
      <c r="AP19" s="13">
        <v>44963</v>
      </c>
      <c r="AQ19" s="11" t="s">
        <v>21</v>
      </c>
      <c r="AR19" s="11" t="s">
        <v>195</v>
      </c>
      <c r="AS19" s="11">
        <v>2</v>
      </c>
      <c r="AT19" s="11">
        <v>2</v>
      </c>
      <c r="AU19" s="7" t="s">
        <v>588</v>
      </c>
      <c r="AV19" s="11" t="s">
        <v>588</v>
      </c>
      <c r="AW19" s="11" t="s">
        <v>588</v>
      </c>
      <c r="AX19" s="11" t="s">
        <v>588</v>
      </c>
      <c r="AY19" s="11" t="s">
        <v>588</v>
      </c>
      <c r="AZ19" s="11" t="s">
        <v>588</v>
      </c>
      <c r="BA19" s="7" t="s">
        <v>588</v>
      </c>
      <c r="BB19" s="11" t="s">
        <v>588</v>
      </c>
      <c r="BC19" s="11" t="s">
        <v>588</v>
      </c>
      <c r="BD19" s="11" t="s">
        <v>588</v>
      </c>
      <c r="BE19" s="11" t="s">
        <v>588</v>
      </c>
      <c r="BF19" s="11" t="s">
        <v>588</v>
      </c>
      <c r="BG19" s="7" t="s">
        <v>588</v>
      </c>
      <c r="BH19" s="11" t="s">
        <v>588</v>
      </c>
      <c r="BI19" s="11" t="s">
        <v>588</v>
      </c>
      <c r="BJ19" s="11" t="s">
        <v>588</v>
      </c>
      <c r="BK19" s="11" t="s">
        <v>588</v>
      </c>
      <c r="BL19" s="11" t="s">
        <v>588</v>
      </c>
      <c r="BM19" s="11">
        <v>8</v>
      </c>
      <c r="BN19" s="11">
        <v>8</v>
      </c>
      <c r="BO19" s="11" t="s">
        <v>8</v>
      </c>
      <c r="BP19" s="11">
        <v>2</v>
      </c>
      <c r="BQ19" s="13">
        <v>45005</v>
      </c>
      <c r="BR19" s="11" t="s">
        <v>22</v>
      </c>
      <c r="BS19" s="11" t="s">
        <v>8</v>
      </c>
      <c r="BT19" s="11" t="s">
        <v>9</v>
      </c>
      <c r="BU19" s="11" t="s">
        <v>9</v>
      </c>
      <c r="BV19" s="11" t="s">
        <v>8</v>
      </c>
      <c r="BW19" s="11" t="s">
        <v>13</v>
      </c>
      <c r="BX19" s="11" t="s">
        <v>9</v>
      </c>
      <c r="BY19" s="11" t="s">
        <v>588</v>
      </c>
      <c r="BZ19" s="11" t="s">
        <v>588</v>
      </c>
      <c r="CA19" s="17" t="s">
        <v>588</v>
      </c>
      <c r="CB19" s="11" t="s">
        <v>588</v>
      </c>
      <c r="CC19" s="11" t="s">
        <v>588</v>
      </c>
      <c r="CD19" s="11" t="s">
        <v>588</v>
      </c>
      <c r="CE19" s="11" t="s">
        <v>588</v>
      </c>
      <c r="CF19" s="11" t="s">
        <v>588</v>
      </c>
      <c r="CG19" s="11" t="s">
        <v>588</v>
      </c>
      <c r="CH19" s="11" t="s">
        <v>588</v>
      </c>
      <c r="CI19" s="11" t="s">
        <v>588</v>
      </c>
      <c r="CJ19" s="11" t="s">
        <v>588</v>
      </c>
      <c r="CK19" s="11" t="s">
        <v>588</v>
      </c>
      <c r="CL19" s="11" t="s">
        <v>588</v>
      </c>
      <c r="CM19" s="11" t="s">
        <v>588</v>
      </c>
      <c r="CN19" s="11" t="s">
        <v>588</v>
      </c>
      <c r="CO19" s="11" t="s">
        <v>588</v>
      </c>
      <c r="CP19" s="11" t="s">
        <v>588</v>
      </c>
      <c r="CQ19" s="11" t="s">
        <v>588</v>
      </c>
      <c r="CR19" s="11" t="s">
        <v>588</v>
      </c>
      <c r="CS19" s="11" t="s">
        <v>588</v>
      </c>
      <c r="CT19" s="11" t="s">
        <v>588</v>
      </c>
    </row>
    <row r="20" spans="1:98" x14ac:dyDescent="0.25">
      <c r="A20" s="11">
        <v>202223</v>
      </c>
      <c r="B20" s="11" t="s">
        <v>460</v>
      </c>
      <c r="C20" s="11" t="s">
        <v>460</v>
      </c>
      <c r="D20" s="11" t="s">
        <v>388</v>
      </c>
      <c r="E20" s="11" t="s">
        <v>267</v>
      </c>
      <c r="F20" s="11">
        <v>1</v>
      </c>
      <c r="G20" s="11" t="s">
        <v>461</v>
      </c>
      <c r="H20" s="11" t="s">
        <v>813</v>
      </c>
      <c r="I20" s="13">
        <v>44956</v>
      </c>
      <c r="J20" s="11">
        <v>30</v>
      </c>
      <c r="K20" s="11">
        <v>1</v>
      </c>
      <c r="L20" s="11">
        <v>2023</v>
      </c>
      <c r="M20" s="11" t="s">
        <v>812</v>
      </c>
      <c r="N20" s="11" t="s">
        <v>12</v>
      </c>
      <c r="O20" s="11" t="s">
        <v>10</v>
      </c>
      <c r="P20" s="11">
        <v>-38.643459999999997</v>
      </c>
      <c r="Q20" s="11">
        <v>145.55761000000001</v>
      </c>
      <c r="R20" s="11" t="s">
        <v>588</v>
      </c>
      <c r="S20" s="11" t="s">
        <v>588</v>
      </c>
      <c r="T20" s="11">
        <v>3</v>
      </c>
      <c r="U20" s="11">
        <v>3</v>
      </c>
      <c r="V20" s="11" t="s">
        <v>588</v>
      </c>
      <c r="W20" s="11" t="s">
        <v>588</v>
      </c>
      <c r="X20" s="11">
        <v>2</v>
      </c>
      <c r="Y20" s="11">
        <v>2</v>
      </c>
      <c r="Z20" s="11" t="s">
        <v>8</v>
      </c>
      <c r="AA20" s="13">
        <v>44963</v>
      </c>
      <c r="AB20" s="11">
        <v>6</v>
      </c>
      <c r="AC20" s="11">
        <v>2</v>
      </c>
      <c r="AD20" s="11">
        <v>2023</v>
      </c>
      <c r="AE20" s="13" t="s">
        <v>814</v>
      </c>
      <c r="AF20" s="11" t="s">
        <v>588</v>
      </c>
      <c r="AG20" s="13" t="s">
        <v>588</v>
      </c>
      <c r="AH20" s="11" t="s">
        <v>588</v>
      </c>
      <c r="AI20" s="11" t="s">
        <v>588</v>
      </c>
      <c r="AJ20" s="11" t="s">
        <v>588</v>
      </c>
      <c r="AK20" s="13" t="s">
        <v>588</v>
      </c>
      <c r="AL20" s="11" t="s">
        <v>588</v>
      </c>
      <c r="AM20" s="13" t="s">
        <v>588</v>
      </c>
      <c r="AN20" s="11" t="s">
        <v>588</v>
      </c>
      <c r="AO20" s="13" t="s">
        <v>588</v>
      </c>
      <c r="AP20" s="13">
        <v>44968</v>
      </c>
      <c r="AQ20" s="11" t="s">
        <v>21</v>
      </c>
      <c r="AR20" s="11" t="s">
        <v>195</v>
      </c>
      <c r="AS20" s="11">
        <v>1</v>
      </c>
      <c r="AT20" s="11">
        <v>1</v>
      </c>
      <c r="AU20" s="7">
        <v>44985</v>
      </c>
      <c r="AV20" s="13">
        <v>45001</v>
      </c>
      <c r="AW20" s="11" t="s">
        <v>22</v>
      </c>
      <c r="AX20" s="11" t="s">
        <v>20</v>
      </c>
      <c r="AY20" s="11" t="s">
        <v>588</v>
      </c>
      <c r="AZ20" s="11" t="s">
        <v>20</v>
      </c>
      <c r="BA20" s="7" t="s">
        <v>588</v>
      </c>
      <c r="BB20" s="11" t="s">
        <v>588</v>
      </c>
      <c r="BC20" s="11" t="s">
        <v>588</v>
      </c>
      <c r="BD20" s="11" t="s">
        <v>588</v>
      </c>
      <c r="BE20" s="11" t="s">
        <v>588</v>
      </c>
      <c r="BF20" s="11" t="s">
        <v>588</v>
      </c>
      <c r="BG20" s="7" t="s">
        <v>588</v>
      </c>
      <c r="BH20" s="11" t="s">
        <v>588</v>
      </c>
      <c r="BI20" s="11" t="s">
        <v>588</v>
      </c>
      <c r="BJ20" s="11" t="s">
        <v>588</v>
      </c>
      <c r="BK20" s="11" t="s">
        <v>588</v>
      </c>
      <c r="BL20" s="11" t="s">
        <v>588</v>
      </c>
      <c r="BM20" s="11">
        <v>6</v>
      </c>
      <c r="BN20" s="11">
        <v>6</v>
      </c>
      <c r="BO20" s="11" t="s">
        <v>41</v>
      </c>
      <c r="BP20" s="11" t="s">
        <v>588</v>
      </c>
      <c r="BQ20" s="11" t="s">
        <v>588</v>
      </c>
      <c r="BR20" s="11" t="s">
        <v>588</v>
      </c>
      <c r="BS20" s="11" t="s">
        <v>8</v>
      </c>
      <c r="BT20" s="11" t="s">
        <v>9</v>
      </c>
      <c r="BU20" s="11" t="s">
        <v>9</v>
      </c>
      <c r="BV20" s="11" t="s">
        <v>8</v>
      </c>
      <c r="BW20" s="11" t="s">
        <v>9</v>
      </c>
      <c r="BX20" s="11" t="s">
        <v>9</v>
      </c>
      <c r="BY20" s="11" t="s">
        <v>462</v>
      </c>
      <c r="BZ20" s="11" t="s">
        <v>588</v>
      </c>
      <c r="CA20" s="17" t="s">
        <v>588</v>
      </c>
      <c r="CB20" s="11" t="s">
        <v>588</v>
      </c>
      <c r="CC20" s="11" t="s">
        <v>588</v>
      </c>
      <c r="CD20" s="11" t="s">
        <v>588</v>
      </c>
      <c r="CE20" s="11" t="s">
        <v>588</v>
      </c>
      <c r="CF20" s="11" t="s">
        <v>588</v>
      </c>
      <c r="CG20" s="11" t="s">
        <v>588</v>
      </c>
      <c r="CH20" s="11" t="s">
        <v>588</v>
      </c>
      <c r="CI20" s="11" t="s">
        <v>588</v>
      </c>
      <c r="CJ20" s="11" t="s">
        <v>588</v>
      </c>
      <c r="CK20" s="11" t="s">
        <v>588</v>
      </c>
      <c r="CL20" s="11" t="s">
        <v>588</v>
      </c>
      <c r="CM20" s="11" t="s">
        <v>588</v>
      </c>
      <c r="CN20" s="11" t="s">
        <v>588</v>
      </c>
      <c r="CO20" s="11" t="s">
        <v>588</v>
      </c>
      <c r="CP20" s="11" t="s">
        <v>588</v>
      </c>
      <c r="CQ20" s="11" t="s">
        <v>588</v>
      </c>
      <c r="CR20" s="11" t="s">
        <v>588</v>
      </c>
      <c r="CS20" s="11" t="s">
        <v>588</v>
      </c>
      <c r="CT20" s="11" t="s">
        <v>588</v>
      </c>
    </row>
    <row r="21" spans="1:98" x14ac:dyDescent="0.25">
      <c r="A21" s="11">
        <v>202223</v>
      </c>
      <c r="B21" s="11" t="s">
        <v>269</v>
      </c>
      <c r="C21" s="11" t="s">
        <v>269</v>
      </c>
      <c r="D21" s="11" t="s">
        <v>270</v>
      </c>
      <c r="E21" s="11" t="s">
        <v>16</v>
      </c>
      <c r="F21" s="11">
        <v>1</v>
      </c>
      <c r="G21" s="11" t="s">
        <v>463</v>
      </c>
      <c r="H21" s="11" t="s">
        <v>815</v>
      </c>
      <c r="I21" s="13">
        <v>44936</v>
      </c>
      <c r="J21" s="11">
        <v>10</v>
      </c>
      <c r="K21" s="11">
        <v>1</v>
      </c>
      <c r="L21" s="11">
        <v>2023</v>
      </c>
      <c r="M21" s="11" t="s">
        <v>778</v>
      </c>
      <c r="N21" s="11" t="s">
        <v>12</v>
      </c>
      <c r="O21" s="11" t="s">
        <v>10</v>
      </c>
      <c r="P21" s="11" t="s">
        <v>588</v>
      </c>
      <c r="Q21" s="11" t="s">
        <v>588</v>
      </c>
      <c r="R21" s="11">
        <v>-38.631790000000002</v>
      </c>
      <c r="S21" s="11">
        <v>145.550781</v>
      </c>
      <c r="T21" s="11">
        <v>2</v>
      </c>
      <c r="U21" s="11">
        <v>2</v>
      </c>
      <c r="V21" s="11" t="s">
        <v>588</v>
      </c>
      <c r="W21" s="11" t="s">
        <v>588</v>
      </c>
      <c r="X21" s="11">
        <v>2</v>
      </c>
      <c r="Y21" s="11">
        <v>2</v>
      </c>
      <c r="Z21" s="11" t="s">
        <v>8</v>
      </c>
      <c r="AA21" s="13">
        <v>44942</v>
      </c>
      <c r="AB21" s="11">
        <v>16</v>
      </c>
      <c r="AC21" s="11">
        <v>1</v>
      </c>
      <c r="AD21" s="11">
        <v>2023</v>
      </c>
      <c r="AE21" s="13" t="s">
        <v>816</v>
      </c>
      <c r="AF21" s="11" t="s">
        <v>588</v>
      </c>
      <c r="AG21" s="13" t="s">
        <v>588</v>
      </c>
      <c r="AH21" s="11" t="s">
        <v>588</v>
      </c>
      <c r="AI21" s="11" t="s">
        <v>588</v>
      </c>
      <c r="AJ21" s="11" t="s">
        <v>588</v>
      </c>
      <c r="AK21" s="13" t="s">
        <v>588</v>
      </c>
      <c r="AL21" s="11" t="s">
        <v>588</v>
      </c>
      <c r="AM21" s="13" t="s">
        <v>588</v>
      </c>
      <c r="AN21" s="11" t="s">
        <v>588</v>
      </c>
      <c r="AO21" s="13" t="s">
        <v>588</v>
      </c>
      <c r="AP21" s="13">
        <v>44954</v>
      </c>
      <c r="AQ21" s="11" t="s">
        <v>12</v>
      </c>
      <c r="AR21" s="11" t="s">
        <v>195</v>
      </c>
      <c r="AS21" s="11">
        <v>2</v>
      </c>
      <c r="AT21" s="11">
        <v>2</v>
      </c>
      <c r="AU21" s="7">
        <v>44954</v>
      </c>
      <c r="AV21" s="13">
        <v>44963</v>
      </c>
      <c r="AW21" s="11" t="s">
        <v>21</v>
      </c>
      <c r="AX21" s="11" t="s">
        <v>20</v>
      </c>
      <c r="AY21" s="11" t="s">
        <v>588</v>
      </c>
      <c r="AZ21" s="11" t="s">
        <v>20</v>
      </c>
      <c r="BA21" s="7">
        <v>44954</v>
      </c>
      <c r="BB21" s="13">
        <v>44963</v>
      </c>
      <c r="BC21" s="11" t="s">
        <v>21</v>
      </c>
      <c r="BD21" s="11" t="s">
        <v>20</v>
      </c>
      <c r="BE21" s="11" t="s">
        <v>588</v>
      </c>
      <c r="BF21" s="11" t="s">
        <v>20</v>
      </c>
      <c r="BG21" s="7" t="s">
        <v>588</v>
      </c>
      <c r="BH21" s="11" t="s">
        <v>588</v>
      </c>
      <c r="BI21" s="11" t="s">
        <v>588</v>
      </c>
      <c r="BJ21" s="11" t="s">
        <v>588</v>
      </c>
      <c r="BK21" s="11" t="s">
        <v>588</v>
      </c>
      <c r="BL21" s="11" t="s">
        <v>588</v>
      </c>
      <c r="BM21" s="11">
        <v>3</v>
      </c>
      <c r="BN21" s="11">
        <v>3</v>
      </c>
      <c r="BO21" s="11" t="s">
        <v>41</v>
      </c>
      <c r="BP21" s="11" t="s">
        <v>588</v>
      </c>
      <c r="BQ21" s="11" t="s">
        <v>588</v>
      </c>
      <c r="BR21" s="11" t="s">
        <v>588</v>
      </c>
      <c r="BS21" s="11" t="s">
        <v>8</v>
      </c>
      <c r="BT21" s="11" t="s">
        <v>9</v>
      </c>
      <c r="BU21" s="11" t="s">
        <v>9</v>
      </c>
      <c r="BV21" s="11" t="s">
        <v>8</v>
      </c>
      <c r="BW21" s="11" t="s">
        <v>96</v>
      </c>
      <c r="BX21" s="11" t="s">
        <v>9</v>
      </c>
      <c r="BY21" s="11" t="s">
        <v>588</v>
      </c>
      <c r="BZ21" s="11" t="s">
        <v>588</v>
      </c>
      <c r="CA21" s="17" t="s">
        <v>588</v>
      </c>
      <c r="CB21" s="11" t="s">
        <v>588</v>
      </c>
      <c r="CC21" s="11" t="s">
        <v>588</v>
      </c>
      <c r="CD21" s="11" t="s">
        <v>588</v>
      </c>
      <c r="CE21" s="11" t="s">
        <v>588</v>
      </c>
      <c r="CF21" s="11" t="s">
        <v>588</v>
      </c>
      <c r="CG21" s="11" t="s">
        <v>588</v>
      </c>
      <c r="CH21" s="11" t="s">
        <v>588</v>
      </c>
      <c r="CI21" s="11" t="s">
        <v>588</v>
      </c>
      <c r="CJ21" s="11" t="s">
        <v>588</v>
      </c>
      <c r="CK21" s="11" t="s">
        <v>588</v>
      </c>
      <c r="CL21" s="11" t="s">
        <v>588</v>
      </c>
      <c r="CM21" s="11" t="s">
        <v>588</v>
      </c>
      <c r="CN21" s="11" t="s">
        <v>588</v>
      </c>
      <c r="CO21" s="11" t="s">
        <v>588</v>
      </c>
      <c r="CP21" s="11" t="s">
        <v>588</v>
      </c>
      <c r="CQ21" s="11" t="s">
        <v>588</v>
      </c>
      <c r="CR21" s="11" t="s">
        <v>588</v>
      </c>
      <c r="CS21" s="11" t="s">
        <v>588</v>
      </c>
      <c r="CT21" s="11" t="s">
        <v>588</v>
      </c>
    </row>
    <row r="22" spans="1:98" x14ac:dyDescent="0.25">
      <c r="A22" s="11">
        <v>202223</v>
      </c>
      <c r="B22" s="11" t="s">
        <v>269</v>
      </c>
      <c r="C22" s="11" t="s">
        <v>269</v>
      </c>
      <c r="D22" s="11" t="s">
        <v>270</v>
      </c>
      <c r="E22" s="11" t="s">
        <v>16</v>
      </c>
      <c r="F22" s="11">
        <v>2</v>
      </c>
      <c r="G22" s="11" t="s">
        <v>464</v>
      </c>
      <c r="H22" s="11" t="s">
        <v>817</v>
      </c>
      <c r="I22" s="13">
        <v>44973</v>
      </c>
      <c r="J22" s="11">
        <v>16</v>
      </c>
      <c r="K22" s="11">
        <v>2</v>
      </c>
      <c r="L22" s="11">
        <v>2023</v>
      </c>
      <c r="M22" s="11" t="s">
        <v>764</v>
      </c>
      <c r="N22" s="11" t="s">
        <v>21</v>
      </c>
      <c r="O22" s="11" t="s">
        <v>51</v>
      </c>
      <c r="P22" s="11">
        <v>-38.635663999999998</v>
      </c>
      <c r="Q22" s="11">
        <v>145.55238800000001</v>
      </c>
      <c r="R22" s="11" t="s">
        <v>588</v>
      </c>
      <c r="S22" s="11" t="s">
        <v>588</v>
      </c>
      <c r="T22" s="11">
        <v>3</v>
      </c>
      <c r="U22" s="11">
        <v>3</v>
      </c>
      <c r="V22" s="11" t="s">
        <v>588</v>
      </c>
      <c r="W22" s="11" t="s">
        <v>588</v>
      </c>
      <c r="X22" s="11">
        <v>4</v>
      </c>
      <c r="Y22" s="11">
        <v>4</v>
      </c>
      <c r="Z22" s="11" t="s">
        <v>41</v>
      </c>
      <c r="AA22" s="13">
        <v>44991</v>
      </c>
      <c r="AB22" s="11">
        <v>6</v>
      </c>
      <c r="AC22" s="11">
        <v>3</v>
      </c>
      <c r="AD22" s="11">
        <v>2023</v>
      </c>
      <c r="AE22" s="13" t="s">
        <v>818</v>
      </c>
      <c r="AF22" s="11" t="s">
        <v>22</v>
      </c>
      <c r="AG22" s="13">
        <v>45001</v>
      </c>
      <c r="AH22" s="11">
        <v>16</v>
      </c>
      <c r="AI22" s="11">
        <v>3</v>
      </c>
      <c r="AJ22" s="11">
        <v>2023</v>
      </c>
      <c r="AK22" s="13" t="s">
        <v>819</v>
      </c>
      <c r="AL22" s="11" t="s">
        <v>22</v>
      </c>
      <c r="AM22" s="11" t="s">
        <v>20</v>
      </c>
      <c r="AN22" s="11" t="s">
        <v>588</v>
      </c>
      <c r="AO22" s="11" t="s">
        <v>20</v>
      </c>
      <c r="AP22" s="11" t="s">
        <v>588</v>
      </c>
      <c r="AQ22" s="11" t="s">
        <v>588</v>
      </c>
      <c r="AR22" s="11" t="s">
        <v>588</v>
      </c>
      <c r="AS22" s="11" t="s">
        <v>588</v>
      </c>
      <c r="AT22" s="11" t="s">
        <v>588</v>
      </c>
      <c r="AU22" s="7" t="s">
        <v>588</v>
      </c>
      <c r="AV22" s="13" t="s">
        <v>588</v>
      </c>
      <c r="AW22" s="11" t="s">
        <v>588</v>
      </c>
      <c r="AX22" s="11" t="s">
        <v>588</v>
      </c>
      <c r="AY22" s="11" t="s">
        <v>588</v>
      </c>
      <c r="AZ22" s="11" t="s">
        <v>588</v>
      </c>
      <c r="BA22" s="7" t="s">
        <v>588</v>
      </c>
      <c r="BB22" s="11" t="s">
        <v>588</v>
      </c>
      <c r="BC22" s="11" t="s">
        <v>588</v>
      </c>
      <c r="BD22" s="11" t="s">
        <v>588</v>
      </c>
      <c r="BE22" s="11" t="s">
        <v>588</v>
      </c>
      <c r="BF22" s="11" t="s">
        <v>588</v>
      </c>
      <c r="BG22" s="7" t="s">
        <v>588</v>
      </c>
      <c r="BH22" s="11" t="s">
        <v>588</v>
      </c>
      <c r="BI22" s="11" t="s">
        <v>588</v>
      </c>
      <c r="BJ22" s="11" t="s">
        <v>588</v>
      </c>
      <c r="BK22" s="11" t="s">
        <v>588</v>
      </c>
      <c r="BL22" s="11" t="s">
        <v>588</v>
      </c>
      <c r="BM22" s="11" t="s">
        <v>588</v>
      </c>
      <c r="BN22" s="11" t="s">
        <v>588</v>
      </c>
      <c r="BO22" s="11" t="s">
        <v>588</v>
      </c>
      <c r="BP22" s="11" t="s">
        <v>588</v>
      </c>
      <c r="BQ22" s="11" t="s">
        <v>588</v>
      </c>
      <c r="BR22" s="11" t="s">
        <v>588</v>
      </c>
      <c r="BS22" s="11" t="s">
        <v>8</v>
      </c>
      <c r="BT22" s="11" t="s">
        <v>9</v>
      </c>
      <c r="BU22" s="11" t="s">
        <v>9</v>
      </c>
      <c r="BV22" s="11" t="s">
        <v>8</v>
      </c>
      <c r="BW22" s="11" t="s">
        <v>96</v>
      </c>
      <c r="BX22" s="11" t="s">
        <v>96</v>
      </c>
      <c r="BY22" s="11" t="s">
        <v>588</v>
      </c>
      <c r="BZ22" s="11" t="s">
        <v>588</v>
      </c>
      <c r="CA22" s="17" t="s">
        <v>588</v>
      </c>
      <c r="CB22" s="11" t="s">
        <v>588</v>
      </c>
      <c r="CC22" s="11" t="s">
        <v>588</v>
      </c>
      <c r="CD22" s="11" t="s">
        <v>588</v>
      </c>
      <c r="CE22" s="11" t="s">
        <v>588</v>
      </c>
      <c r="CF22" s="11" t="s">
        <v>588</v>
      </c>
      <c r="CG22" s="11" t="s">
        <v>588</v>
      </c>
      <c r="CH22" s="11" t="s">
        <v>588</v>
      </c>
      <c r="CI22" s="11" t="s">
        <v>588</v>
      </c>
      <c r="CJ22" s="11" t="s">
        <v>588</v>
      </c>
      <c r="CK22" s="11" t="s">
        <v>588</v>
      </c>
      <c r="CL22" s="11" t="s">
        <v>588</v>
      </c>
      <c r="CM22" s="11" t="s">
        <v>588</v>
      </c>
      <c r="CN22" s="11" t="s">
        <v>588</v>
      </c>
      <c r="CO22" s="11" t="s">
        <v>588</v>
      </c>
      <c r="CP22" s="11" t="s">
        <v>588</v>
      </c>
      <c r="CQ22" s="11" t="s">
        <v>588</v>
      </c>
      <c r="CR22" s="11" t="s">
        <v>588</v>
      </c>
      <c r="CS22" s="11" t="s">
        <v>588</v>
      </c>
      <c r="CT22" s="11" t="s">
        <v>588</v>
      </c>
    </row>
    <row r="23" spans="1:98" x14ac:dyDescent="0.25">
      <c r="A23" s="11">
        <v>202223</v>
      </c>
      <c r="B23" s="11" t="s">
        <v>274</v>
      </c>
      <c r="C23" s="11" t="s">
        <v>274</v>
      </c>
      <c r="D23" s="11" t="s">
        <v>275</v>
      </c>
      <c r="E23" s="11" t="s">
        <v>276</v>
      </c>
      <c r="F23" s="11">
        <v>1</v>
      </c>
      <c r="G23" s="11" t="s">
        <v>465</v>
      </c>
      <c r="H23" s="11" t="s">
        <v>820</v>
      </c>
      <c r="I23" s="13">
        <v>44939</v>
      </c>
      <c r="J23" s="11">
        <v>13</v>
      </c>
      <c r="K23" s="11">
        <v>1</v>
      </c>
      <c r="L23" s="11">
        <v>2023</v>
      </c>
      <c r="M23" s="11" t="s">
        <v>821</v>
      </c>
      <c r="N23" s="11" t="s">
        <v>12</v>
      </c>
      <c r="O23" s="11" t="s">
        <v>10</v>
      </c>
      <c r="P23" s="11">
        <v>-38.641019999999997</v>
      </c>
      <c r="Q23" s="11">
        <v>145.55595</v>
      </c>
      <c r="R23" s="11" t="s">
        <v>588</v>
      </c>
      <c r="S23" s="11" t="s">
        <v>588</v>
      </c>
      <c r="T23" s="11">
        <v>2</v>
      </c>
      <c r="U23" s="11">
        <v>2</v>
      </c>
      <c r="V23" s="11" t="s">
        <v>588</v>
      </c>
      <c r="W23" s="11" t="s">
        <v>588</v>
      </c>
      <c r="X23" s="11">
        <v>5</v>
      </c>
      <c r="Y23" s="11">
        <v>5</v>
      </c>
      <c r="Z23" s="11" t="s">
        <v>8</v>
      </c>
      <c r="AA23" s="13">
        <v>44963</v>
      </c>
      <c r="AB23" s="11">
        <v>6</v>
      </c>
      <c r="AC23" s="11">
        <v>2</v>
      </c>
      <c r="AD23" s="11">
        <v>2023</v>
      </c>
      <c r="AE23" s="13" t="s">
        <v>814</v>
      </c>
      <c r="AF23" s="11" t="s">
        <v>588</v>
      </c>
      <c r="AG23" s="13" t="s">
        <v>588</v>
      </c>
      <c r="AH23" s="11" t="s">
        <v>588</v>
      </c>
      <c r="AI23" s="11" t="s">
        <v>588</v>
      </c>
      <c r="AJ23" s="11" t="s">
        <v>588</v>
      </c>
      <c r="AK23" s="13" t="s">
        <v>588</v>
      </c>
      <c r="AL23" s="11" t="s">
        <v>588</v>
      </c>
      <c r="AM23" s="13" t="s">
        <v>588</v>
      </c>
      <c r="AN23" s="11" t="s">
        <v>588</v>
      </c>
      <c r="AO23" s="13" t="s">
        <v>588</v>
      </c>
      <c r="AP23" s="13">
        <v>44978</v>
      </c>
      <c r="AQ23" s="11" t="s">
        <v>21</v>
      </c>
      <c r="AR23" s="11" t="s">
        <v>195</v>
      </c>
      <c r="AS23" s="11">
        <v>1</v>
      </c>
      <c r="AT23" s="11">
        <v>1</v>
      </c>
      <c r="AU23" s="7" t="s">
        <v>588</v>
      </c>
      <c r="AV23" s="13" t="s">
        <v>588</v>
      </c>
      <c r="AW23" s="11" t="s">
        <v>588</v>
      </c>
      <c r="AX23" s="11" t="s">
        <v>588</v>
      </c>
      <c r="AY23" s="11" t="s">
        <v>588</v>
      </c>
      <c r="AZ23" s="11" t="s">
        <v>588</v>
      </c>
      <c r="BA23" s="7" t="s">
        <v>588</v>
      </c>
      <c r="BB23" s="11" t="s">
        <v>588</v>
      </c>
      <c r="BC23" s="11" t="s">
        <v>588</v>
      </c>
      <c r="BD23" s="11" t="s">
        <v>588</v>
      </c>
      <c r="BE23" s="11" t="s">
        <v>588</v>
      </c>
      <c r="BF23" s="11" t="s">
        <v>588</v>
      </c>
      <c r="BG23" s="7" t="s">
        <v>588</v>
      </c>
      <c r="BH23" s="11" t="s">
        <v>588</v>
      </c>
      <c r="BI23" s="11" t="s">
        <v>588</v>
      </c>
      <c r="BJ23" s="11" t="s">
        <v>588</v>
      </c>
      <c r="BK23" s="11" t="s">
        <v>588</v>
      </c>
      <c r="BL23" s="11" t="s">
        <v>588</v>
      </c>
      <c r="BM23" s="11">
        <v>6</v>
      </c>
      <c r="BN23" s="11">
        <v>6</v>
      </c>
      <c r="BO23" s="11" t="s">
        <v>8</v>
      </c>
      <c r="BP23" s="11">
        <v>1</v>
      </c>
      <c r="BQ23" s="13">
        <v>45007</v>
      </c>
      <c r="BR23" s="11" t="s">
        <v>22</v>
      </c>
      <c r="BS23" s="11" t="s">
        <v>8</v>
      </c>
      <c r="BT23" s="11" t="s">
        <v>9</v>
      </c>
      <c r="BU23" s="11" t="s">
        <v>9</v>
      </c>
      <c r="BV23" s="11" t="s">
        <v>8</v>
      </c>
      <c r="BW23" s="11" t="s">
        <v>13</v>
      </c>
      <c r="BX23" s="11" t="s">
        <v>9</v>
      </c>
      <c r="BY23" s="11" t="s">
        <v>466</v>
      </c>
      <c r="BZ23" s="11" t="s">
        <v>588</v>
      </c>
      <c r="CA23" s="17" t="s">
        <v>588</v>
      </c>
      <c r="CB23" s="11" t="s">
        <v>588</v>
      </c>
      <c r="CC23" s="11" t="s">
        <v>588</v>
      </c>
      <c r="CD23" s="11" t="s">
        <v>588</v>
      </c>
      <c r="CE23" s="11" t="s">
        <v>588</v>
      </c>
      <c r="CF23" s="11" t="s">
        <v>588</v>
      </c>
      <c r="CG23" s="11" t="s">
        <v>588</v>
      </c>
      <c r="CH23" s="11" t="s">
        <v>588</v>
      </c>
      <c r="CI23" s="11" t="s">
        <v>588</v>
      </c>
      <c r="CJ23" s="11" t="s">
        <v>588</v>
      </c>
      <c r="CK23" s="11" t="s">
        <v>588</v>
      </c>
      <c r="CL23" s="11" t="s">
        <v>588</v>
      </c>
      <c r="CM23" s="11" t="s">
        <v>588</v>
      </c>
      <c r="CN23" s="11" t="s">
        <v>588</v>
      </c>
      <c r="CO23" s="11" t="s">
        <v>588</v>
      </c>
      <c r="CP23" s="11" t="s">
        <v>588</v>
      </c>
      <c r="CQ23" s="11" t="s">
        <v>588</v>
      </c>
      <c r="CR23" s="11" t="s">
        <v>588</v>
      </c>
      <c r="CS23" s="11" t="s">
        <v>588</v>
      </c>
      <c r="CT23" s="11" t="s">
        <v>588</v>
      </c>
    </row>
    <row r="24" spans="1:98" x14ac:dyDescent="0.25">
      <c r="A24" s="11">
        <v>202223</v>
      </c>
      <c r="B24" s="11" t="s">
        <v>280</v>
      </c>
      <c r="C24" s="11" t="s">
        <v>280</v>
      </c>
      <c r="D24" s="11" t="s">
        <v>16</v>
      </c>
      <c r="E24" s="11" t="s">
        <v>16</v>
      </c>
      <c r="F24" s="11">
        <v>1</v>
      </c>
      <c r="G24" s="11" t="s">
        <v>467</v>
      </c>
      <c r="H24" s="11" t="s">
        <v>822</v>
      </c>
      <c r="I24" s="13">
        <v>44942</v>
      </c>
      <c r="J24" s="11">
        <v>16</v>
      </c>
      <c r="K24" s="11">
        <v>1</v>
      </c>
      <c r="L24" s="11">
        <v>2023</v>
      </c>
      <c r="M24" s="11" t="s">
        <v>816</v>
      </c>
      <c r="N24" s="11" t="s">
        <v>12</v>
      </c>
      <c r="O24" s="11" t="s">
        <v>10</v>
      </c>
      <c r="P24" s="11">
        <v>-38.630780000000001</v>
      </c>
      <c r="Q24" s="11">
        <v>145.55000000000001</v>
      </c>
      <c r="R24" s="11" t="s">
        <v>588</v>
      </c>
      <c r="S24" s="11" t="s">
        <v>588</v>
      </c>
      <c r="T24" s="11">
        <v>3</v>
      </c>
      <c r="U24" s="11">
        <v>3</v>
      </c>
      <c r="V24" s="11" t="s">
        <v>588</v>
      </c>
      <c r="W24" s="11" t="s">
        <v>588</v>
      </c>
      <c r="X24" s="11">
        <v>3</v>
      </c>
      <c r="Y24" s="11">
        <v>3</v>
      </c>
      <c r="Z24" s="11" t="s">
        <v>8</v>
      </c>
      <c r="AA24" s="13">
        <v>44964</v>
      </c>
      <c r="AB24" s="11">
        <v>7</v>
      </c>
      <c r="AC24" s="11">
        <v>2</v>
      </c>
      <c r="AD24" s="11">
        <v>2023</v>
      </c>
      <c r="AE24" s="13" t="s">
        <v>769</v>
      </c>
      <c r="AF24" s="11" t="s">
        <v>588</v>
      </c>
      <c r="AG24" s="13" t="s">
        <v>588</v>
      </c>
      <c r="AH24" s="11" t="s">
        <v>588</v>
      </c>
      <c r="AI24" s="11" t="s">
        <v>588</v>
      </c>
      <c r="AJ24" s="11" t="s">
        <v>588</v>
      </c>
      <c r="AK24" s="13" t="s">
        <v>588</v>
      </c>
      <c r="AL24" s="11" t="s">
        <v>588</v>
      </c>
      <c r="AM24" s="13" t="s">
        <v>588</v>
      </c>
      <c r="AN24" s="11" t="s">
        <v>588</v>
      </c>
      <c r="AO24" s="13" t="s">
        <v>588</v>
      </c>
      <c r="AP24" s="13">
        <v>44973</v>
      </c>
      <c r="AQ24" s="11" t="s">
        <v>21</v>
      </c>
      <c r="AR24" s="11" t="s">
        <v>195</v>
      </c>
      <c r="AS24" s="11">
        <v>1</v>
      </c>
      <c r="AT24" s="11">
        <v>1</v>
      </c>
      <c r="AU24" s="7" t="s">
        <v>588</v>
      </c>
      <c r="AV24" s="13" t="s">
        <v>588</v>
      </c>
      <c r="AW24" s="11" t="s">
        <v>588</v>
      </c>
      <c r="AX24" s="11" t="s">
        <v>588</v>
      </c>
      <c r="AY24" s="11" t="s">
        <v>588</v>
      </c>
      <c r="AZ24" s="11" t="s">
        <v>588</v>
      </c>
      <c r="BA24" s="7" t="s">
        <v>588</v>
      </c>
      <c r="BB24" s="11" t="s">
        <v>588</v>
      </c>
      <c r="BC24" s="11" t="s">
        <v>588</v>
      </c>
      <c r="BD24" s="11" t="s">
        <v>588</v>
      </c>
      <c r="BE24" s="11" t="s">
        <v>588</v>
      </c>
      <c r="BF24" s="11" t="s">
        <v>588</v>
      </c>
      <c r="BG24" s="7" t="s">
        <v>588</v>
      </c>
      <c r="BH24" s="11" t="s">
        <v>588</v>
      </c>
      <c r="BI24" s="11" t="s">
        <v>588</v>
      </c>
      <c r="BJ24" s="11" t="s">
        <v>588</v>
      </c>
      <c r="BK24" s="11" t="s">
        <v>588</v>
      </c>
      <c r="BL24" s="11" t="s">
        <v>588</v>
      </c>
      <c r="BM24" s="11">
        <v>6</v>
      </c>
      <c r="BN24" s="11">
        <v>6</v>
      </c>
      <c r="BO24" s="11" t="s">
        <v>8</v>
      </c>
      <c r="BP24" s="11">
        <v>1</v>
      </c>
      <c r="BQ24" s="13">
        <v>45020</v>
      </c>
      <c r="BR24" s="11" t="s">
        <v>72</v>
      </c>
      <c r="BS24" s="11" t="s">
        <v>8</v>
      </c>
      <c r="BT24" s="11" t="s">
        <v>9</v>
      </c>
      <c r="BU24" s="11" t="s">
        <v>9</v>
      </c>
      <c r="BV24" s="11" t="s">
        <v>8</v>
      </c>
      <c r="BW24" s="11" t="s">
        <v>9</v>
      </c>
      <c r="BX24" s="11" t="s">
        <v>9</v>
      </c>
      <c r="BY24" s="11" t="s">
        <v>468</v>
      </c>
      <c r="BZ24" s="11" t="s">
        <v>588</v>
      </c>
      <c r="CA24" s="17" t="s">
        <v>588</v>
      </c>
      <c r="CB24" s="11" t="s">
        <v>588</v>
      </c>
      <c r="CC24" s="11" t="s">
        <v>588</v>
      </c>
      <c r="CD24" s="11" t="s">
        <v>588</v>
      </c>
      <c r="CE24" s="11" t="s">
        <v>588</v>
      </c>
      <c r="CF24" s="11" t="s">
        <v>588</v>
      </c>
      <c r="CG24" s="11" t="s">
        <v>588</v>
      </c>
      <c r="CH24" s="11" t="s">
        <v>588</v>
      </c>
      <c r="CI24" s="11" t="s">
        <v>588</v>
      </c>
      <c r="CJ24" s="11" t="s">
        <v>588</v>
      </c>
      <c r="CK24" s="11" t="s">
        <v>588</v>
      </c>
      <c r="CL24" s="11" t="s">
        <v>588</v>
      </c>
      <c r="CM24" s="11" t="s">
        <v>588</v>
      </c>
      <c r="CN24" s="11" t="s">
        <v>588</v>
      </c>
      <c r="CO24" s="11" t="s">
        <v>588</v>
      </c>
      <c r="CP24" s="11" t="s">
        <v>588</v>
      </c>
      <c r="CQ24" s="11" t="s">
        <v>588</v>
      </c>
      <c r="CR24" s="11" t="s">
        <v>588</v>
      </c>
      <c r="CS24" s="11" t="s">
        <v>588</v>
      </c>
      <c r="CT24" s="11" t="s">
        <v>588</v>
      </c>
    </row>
    <row r="25" spans="1:98" x14ac:dyDescent="0.25">
      <c r="A25" s="11">
        <v>202223</v>
      </c>
      <c r="B25" s="11" t="s">
        <v>284</v>
      </c>
      <c r="C25" s="11" t="s">
        <v>284</v>
      </c>
      <c r="D25" s="11" t="s">
        <v>285</v>
      </c>
      <c r="E25" s="11" t="s">
        <v>16</v>
      </c>
      <c r="F25" s="11">
        <v>1</v>
      </c>
      <c r="G25" s="11" t="s">
        <v>469</v>
      </c>
      <c r="H25" s="11" t="s">
        <v>823</v>
      </c>
      <c r="I25" s="13">
        <v>44883</v>
      </c>
      <c r="J25" s="11">
        <v>18</v>
      </c>
      <c r="K25" s="11">
        <v>11</v>
      </c>
      <c r="L25" s="11">
        <v>2022</v>
      </c>
      <c r="M25" s="11" t="s">
        <v>775</v>
      </c>
      <c r="N25" s="11" t="s">
        <v>17</v>
      </c>
      <c r="O25" s="11" t="s">
        <v>10</v>
      </c>
      <c r="P25" s="11">
        <v>-38.586762999999998</v>
      </c>
      <c r="Q25" s="11">
        <v>145.51477</v>
      </c>
      <c r="R25" s="11" t="s">
        <v>588</v>
      </c>
      <c r="S25" s="11" t="s">
        <v>588</v>
      </c>
      <c r="T25" s="11">
        <v>1</v>
      </c>
      <c r="U25" s="11">
        <v>3</v>
      </c>
      <c r="V25" s="11" t="s">
        <v>588</v>
      </c>
      <c r="W25" s="11" t="s">
        <v>588</v>
      </c>
      <c r="X25" s="11">
        <v>2</v>
      </c>
      <c r="Y25" s="11">
        <v>2</v>
      </c>
      <c r="Z25" s="11" t="s">
        <v>41</v>
      </c>
      <c r="AA25" s="13">
        <v>44883</v>
      </c>
      <c r="AB25" s="11">
        <v>18</v>
      </c>
      <c r="AC25" s="11">
        <v>11</v>
      </c>
      <c r="AD25" s="11">
        <v>2022</v>
      </c>
      <c r="AE25" s="13" t="s">
        <v>775</v>
      </c>
      <c r="AF25" s="11" t="s">
        <v>17</v>
      </c>
      <c r="AG25" s="13">
        <v>44890</v>
      </c>
      <c r="AH25" s="11">
        <v>25</v>
      </c>
      <c r="AI25" s="11">
        <v>11</v>
      </c>
      <c r="AJ25" s="11">
        <v>2022</v>
      </c>
      <c r="AK25" s="13" t="s">
        <v>800</v>
      </c>
      <c r="AL25" s="11" t="s">
        <v>17</v>
      </c>
      <c r="AM25" s="11" t="s">
        <v>20</v>
      </c>
      <c r="AN25" s="11" t="s">
        <v>588</v>
      </c>
      <c r="AO25" s="11" t="s">
        <v>11</v>
      </c>
      <c r="AP25" s="11" t="s">
        <v>588</v>
      </c>
      <c r="AQ25" s="11" t="s">
        <v>588</v>
      </c>
      <c r="AR25" s="11" t="s">
        <v>588</v>
      </c>
      <c r="AS25" s="11" t="s">
        <v>588</v>
      </c>
      <c r="AT25" s="11" t="s">
        <v>588</v>
      </c>
      <c r="AU25" s="7" t="s">
        <v>588</v>
      </c>
      <c r="AV25" s="13" t="s">
        <v>588</v>
      </c>
      <c r="AW25" s="11" t="s">
        <v>588</v>
      </c>
      <c r="AX25" s="11" t="s">
        <v>588</v>
      </c>
      <c r="AY25" s="11" t="s">
        <v>588</v>
      </c>
      <c r="AZ25" s="11" t="s">
        <v>588</v>
      </c>
      <c r="BA25" s="7" t="s">
        <v>588</v>
      </c>
      <c r="BB25" s="11" t="s">
        <v>588</v>
      </c>
      <c r="BC25" s="11" t="s">
        <v>588</v>
      </c>
      <c r="BD25" s="11" t="s">
        <v>588</v>
      </c>
      <c r="BE25" s="11" t="s">
        <v>588</v>
      </c>
      <c r="BF25" s="11" t="s">
        <v>588</v>
      </c>
      <c r="BG25" s="7" t="s">
        <v>588</v>
      </c>
      <c r="BH25" s="11" t="s">
        <v>588</v>
      </c>
      <c r="BI25" s="11" t="s">
        <v>588</v>
      </c>
      <c r="BJ25" s="11" t="s">
        <v>588</v>
      </c>
      <c r="BK25" s="11" t="s">
        <v>588</v>
      </c>
      <c r="BL25" s="11" t="s">
        <v>588</v>
      </c>
      <c r="BM25" s="11" t="s">
        <v>588</v>
      </c>
      <c r="BN25" s="11" t="s">
        <v>588</v>
      </c>
      <c r="BO25" s="11" t="s">
        <v>588</v>
      </c>
      <c r="BP25" s="11" t="s">
        <v>588</v>
      </c>
      <c r="BQ25" s="11" t="s">
        <v>588</v>
      </c>
      <c r="BR25" s="11" t="s">
        <v>588</v>
      </c>
      <c r="BS25" s="11" t="s">
        <v>41</v>
      </c>
      <c r="BT25" s="11" t="s">
        <v>588</v>
      </c>
      <c r="BU25" s="11" t="s">
        <v>42</v>
      </c>
      <c r="BV25" s="11" t="s">
        <v>8</v>
      </c>
      <c r="BW25" s="11" t="s">
        <v>13</v>
      </c>
      <c r="BX25" s="11" t="s">
        <v>13</v>
      </c>
      <c r="BY25" s="11" t="s">
        <v>588</v>
      </c>
      <c r="BZ25" s="11" t="s">
        <v>588</v>
      </c>
      <c r="CA25" s="17" t="s">
        <v>588</v>
      </c>
      <c r="CB25" s="11" t="s">
        <v>588</v>
      </c>
      <c r="CC25" s="11" t="s">
        <v>588</v>
      </c>
      <c r="CD25" s="11" t="s">
        <v>588</v>
      </c>
      <c r="CE25" s="11" t="s">
        <v>588</v>
      </c>
      <c r="CF25" s="11" t="s">
        <v>588</v>
      </c>
      <c r="CG25" s="11" t="s">
        <v>588</v>
      </c>
      <c r="CH25" s="11" t="s">
        <v>588</v>
      </c>
      <c r="CI25" s="11" t="s">
        <v>588</v>
      </c>
      <c r="CJ25" s="11" t="s">
        <v>588</v>
      </c>
      <c r="CK25" s="11" t="s">
        <v>588</v>
      </c>
      <c r="CL25" s="11" t="s">
        <v>588</v>
      </c>
      <c r="CM25" s="11" t="s">
        <v>588</v>
      </c>
      <c r="CN25" s="11" t="s">
        <v>588</v>
      </c>
      <c r="CO25" s="11" t="s">
        <v>588</v>
      </c>
      <c r="CP25" s="11" t="s">
        <v>588</v>
      </c>
      <c r="CQ25" s="11" t="s">
        <v>588</v>
      </c>
      <c r="CR25" s="11" t="s">
        <v>588</v>
      </c>
      <c r="CS25" s="11" t="s">
        <v>588</v>
      </c>
      <c r="CT25" s="11" t="s">
        <v>588</v>
      </c>
    </row>
    <row r="26" spans="1:98" x14ac:dyDescent="0.25">
      <c r="A26" s="11">
        <v>202223</v>
      </c>
      <c r="B26" s="11" t="s">
        <v>284</v>
      </c>
      <c r="C26" s="11" t="s">
        <v>284</v>
      </c>
      <c r="D26" s="11" t="s">
        <v>285</v>
      </c>
      <c r="E26" s="11" t="s">
        <v>16</v>
      </c>
      <c r="F26" s="11">
        <v>2</v>
      </c>
      <c r="G26" s="11" t="s">
        <v>470</v>
      </c>
      <c r="H26" s="11" t="s">
        <v>824</v>
      </c>
      <c r="I26" s="13">
        <v>44896</v>
      </c>
      <c r="J26" s="11">
        <v>1</v>
      </c>
      <c r="K26" s="11">
        <v>12</v>
      </c>
      <c r="L26" s="11">
        <v>2022</v>
      </c>
      <c r="M26" s="11" t="s">
        <v>807</v>
      </c>
      <c r="N26" s="11" t="s">
        <v>7</v>
      </c>
      <c r="O26" s="11" t="s">
        <v>10</v>
      </c>
      <c r="P26" s="11">
        <v>-38.586742000000001</v>
      </c>
      <c r="Q26" s="11">
        <v>145.51468399999999</v>
      </c>
      <c r="R26" s="11" t="s">
        <v>588</v>
      </c>
      <c r="S26" s="11" t="s">
        <v>588</v>
      </c>
      <c r="T26" s="11">
        <v>1</v>
      </c>
      <c r="U26" s="11">
        <v>3</v>
      </c>
      <c r="V26" s="11" t="s">
        <v>588</v>
      </c>
      <c r="W26" s="11" t="s">
        <v>588</v>
      </c>
      <c r="X26" s="11">
        <v>3</v>
      </c>
      <c r="Y26" s="11">
        <v>3</v>
      </c>
      <c r="Z26" s="11" t="s">
        <v>41</v>
      </c>
      <c r="AA26" s="13">
        <v>44897</v>
      </c>
      <c r="AB26" s="11">
        <v>2</v>
      </c>
      <c r="AC26" s="11">
        <v>12</v>
      </c>
      <c r="AD26" s="11">
        <v>2022</v>
      </c>
      <c r="AE26" s="13" t="s">
        <v>825</v>
      </c>
      <c r="AF26" s="11" t="s">
        <v>7</v>
      </c>
      <c r="AG26" s="13">
        <v>44901</v>
      </c>
      <c r="AH26" s="11">
        <v>6</v>
      </c>
      <c r="AI26" s="11">
        <v>12</v>
      </c>
      <c r="AJ26" s="11">
        <v>2022</v>
      </c>
      <c r="AK26" s="13" t="s">
        <v>780</v>
      </c>
      <c r="AL26" s="11" t="s">
        <v>7</v>
      </c>
      <c r="AM26" s="11" t="s">
        <v>20</v>
      </c>
      <c r="AN26" s="11" t="s">
        <v>588</v>
      </c>
      <c r="AO26" s="11" t="s">
        <v>11</v>
      </c>
      <c r="AP26" s="11" t="s">
        <v>588</v>
      </c>
      <c r="AQ26" s="11" t="s">
        <v>588</v>
      </c>
      <c r="AR26" s="11" t="s">
        <v>588</v>
      </c>
      <c r="AS26" s="11" t="s">
        <v>588</v>
      </c>
      <c r="AT26" s="11" t="s">
        <v>588</v>
      </c>
      <c r="AU26" s="7" t="s">
        <v>588</v>
      </c>
      <c r="AV26" s="13" t="s">
        <v>588</v>
      </c>
      <c r="AW26" s="11" t="s">
        <v>588</v>
      </c>
      <c r="AX26" s="11" t="s">
        <v>588</v>
      </c>
      <c r="AY26" s="11" t="s">
        <v>588</v>
      </c>
      <c r="AZ26" s="11" t="s">
        <v>588</v>
      </c>
      <c r="BA26" s="7" t="s">
        <v>588</v>
      </c>
      <c r="BB26" s="11" t="s">
        <v>588</v>
      </c>
      <c r="BC26" s="11" t="s">
        <v>588</v>
      </c>
      <c r="BD26" s="11" t="s">
        <v>588</v>
      </c>
      <c r="BE26" s="11" t="s">
        <v>588</v>
      </c>
      <c r="BF26" s="11" t="s">
        <v>588</v>
      </c>
      <c r="BG26" s="7" t="s">
        <v>588</v>
      </c>
      <c r="BH26" s="11" t="s">
        <v>588</v>
      </c>
      <c r="BI26" s="11" t="s">
        <v>588</v>
      </c>
      <c r="BJ26" s="11" t="s">
        <v>588</v>
      </c>
      <c r="BK26" s="11" t="s">
        <v>588</v>
      </c>
      <c r="BL26" s="11" t="s">
        <v>588</v>
      </c>
      <c r="BM26" s="11" t="s">
        <v>588</v>
      </c>
      <c r="BN26" s="11" t="s">
        <v>588</v>
      </c>
      <c r="BO26" s="11" t="s">
        <v>588</v>
      </c>
      <c r="BP26" s="11" t="s">
        <v>588</v>
      </c>
      <c r="BQ26" s="11" t="s">
        <v>588</v>
      </c>
      <c r="BR26" s="11" t="s">
        <v>588</v>
      </c>
      <c r="BS26" s="11" t="s">
        <v>8</v>
      </c>
      <c r="BT26" s="11" t="s">
        <v>9</v>
      </c>
      <c r="BU26" s="11" t="s">
        <v>9</v>
      </c>
      <c r="BV26" s="11" t="s">
        <v>8</v>
      </c>
      <c r="BW26" s="11" t="s">
        <v>9</v>
      </c>
      <c r="BX26" s="11" t="s">
        <v>9</v>
      </c>
      <c r="BY26" s="11" t="s">
        <v>588</v>
      </c>
      <c r="BZ26" s="11" t="s">
        <v>588</v>
      </c>
      <c r="CA26" s="17" t="s">
        <v>588</v>
      </c>
      <c r="CB26" s="11" t="s">
        <v>588</v>
      </c>
      <c r="CC26" s="11" t="s">
        <v>588</v>
      </c>
      <c r="CD26" s="11" t="s">
        <v>588</v>
      </c>
      <c r="CE26" s="11" t="s">
        <v>588</v>
      </c>
      <c r="CF26" s="11" t="s">
        <v>588</v>
      </c>
      <c r="CG26" s="11" t="s">
        <v>588</v>
      </c>
      <c r="CH26" s="11" t="s">
        <v>588</v>
      </c>
      <c r="CI26" s="11" t="s">
        <v>588</v>
      </c>
      <c r="CJ26" s="11" t="s">
        <v>588</v>
      </c>
      <c r="CK26" s="11" t="s">
        <v>588</v>
      </c>
      <c r="CL26" s="11" t="s">
        <v>588</v>
      </c>
      <c r="CM26" s="11" t="s">
        <v>588</v>
      </c>
      <c r="CN26" s="11" t="s">
        <v>588</v>
      </c>
      <c r="CO26" s="11" t="s">
        <v>588</v>
      </c>
      <c r="CP26" s="11" t="s">
        <v>588</v>
      </c>
      <c r="CQ26" s="11" t="s">
        <v>588</v>
      </c>
      <c r="CR26" s="11" t="s">
        <v>588</v>
      </c>
      <c r="CS26" s="11" t="s">
        <v>588</v>
      </c>
      <c r="CT26" s="11" t="s">
        <v>588</v>
      </c>
    </row>
    <row r="27" spans="1:98" x14ac:dyDescent="0.25">
      <c r="A27" s="11">
        <v>202223</v>
      </c>
      <c r="B27" s="11" t="s">
        <v>284</v>
      </c>
      <c r="C27" s="11" t="s">
        <v>284</v>
      </c>
      <c r="D27" s="11" t="s">
        <v>285</v>
      </c>
      <c r="E27" s="11" t="s">
        <v>16</v>
      </c>
      <c r="F27" s="11">
        <v>3</v>
      </c>
      <c r="G27" s="11" t="s">
        <v>471</v>
      </c>
      <c r="H27" s="11" t="s">
        <v>826</v>
      </c>
      <c r="I27" s="13">
        <v>44914</v>
      </c>
      <c r="J27" s="11">
        <v>19</v>
      </c>
      <c r="K27" s="11">
        <v>12</v>
      </c>
      <c r="L27" s="11">
        <v>2022</v>
      </c>
      <c r="M27" s="11" t="s">
        <v>802</v>
      </c>
      <c r="N27" s="11" t="s">
        <v>7</v>
      </c>
      <c r="O27" s="11" t="s">
        <v>10</v>
      </c>
      <c r="P27" s="11">
        <v>-38.589871000000002</v>
      </c>
      <c r="Q27" s="11">
        <v>145.51758699999999</v>
      </c>
      <c r="R27" s="11" t="s">
        <v>588</v>
      </c>
      <c r="S27" s="11" t="s">
        <v>588</v>
      </c>
      <c r="T27" s="11">
        <v>3</v>
      </c>
      <c r="U27" s="11">
        <v>3</v>
      </c>
      <c r="V27" s="11" t="s">
        <v>588</v>
      </c>
      <c r="W27" s="11" t="s">
        <v>588</v>
      </c>
      <c r="X27" s="11">
        <v>4</v>
      </c>
      <c r="Y27" s="11">
        <v>3</v>
      </c>
      <c r="Z27" s="11" t="s">
        <v>41</v>
      </c>
      <c r="AA27" s="13">
        <v>44916</v>
      </c>
      <c r="AB27" s="11">
        <v>21</v>
      </c>
      <c r="AC27" s="11">
        <v>12</v>
      </c>
      <c r="AD27" s="11">
        <v>2022</v>
      </c>
      <c r="AE27" s="13" t="s">
        <v>827</v>
      </c>
      <c r="AF27" s="11" t="s">
        <v>7</v>
      </c>
      <c r="AG27" s="13">
        <v>44925</v>
      </c>
      <c r="AH27" s="11">
        <v>30</v>
      </c>
      <c r="AI27" s="11">
        <v>12</v>
      </c>
      <c r="AJ27" s="11">
        <v>2022</v>
      </c>
      <c r="AK27" s="13" t="s">
        <v>787</v>
      </c>
      <c r="AL27" s="11" t="s">
        <v>7</v>
      </c>
      <c r="AM27" s="11" t="s">
        <v>20</v>
      </c>
      <c r="AN27" s="11" t="s">
        <v>588</v>
      </c>
      <c r="AO27" s="11" t="s">
        <v>20</v>
      </c>
      <c r="AP27" s="11" t="s">
        <v>588</v>
      </c>
      <c r="AQ27" s="11" t="s">
        <v>588</v>
      </c>
      <c r="AR27" s="11" t="s">
        <v>588</v>
      </c>
      <c r="AS27" s="11" t="s">
        <v>588</v>
      </c>
      <c r="AT27" s="11" t="s">
        <v>588</v>
      </c>
      <c r="AU27" s="7" t="s">
        <v>588</v>
      </c>
      <c r="AV27" s="13" t="s">
        <v>588</v>
      </c>
      <c r="AW27" s="11" t="s">
        <v>588</v>
      </c>
      <c r="AX27" s="11" t="s">
        <v>588</v>
      </c>
      <c r="AY27" s="11" t="s">
        <v>588</v>
      </c>
      <c r="AZ27" s="11" t="s">
        <v>588</v>
      </c>
      <c r="BA27" s="7" t="s">
        <v>588</v>
      </c>
      <c r="BB27" s="11" t="s">
        <v>588</v>
      </c>
      <c r="BC27" s="11" t="s">
        <v>588</v>
      </c>
      <c r="BD27" s="11" t="s">
        <v>588</v>
      </c>
      <c r="BE27" s="11" t="s">
        <v>588</v>
      </c>
      <c r="BF27" s="11" t="s">
        <v>588</v>
      </c>
      <c r="BG27" s="7" t="s">
        <v>588</v>
      </c>
      <c r="BH27" s="11" t="s">
        <v>588</v>
      </c>
      <c r="BI27" s="11" t="s">
        <v>588</v>
      </c>
      <c r="BJ27" s="11" t="s">
        <v>588</v>
      </c>
      <c r="BK27" s="11" t="s">
        <v>588</v>
      </c>
      <c r="BL27" s="11" t="s">
        <v>588</v>
      </c>
      <c r="BM27" s="11" t="s">
        <v>588</v>
      </c>
      <c r="BN27" s="11" t="s">
        <v>588</v>
      </c>
      <c r="BO27" s="11" t="s">
        <v>588</v>
      </c>
      <c r="BP27" s="11" t="s">
        <v>588</v>
      </c>
      <c r="BQ27" s="11" t="s">
        <v>588</v>
      </c>
      <c r="BR27" s="11" t="s">
        <v>588</v>
      </c>
      <c r="BS27" s="11" t="s">
        <v>8</v>
      </c>
      <c r="BT27" s="11" t="s">
        <v>9</v>
      </c>
      <c r="BU27" s="11" t="s">
        <v>9</v>
      </c>
      <c r="BV27" s="11" t="s">
        <v>8</v>
      </c>
      <c r="BW27" s="11" t="s">
        <v>96</v>
      </c>
      <c r="BX27" s="11" t="s">
        <v>96</v>
      </c>
      <c r="BY27" s="11" t="s">
        <v>588</v>
      </c>
      <c r="BZ27" s="11" t="s">
        <v>588</v>
      </c>
      <c r="CA27" s="17" t="s">
        <v>588</v>
      </c>
      <c r="CB27" s="11" t="s">
        <v>588</v>
      </c>
      <c r="CC27" s="11" t="s">
        <v>588</v>
      </c>
      <c r="CD27" s="11" t="s">
        <v>588</v>
      </c>
      <c r="CE27" s="11" t="s">
        <v>588</v>
      </c>
      <c r="CF27" s="11" t="s">
        <v>588</v>
      </c>
      <c r="CG27" s="11" t="s">
        <v>588</v>
      </c>
      <c r="CH27" s="11" t="s">
        <v>588</v>
      </c>
      <c r="CI27" s="11" t="s">
        <v>588</v>
      </c>
      <c r="CJ27" s="11" t="s">
        <v>588</v>
      </c>
      <c r="CK27" s="11" t="s">
        <v>588</v>
      </c>
      <c r="CL27" s="11" t="s">
        <v>588</v>
      </c>
      <c r="CM27" s="11" t="s">
        <v>588</v>
      </c>
      <c r="CN27" s="11" t="s">
        <v>588</v>
      </c>
      <c r="CO27" s="11" t="s">
        <v>588</v>
      </c>
      <c r="CP27" s="11" t="s">
        <v>588</v>
      </c>
      <c r="CQ27" s="11" t="s">
        <v>588</v>
      </c>
      <c r="CR27" s="11" t="s">
        <v>588</v>
      </c>
      <c r="CS27" s="11" t="s">
        <v>588</v>
      </c>
      <c r="CT27" s="11" t="s">
        <v>588</v>
      </c>
    </row>
    <row r="28" spans="1:98" x14ac:dyDescent="0.25">
      <c r="A28" s="11">
        <v>202223</v>
      </c>
      <c r="B28" s="11" t="s">
        <v>284</v>
      </c>
      <c r="C28" s="11" t="s">
        <v>284</v>
      </c>
      <c r="D28" s="11" t="s">
        <v>285</v>
      </c>
      <c r="E28" s="11" t="s">
        <v>16</v>
      </c>
      <c r="F28" s="11">
        <v>4</v>
      </c>
      <c r="G28" s="11" t="s">
        <v>472</v>
      </c>
      <c r="H28" s="11" t="s">
        <v>828</v>
      </c>
      <c r="I28" s="13">
        <v>44931</v>
      </c>
      <c r="J28" s="11">
        <v>5</v>
      </c>
      <c r="K28" s="11">
        <v>1</v>
      </c>
      <c r="L28" s="11">
        <v>2023</v>
      </c>
      <c r="M28" s="11" t="s">
        <v>829</v>
      </c>
      <c r="N28" s="11" t="s">
        <v>12</v>
      </c>
      <c r="O28" s="11" t="s">
        <v>10</v>
      </c>
      <c r="P28" s="11">
        <v>-38.586657000000002</v>
      </c>
      <c r="Q28" s="11">
        <v>145.51465400000001</v>
      </c>
      <c r="R28" s="11" t="s">
        <v>588</v>
      </c>
      <c r="S28" s="11" t="s">
        <v>588</v>
      </c>
      <c r="T28" s="11">
        <v>3</v>
      </c>
      <c r="U28" s="11">
        <v>3</v>
      </c>
      <c r="V28" s="11" t="s">
        <v>588</v>
      </c>
      <c r="W28" s="11" t="s">
        <v>588</v>
      </c>
      <c r="X28" s="11">
        <v>9</v>
      </c>
      <c r="Y28" s="11">
        <v>8</v>
      </c>
      <c r="Z28" s="11" t="s">
        <v>8</v>
      </c>
      <c r="AA28" s="13">
        <v>44958</v>
      </c>
      <c r="AB28" s="11">
        <v>1</v>
      </c>
      <c r="AC28" s="11">
        <v>2</v>
      </c>
      <c r="AD28" s="11">
        <v>2023</v>
      </c>
      <c r="AE28" s="13" t="s">
        <v>830</v>
      </c>
      <c r="AF28" s="11" t="s">
        <v>588</v>
      </c>
      <c r="AG28" s="11" t="s">
        <v>588</v>
      </c>
      <c r="AH28" s="11" t="s">
        <v>588</v>
      </c>
      <c r="AI28" s="11" t="s">
        <v>588</v>
      </c>
      <c r="AJ28" s="11" t="s">
        <v>588</v>
      </c>
      <c r="AK28" s="13" t="s">
        <v>588</v>
      </c>
      <c r="AL28" s="11" t="s">
        <v>588</v>
      </c>
      <c r="AM28" s="11" t="s">
        <v>588</v>
      </c>
      <c r="AN28" s="11" t="s">
        <v>588</v>
      </c>
      <c r="AO28" s="11" t="s">
        <v>588</v>
      </c>
      <c r="AP28" s="13">
        <v>44963</v>
      </c>
      <c r="AQ28" s="11" t="s">
        <v>21</v>
      </c>
      <c r="AR28" s="11" t="s">
        <v>195</v>
      </c>
      <c r="AS28" s="11">
        <v>1</v>
      </c>
      <c r="AT28" s="11">
        <v>1</v>
      </c>
      <c r="AU28" s="7" t="s">
        <v>588</v>
      </c>
      <c r="AV28" s="13" t="s">
        <v>588</v>
      </c>
      <c r="AW28" s="11" t="s">
        <v>588</v>
      </c>
      <c r="AX28" s="11" t="s">
        <v>588</v>
      </c>
      <c r="AY28" s="11" t="s">
        <v>588</v>
      </c>
      <c r="AZ28" s="11" t="s">
        <v>588</v>
      </c>
      <c r="BA28" s="7" t="s">
        <v>588</v>
      </c>
      <c r="BB28" s="11" t="s">
        <v>588</v>
      </c>
      <c r="BC28" s="11" t="s">
        <v>588</v>
      </c>
      <c r="BD28" s="11" t="s">
        <v>588</v>
      </c>
      <c r="BE28" s="11" t="s">
        <v>588</v>
      </c>
      <c r="BF28" s="11" t="s">
        <v>588</v>
      </c>
      <c r="BG28" s="7" t="s">
        <v>588</v>
      </c>
      <c r="BH28" s="11" t="s">
        <v>588</v>
      </c>
      <c r="BI28" s="11" t="s">
        <v>588</v>
      </c>
      <c r="BJ28" s="11" t="s">
        <v>588</v>
      </c>
      <c r="BK28" s="11" t="s">
        <v>588</v>
      </c>
      <c r="BL28" s="11" t="s">
        <v>588</v>
      </c>
      <c r="BM28" s="11">
        <v>11</v>
      </c>
      <c r="BN28" s="11">
        <v>11</v>
      </c>
      <c r="BO28" s="11" t="s">
        <v>8</v>
      </c>
      <c r="BP28" s="11">
        <v>1</v>
      </c>
      <c r="BQ28" s="13">
        <v>44995</v>
      </c>
      <c r="BR28" s="11" t="s">
        <v>22</v>
      </c>
      <c r="BS28" s="11" t="s">
        <v>8</v>
      </c>
      <c r="BT28" s="11" t="s">
        <v>9</v>
      </c>
      <c r="BU28" s="11" t="s">
        <v>9</v>
      </c>
      <c r="BV28" s="11" t="s">
        <v>8</v>
      </c>
      <c r="BW28" s="11" t="s">
        <v>9</v>
      </c>
      <c r="BX28" s="11" t="s">
        <v>9</v>
      </c>
      <c r="BY28" s="11" t="s">
        <v>473</v>
      </c>
      <c r="BZ28" s="11" t="s">
        <v>588</v>
      </c>
      <c r="CA28" s="17" t="s">
        <v>588</v>
      </c>
      <c r="CB28" s="11" t="s">
        <v>588</v>
      </c>
      <c r="CC28" s="11" t="s">
        <v>588</v>
      </c>
      <c r="CD28" s="11" t="s">
        <v>588</v>
      </c>
      <c r="CE28" s="11" t="s">
        <v>588</v>
      </c>
      <c r="CF28" s="11" t="s">
        <v>588</v>
      </c>
      <c r="CG28" s="11" t="s">
        <v>588</v>
      </c>
      <c r="CH28" s="11" t="s">
        <v>588</v>
      </c>
      <c r="CI28" s="11" t="s">
        <v>588</v>
      </c>
      <c r="CJ28" s="11" t="s">
        <v>588</v>
      </c>
      <c r="CK28" s="11" t="s">
        <v>588</v>
      </c>
      <c r="CL28" s="11" t="s">
        <v>588</v>
      </c>
      <c r="CM28" s="11" t="s">
        <v>588</v>
      </c>
      <c r="CN28" s="11" t="s">
        <v>588</v>
      </c>
      <c r="CO28" s="11" t="s">
        <v>588</v>
      </c>
      <c r="CP28" s="11" t="s">
        <v>588</v>
      </c>
      <c r="CQ28" s="11" t="s">
        <v>588</v>
      </c>
      <c r="CR28" s="11" t="s">
        <v>588</v>
      </c>
      <c r="CS28" s="11" t="s">
        <v>588</v>
      </c>
      <c r="CT28" s="11" t="s">
        <v>588</v>
      </c>
    </row>
    <row r="29" spans="1:98" x14ac:dyDescent="0.25">
      <c r="A29" s="11">
        <v>202223</v>
      </c>
      <c r="B29" s="11" t="s">
        <v>400</v>
      </c>
      <c r="C29" s="11" t="s">
        <v>400</v>
      </c>
      <c r="D29" s="11" t="s">
        <v>38</v>
      </c>
      <c r="E29" s="11" t="s">
        <v>53</v>
      </c>
      <c r="F29" s="11">
        <v>1</v>
      </c>
      <c r="G29" s="11" t="s">
        <v>474</v>
      </c>
      <c r="H29" s="11" t="s">
        <v>831</v>
      </c>
      <c r="I29" s="13">
        <v>44914</v>
      </c>
      <c r="J29" s="11">
        <v>19</v>
      </c>
      <c r="K29" s="11">
        <v>12</v>
      </c>
      <c r="L29" s="11">
        <v>2022</v>
      </c>
      <c r="M29" s="11" t="s">
        <v>802</v>
      </c>
      <c r="N29" s="11" t="s">
        <v>7</v>
      </c>
      <c r="O29" s="11" t="s">
        <v>10</v>
      </c>
      <c r="P29" s="11" t="s">
        <v>588</v>
      </c>
      <c r="Q29" s="11" t="s">
        <v>588</v>
      </c>
      <c r="R29" s="11">
        <v>-38.654831999999999</v>
      </c>
      <c r="S29" s="11">
        <v>145.56612899999999</v>
      </c>
      <c r="T29" s="11">
        <v>2</v>
      </c>
      <c r="U29" s="11">
        <v>3</v>
      </c>
      <c r="V29" s="11" t="s">
        <v>588</v>
      </c>
      <c r="W29" s="11" t="s">
        <v>588</v>
      </c>
      <c r="X29" s="11">
        <v>2</v>
      </c>
      <c r="Y29" s="11">
        <v>2</v>
      </c>
      <c r="Z29" s="11" t="s">
        <v>41</v>
      </c>
      <c r="AA29" s="13">
        <v>44914</v>
      </c>
      <c r="AB29" s="11">
        <v>19</v>
      </c>
      <c r="AC29" s="11">
        <v>12</v>
      </c>
      <c r="AD29" s="11">
        <v>2022</v>
      </c>
      <c r="AE29" s="13" t="s">
        <v>802</v>
      </c>
      <c r="AF29" s="11" t="s">
        <v>7</v>
      </c>
      <c r="AG29" s="13">
        <v>44927</v>
      </c>
      <c r="AH29" s="11">
        <v>1</v>
      </c>
      <c r="AI29" s="11">
        <v>1</v>
      </c>
      <c r="AJ29" s="11">
        <v>2023</v>
      </c>
      <c r="AK29" s="13" t="s">
        <v>803</v>
      </c>
      <c r="AL29" s="11" t="s">
        <v>12</v>
      </c>
      <c r="AM29" s="11" t="s">
        <v>20</v>
      </c>
      <c r="AN29" s="11" t="s">
        <v>588</v>
      </c>
      <c r="AO29" s="11" t="s">
        <v>20</v>
      </c>
      <c r="AP29" s="13" t="s">
        <v>588</v>
      </c>
      <c r="AQ29" s="11" t="s">
        <v>588</v>
      </c>
      <c r="AR29" s="11" t="s">
        <v>588</v>
      </c>
      <c r="AS29" s="11" t="s">
        <v>588</v>
      </c>
      <c r="AT29" s="11" t="s">
        <v>588</v>
      </c>
      <c r="AU29" s="7" t="s">
        <v>588</v>
      </c>
      <c r="AV29" s="13" t="s">
        <v>588</v>
      </c>
      <c r="AW29" s="11" t="s">
        <v>588</v>
      </c>
      <c r="AX29" s="11" t="s">
        <v>588</v>
      </c>
      <c r="AY29" s="11" t="s">
        <v>588</v>
      </c>
      <c r="AZ29" s="11" t="s">
        <v>588</v>
      </c>
      <c r="BA29" s="7" t="s">
        <v>588</v>
      </c>
      <c r="BB29" s="11" t="s">
        <v>588</v>
      </c>
      <c r="BC29" s="11" t="s">
        <v>588</v>
      </c>
      <c r="BD29" s="11" t="s">
        <v>588</v>
      </c>
      <c r="BE29" s="11" t="s">
        <v>588</v>
      </c>
      <c r="BF29" s="11" t="s">
        <v>588</v>
      </c>
      <c r="BG29" s="7" t="s">
        <v>588</v>
      </c>
      <c r="BH29" s="11" t="s">
        <v>588</v>
      </c>
      <c r="BI29" s="11" t="s">
        <v>588</v>
      </c>
      <c r="BJ29" s="11" t="s">
        <v>588</v>
      </c>
      <c r="BK29" s="11" t="s">
        <v>588</v>
      </c>
      <c r="BL29" s="11" t="s">
        <v>588</v>
      </c>
      <c r="BM29" s="11" t="s">
        <v>588</v>
      </c>
      <c r="BN29" s="11" t="s">
        <v>588</v>
      </c>
      <c r="BO29" s="11" t="s">
        <v>588</v>
      </c>
      <c r="BP29" s="11" t="s">
        <v>588</v>
      </c>
      <c r="BQ29" s="13" t="s">
        <v>588</v>
      </c>
      <c r="BR29" s="11" t="s">
        <v>588</v>
      </c>
      <c r="BS29" s="11" t="s">
        <v>8</v>
      </c>
      <c r="BT29" s="11" t="s">
        <v>9</v>
      </c>
      <c r="BU29" s="11" t="s">
        <v>9</v>
      </c>
      <c r="BV29" s="11" t="s">
        <v>588</v>
      </c>
      <c r="BW29" s="11" t="s">
        <v>588</v>
      </c>
      <c r="BX29" s="11" t="s">
        <v>588</v>
      </c>
      <c r="BY29" s="11" t="s">
        <v>588</v>
      </c>
      <c r="BZ29" s="11" t="s">
        <v>588</v>
      </c>
      <c r="CA29" s="17" t="s">
        <v>588</v>
      </c>
      <c r="CB29" s="11" t="s">
        <v>588</v>
      </c>
      <c r="CC29" s="11" t="s">
        <v>588</v>
      </c>
      <c r="CD29" s="11" t="s">
        <v>588</v>
      </c>
      <c r="CE29" s="11" t="s">
        <v>588</v>
      </c>
      <c r="CF29" s="11" t="s">
        <v>588</v>
      </c>
      <c r="CG29" s="11" t="s">
        <v>588</v>
      </c>
      <c r="CH29" s="11" t="s">
        <v>588</v>
      </c>
      <c r="CI29" s="11" t="s">
        <v>588</v>
      </c>
      <c r="CJ29" s="11" t="s">
        <v>588</v>
      </c>
      <c r="CK29" s="11" t="s">
        <v>588</v>
      </c>
      <c r="CL29" s="11" t="s">
        <v>588</v>
      </c>
      <c r="CM29" s="11" t="s">
        <v>588</v>
      </c>
      <c r="CN29" s="11" t="s">
        <v>588</v>
      </c>
      <c r="CO29" s="11" t="s">
        <v>588</v>
      </c>
      <c r="CP29" s="11" t="s">
        <v>588</v>
      </c>
      <c r="CQ29" s="11" t="s">
        <v>588</v>
      </c>
      <c r="CR29" s="11" t="s">
        <v>588</v>
      </c>
      <c r="CS29" s="11" t="s">
        <v>588</v>
      </c>
      <c r="CT29" s="11" t="s">
        <v>588</v>
      </c>
    </row>
    <row r="30" spans="1:98" x14ac:dyDescent="0.25">
      <c r="A30" s="11">
        <v>202223</v>
      </c>
      <c r="B30" s="11" t="s">
        <v>400</v>
      </c>
      <c r="C30" s="11" t="s">
        <v>400</v>
      </c>
      <c r="D30" s="11" t="s">
        <v>38</v>
      </c>
      <c r="E30" s="11" t="s">
        <v>53</v>
      </c>
      <c r="F30" s="11">
        <v>2</v>
      </c>
      <c r="G30" s="11" t="s">
        <v>475</v>
      </c>
      <c r="H30" s="11" t="s">
        <v>832</v>
      </c>
      <c r="I30" s="13">
        <v>44951</v>
      </c>
      <c r="J30" s="11">
        <v>25</v>
      </c>
      <c r="K30" s="11">
        <v>1</v>
      </c>
      <c r="L30" s="11">
        <v>2023</v>
      </c>
      <c r="M30" s="11" t="s">
        <v>833</v>
      </c>
      <c r="N30" s="11" t="s">
        <v>12</v>
      </c>
      <c r="O30" s="11" t="s">
        <v>10</v>
      </c>
      <c r="P30" s="11" t="s">
        <v>588</v>
      </c>
      <c r="Q30" s="11" t="s">
        <v>588</v>
      </c>
      <c r="R30" s="11">
        <v>-38.651290000000003</v>
      </c>
      <c r="S30" s="11">
        <v>145.56095400000001</v>
      </c>
      <c r="T30" s="11">
        <v>3</v>
      </c>
      <c r="U30" s="11">
        <v>3</v>
      </c>
      <c r="V30" s="11" t="s">
        <v>588</v>
      </c>
      <c r="W30" s="11" t="s">
        <v>588</v>
      </c>
      <c r="X30" s="11">
        <v>5</v>
      </c>
      <c r="Y30" s="11">
        <v>5</v>
      </c>
      <c r="Z30" s="11" t="s">
        <v>8</v>
      </c>
      <c r="AA30" s="13">
        <v>44976</v>
      </c>
      <c r="AB30" s="11">
        <v>19</v>
      </c>
      <c r="AC30" s="11">
        <v>2</v>
      </c>
      <c r="AD30" s="11">
        <v>2023</v>
      </c>
      <c r="AE30" s="13" t="s">
        <v>834</v>
      </c>
      <c r="AF30" s="11" t="s">
        <v>588</v>
      </c>
      <c r="AG30" s="11" t="s">
        <v>588</v>
      </c>
      <c r="AH30" s="11" t="s">
        <v>588</v>
      </c>
      <c r="AI30" s="11" t="s">
        <v>588</v>
      </c>
      <c r="AJ30" s="11" t="s">
        <v>588</v>
      </c>
      <c r="AK30" s="13" t="s">
        <v>588</v>
      </c>
      <c r="AL30" s="11" t="s">
        <v>588</v>
      </c>
      <c r="AM30" s="11" t="s">
        <v>588</v>
      </c>
      <c r="AN30" s="11" t="s">
        <v>588</v>
      </c>
      <c r="AO30" s="11" t="s">
        <v>588</v>
      </c>
      <c r="AP30" s="13">
        <v>44979</v>
      </c>
      <c r="AQ30" s="11" t="s">
        <v>21</v>
      </c>
      <c r="AR30" s="11" t="s">
        <v>195</v>
      </c>
      <c r="AS30" s="11">
        <v>1</v>
      </c>
      <c r="AT30" s="11">
        <v>3</v>
      </c>
      <c r="AU30" s="7" t="s">
        <v>588</v>
      </c>
      <c r="AV30" s="13" t="s">
        <v>588</v>
      </c>
      <c r="AW30" s="11" t="s">
        <v>588</v>
      </c>
      <c r="AX30" s="11" t="s">
        <v>588</v>
      </c>
      <c r="AY30" s="11" t="s">
        <v>588</v>
      </c>
      <c r="AZ30" s="11" t="s">
        <v>588</v>
      </c>
      <c r="BA30" s="7" t="s">
        <v>588</v>
      </c>
      <c r="BB30" s="11" t="s">
        <v>588</v>
      </c>
      <c r="BC30" s="11" t="s">
        <v>588</v>
      </c>
      <c r="BD30" s="11" t="s">
        <v>588</v>
      </c>
      <c r="BE30" s="11" t="s">
        <v>588</v>
      </c>
      <c r="BF30" s="11" t="s">
        <v>588</v>
      </c>
      <c r="BG30" s="7" t="s">
        <v>588</v>
      </c>
      <c r="BH30" s="11" t="s">
        <v>588</v>
      </c>
      <c r="BI30" s="11" t="s">
        <v>588</v>
      </c>
      <c r="BJ30" s="11" t="s">
        <v>588</v>
      </c>
      <c r="BK30" s="11" t="s">
        <v>588</v>
      </c>
      <c r="BL30" s="11" t="s">
        <v>588</v>
      </c>
      <c r="BM30" s="11">
        <v>9</v>
      </c>
      <c r="BN30" s="11">
        <v>8</v>
      </c>
      <c r="BO30" s="11" t="s">
        <v>8</v>
      </c>
      <c r="BP30" s="11">
        <v>1</v>
      </c>
      <c r="BQ30" s="13">
        <v>45019</v>
      </c>
      <c r="BR30" s="11" t="s">
        <v>72</v>
      </c>
      <c r="BS30" s="11" t="s">
        <v>8</v>
      </c>
      <c r="BT30" s="11" t="s">
        <v>9</v>
      </c>
      <c r="BU30" s="11" t="s">
        <v>9</v>
      </c>
      <c r="BV30" s="11" t="s">
        <v>8</v>
      </c>
      <c r="BW30" s="11" t="s">
        <v>9</v>
      </c>
      <c r="BX30" s="11" t="s">
        <v>9</v>
      </c>
      <c r="BY30" s="11" t="s">
        <v>588</v>
      </c>
      <c r="BZ30" s="11" t="s">
        <v>588</v>
      </c>
      <c r="CA30" s="17" t="s">
        <v>588</v>
      </c>
      <c r="CB30" s="11" t="s">
        <v>588</v>
      </c>
      <c r="CC30" s="11" t="s">
        <v>588</v>
      </c>
      <c r="CD30" s="11" t="s">
        <v>588</v>
      </c>
      <c r="CE30" s="11" t="s">
        <v>588</v>
      </c>
      <c r="CF30" s="11" t="s">
        <v>588</v>
      </c>
      <c r="CG30" s="11" t="s">
        <v>588</v>
      </c>
      <c r="CH30" s="11" t="s">
        <v>588</v>
      </c>
      <c r="CI30" s="11" t="s">
        <v>588</v>
      </c>
      <c r="CJ30" s="11" t="s">
        <v>588</v>
      </c>
      <c r="CK30" s="11" t="s">
        <v>588</v>
      </c>
      <c r="CL30" s="11" t="s">
        <v>588</v>
      </c>
      <c r="CM30" s="11" t="s">
        <v>588</v>
      </c>
      <c r="CN30" s="11" t="s">
        <v>588</v>
      </c>
      <c r="CO30" s="11" t="s">
        <v>588</v>
      </c>
      <c r="CP30" s="11" t="s">
        <v>588</v>
      </c>
      <c r="CQ30" s="11" t="s">
        <v>588</v>
      </c>
      <c r="CR30" s="11" t="s">
        <v>588</v>
      </c>
      <c r="CS30" s="11" t="s">
        <v>588</v>
      </c>
      <c r="CT30" s="11" t="s">
        <v>588</v>
      </c>
    </row>
    <row r="31" spans="1:98" x14ac:dyDescent="0.25">
      <c r="A31" s="11">
        <v>202223</v>
      </c>
      <c r="B31" s="11" t="s">
        <v>26</v>
      </c>
      <c r="C31" s="11" t="s">
        <v>26</v>
      </c>
      <c r="D31" s="11" t="s">
        <v>49</v>
      </c>
      <c r="E31" s="11" t="s">
        <v>16</v>
      </c>
      <c r="F31" s="11">
        <v>1</v>
      </c>
      <c r="G31" s="11" t="s">
        <v>835</v>
      </c>
      <c r="H31" s="11" t="s">
        <v>835</v>
      </c>
      <c r="I31" s="13">
        <v>44816</v>
      </c>
      <c r="J31" s="11">
        <v>12</v>
      </c>
      <c r="K31" s="11">
        <v>9</v>
      </c>
      <c r="L31" s="11">
        <v>2022</v>
      </c>
      <c r="M31" s="11" t="s">
        <v>836</v>
      </c>
      <c r="N31" s="11" t="s">
        <v>28</v>
      </c>
      <c r="O31" s="11" t="s">
        <v>10</v>
      </c>
      <c r="P31" s="11">
        <v>-38.643303000000003</v>
      </c>
      <c r="Q31" s="11">
        <v>145.718042</v>
      </c>
      <c r="R31" s="11" t="s">
        <v>588</v>
      </c>
      <c r="S31" s="11" t="s">
        <v>588</v>
      </c>
      <c r="T31" s="11">
        <v>2</v>
      </c>
      <c r="U31" s="11">
        <v>2</v>
      </c>
      <c r="V31" s="11" t="s">
        <v>588</v>
      </c>
      <c r="W31" s="11" t="s">
        <v>588</v>
      </c>
      <c r="X31" s="11">
        <v>3</v>
      </c>
      <c r="Y31" s="11">
        <v>3</v>
      </c>
      <c r="Z31" s="11" t="s">
        <v>41</v>
      </c>
      <c r="AA31" s="13">
        <v>44817</v>
      </c>
      <c r="AB31" s="11">
        <v>13</v>
      </c>
      <c r="AC31" s="11">
        <v>9</v>
      </c>
      <c r="AD31" s="11">
        <v>2022</v>
      </c>
      <c r="AE31" s="13" t="s">
        <v>837</v>
      </c>
      <c r="AF31" s="11" t="s">
        <v>28</v>
      </c>
      <c r="AG31" s="13">
        <v>44818</v>
      </c>
      <c r="AH31" s="11">
        <v>14</v>
      </c>
      <c r="AI31" s="11">
        <v>9</v>
      </c>
      <c r="AJ31" s="11">
        <v>2022</v>
      </c>
      <c r="AK31" s="13" t="s">
        <v>838</v>
      </c>
      <c r="AL31" s="11" t="s">
        <v>28</v>
      </c>
      <c r="AM31" s="11" t="s">
        <v>20</v>
      </c>
      <c r="AN31" s="11" t="s">
        <v>588</v>
      </c>
      <c r="AO31" s="11" t="s">
        <v>48</v>
      </c>
      <c r="AP31" s="13" t="s">
        <v>588</v>
      </c>
      <c r="AQ31" s="11" t="s">
        <v>588</v>
      </c>
      <c r="AR31" s="11" t="s">
        <v>588</v>
      </c>
      <c r="AS31" s="11" t="s">
        <v>588</v>
      </c>
      <c r="AT31" s="11" t="s">
        <v>588</v>
      </c>
      <c r="AU31" s="7" t="s">
        <v>588</v>
      </c>
      <c r="AV31" s="11" t="s">
        <v>588</v>
      </c>
      <c r="AW31" s="11" t="s">
        <v>588</v>
      </c>
      <c r="AX31" s="11" t="s">
        <v>588</v>
      </c>
      <c r="AY31" s="11" t="s">
        <v>588</v>
      </c>
      <c r="AZ31" s="11" t="s">
        <v>588</v>
      </c>
      <c r="BA31" s="7" t="s">
        <v>588</v>
      </c>
      <c r="BB31" s="11" t="s">
        <v>588</v>
      </c>
      <c r="BC31" s="11" t="s">
        <v>588</v>
      </c>
      <c r="BD31" s="11" t="s">
        <v>588</v>
      </c>
      <c r="BE31" s="11" t="s">
        <v>588</v>
      </c>
      <c r="BF31" s="11" t="s">
        <v>588</v>
      </c>
      <c r="BG31" s="7" t="s">
        <v>588</v>
      </c>
      <c r="BH31" s="11" t="s">
        <v>588</v>
      </c>
      <c r="BI31" s="11" t="s">
        <v>588</v>
      </c>
      <c r="BJ31" s="11" t="s">
        <v>588</v>
      </c>
      <c r="BK31" s="11" t="s">
        <v>588</v>
      </c>
      <c r="BL31" s="11" t="s">
        <v>588</v>
      </c>
      <c r="BM31" s="11" t="s">
        <v>588</v>
      </c>
      <c r="BN31" s="11" t="s">
        <v>588</v>
      </c>
      <c r="BO31" s="11" t="s">
        <v>588</v>
      </c>
      <c r="BP31" s="11" t="s">
        <v>588</v>
      </c>
      <c r="BQ31" s="13" t="s">
        <v>588</v>
      </c>
      <c r="BR31" s="11" t="s">
        <v>588</v>
      </c>
      <c r="BS31" s="11" t="s">
        <v>8</v>
      </c>
      <c r="BT31" s="11" t="s">
        <v>9</v>
      </c>
      <c r="BU31" s="11" t="s">
        <v>9</v>
      </c>
      <c r="BV31" s="11" t="s">
        <v>8</v>
      </c>
      <c r="BW31" s="11" t="s">
        <v>588</v>
      </c>
      <c r="BX31" s="11" t="s">
        <v>588</v>
      </c>
      <c r="BY31" s="11" t="s">
        <v>588</v>
      </c>
      <c r="BZ31" s="11" t="s">
        <v>588</v>
      </c>
      <c r="CA31" s="17" t="s">
        <v>588</v>
      </c>
      <c r="CB31" s="11" t="s">
        <v>588</v>
      </c>
      <c r="CC31" s="11" t="s">
        <v>588</v>
      </c>
      <c r="CD31" s="11" t="s">
        <v>588</v>
      </c>
      <c r="CE31" s="11" t="s">
        <v>588</v>
      </c>
      <c r="CF31" s="11" t="s">
        <v>588</v>
      </c>
      <c r="CG31" s="11" t="s">
        <v>588</v>
      </c>
      <c r="CH31" s="11" t="s">
        <v>588</v>
      </c>
      <c r="CI31" s="11" t="s">
        <v>588</v>
      </c>
      <c r="CJ31" s="11" t="s">
        <v>588</v>
      </c>
      <c r="CK31" s="11" t="s">
        <v>588</v>
      </c>
      <c r="CL31" s="11" t="s">
        <v>588</v>
      </c>
      <c r="CM31" s="11" t="s">
        <v>588</v>
      </c>
      <c r="CN31" s="11" t="s">
        <v>588</v>
      </c>
      <c r="CO31" s="11" t="s">
        <v>588</v>
      </c>
      <c r="CP31" s="11" t="s">
        <v>588</v>
      </c>
      <c r="CQ31" s="11" t="s">
        <v>588</v>
      </c>
      <c r="CR31" s="11" t="s">
        <v>588</v>
      </c>
      <c r="CS31" s="11" t="s">
        <v>588</v>
      </c>
      <c r="CT31" s="11" t="s">
        <v>588</v>
      </c>
    </row>
    <row r="32" spans="1:98" x14ac:dyDescent="0.25">
      <c r="A32" s="11">
        <v>202223</v>
      </c>
      <c r="B32" s="11" t="s">
        <v>33</v>
      </c>
      <c r="C32" s="11" t="s">
        <v>33</v>
      </c>
      <c r="D32" s="11" t="s">
        <v>94</v>
      </c>
      <c r="E32" s="11" t="s">
        <v>110</v>
      </c>
      <c r="F32" s="11">
        <v>1</v>
      </c>
      <c r="G32" s="11" t="s">
        <v>839</v>
      </c>
      <c r="H32" s="11" t="s">
        <v>839</v>
      </c>
      <c r="I32" s="13">
        <v>44818</v>
      </c>
      <c r="J32" s="11">
        <v>14</v>
      </c>
      <c r="K32" s="11">
        <v>9</v>
      </c>
      <c r="L32" s="11">
        <v>2022</v>
      </c>
      <c r="M32" s="11" t="s">
        <v>838</v>
      </c>
      <c r="N32" s="11" t="s">
        <v>28</v>
      </c>
      <c r="O32" s="11" t="s">
        <v>10</v>
      </c>
      <c r="P32" s="11" t="s">
        <v>588</v>
      </c>
      <c r="Q32" s="11" t="s">
        <v>588</v>
      </c>
      <c r="R32" s="11">
        <v>-38.635433999999997</v>
      </c>
      <c r="S32" s="11">
        <v>145.74733900000001</v>
      </c>
      <c r="T32" s="11">
        <v>3</v>
      </c>
      <c r="U32" s="11">
        <v>3</v>
      </c>
      <c r="V32" s="13">
        <v>44818</v>
      </c>
      <c r="W32" s="11" t="s">
        <v>219</v>
      </c>
      <c r="X32" s="11">
        <v>40</v>
      </c>
      <c r="Y32" s="11">
        <v>24</v>
      </c>
      <c r="Z32" s="11" t="s">
        <v>8</v>
      </c>
      <c r="AA32" s="13">
        <v>44845</v>
      </c>
      <c r="AB32" s="11">
        <v>11</v>
      </c>
      <c r="AC32" s="11">
        <v>10</v>
      </c>
      <c r="AD32" s="11">
        <v>2022</v>
      </c>
      <c r="AE32" s="13" t="s">
        <v>840</v>
      </c>
      <c r="AF32" s="11" t="s">
        <v>588</v>
      </c>
      <c r="AG32" s="11" t="s">
        <v>588</v>
      </c>
      <c r="AH32" s="11" t="s">
        <v>588</v>
      </c>
      <c r="AI32" s="11" t="s">
        <v>588</v>
      </c>
      <c r="AJ32" s="11" t="s">
        <v>588</v>
      </c>
      <c r="AK32" s="13" t="s">
        <v>588</v>
      </c>
      <c r="AL32" s="11" t="s">
        <v>588</v>
      </c>
      <c r="AM32" s="11" t="s">
        <v>588</v>
      </c>
      <c r="AN32" s="11" t="s">
        <v>588</v>
      </c>
      <c r="AO32" s="11" t="s">
        <v>588</v>
      </c>
      <c r="AP32" s="13">
        <v>44846</v>
      </c>
      <c r="AQ32" s="11" t="s">
        <v>29</v>
      </c>
      <c r="AR32" s="11" t="s">
        <v>195</v>
      </c>
      <c r="AS32" s="11">
        <v>2</v>
      </c>
      <c r="AT32" s="11">
        <v>2</v>
      </c>
      <c r="AU32" s="7">
        <v>44866</v>
      </c>
      <c r="AV32" s="13">
        <v>44867</v>
      </c>
      <c r="AW32" s="11" t="s">
        <v>17</v>
      </c>
      <c r="AX32" s="11" t="s">
        <v>20</v>
      </c>
      <c r="AY32" s="11" t="s">
        <v>588</v>
      </c>
      <c r="AZ32" s="11" t="s">
        <v>20</v>
      </c>
      <c r="BA32" s="7">
        <v>44872</v>
      </c>
      <c r="BB32" s="13">
        <v>44875</v>
      </c>
      <c r="BC32" s="11" t="s">
        <v>17</v>
      </c>
      <c r="BD32" s="11" t="s">
        <v>20</v>
      </c>
      <c r="BE32" s="11" t="s">
        <v>588</v>
      </c>
      <c r="BF32" s="11" t="s">
        <v>20</v>
      </c>
      <c r="BG32" s="7" t="s">
        <v>588</v>
      </c>
      <c r="BH32" s="11" t="s">
        <v>588</v>
      </c>
      <c r="BI32" s="11" t="s">
        <v>588</v>
      </c>
      <c r="BJ32" s="11" t="s">
        <v>588</v>
      </c>
      <c r="BK32" s="11" t="s">
        <v>588</v>
      </c>
      <c r="BL32" s="11" t="s">
        <v>588</v>
      </c>
      <c r="BM32" s="11">
        <v>49</v>
      </c>
      <c r="BN32" s="11">
        <v>27</v>
      </c>
      <c r="BO32" s="11" t="s">
        <v>41</v>
      </c>
      <c r="BP32" s="11" t="s">
        <v>588</v>
      </c>
      <c r="BQ32" s="13" t="s">
        <v>588</v>
      </c>
      <c r="BR32" s="11" t="s">
        <v>588</v>
      </c>
      <c r="BS32" s="11" t="s">
        <v>8</v>
      </c>
      <c r="BT32" s="11" t="s">
        <v>9</v>
      </c>
      <c r="BU32" s="11" t="s">
        <v>9</v>
      </c>
      <c r="BV32" s="11" t="s">
        <v>8</v>
      </c>
      <c r="BW32" s="11" t="s">
        <v>96</v>
      </c>
      <c r="BX32" s="11" t="s">
        <v>96</v>
      </c>
      <c r="BY32" s="11" t="s">
        <v>224</v>
      </c>
      <c r="BZ32" s="11" t="s">
        <v>588</v>
      </c>
      <c r="CA32" s="17" t="s">
        <v>588</v>
      </c>
      <c r="CB32" s="11" t="s">
        <v>588</v>
      </c>
      <c r="CC32" s="11" t="s">
        <v>588</v>
      </c>
      <c r="CD32" s="11" t="s">
        <v>588</v>
      </c>
      <c r="CE32" s="11" t="s">
        <v>588</v>
      </c>
      <c r="CF32" s="11" t="s">
        <v>588</v>
      </c>
      <c r="CG32" s="11" t="s">
        <v>588</v>
      </c>
      <c r="CH32" s="11" t="s">
        <v>588</v>
      </c>
      <c r="CI32" s="11" t="s">
        <v>588</v>
      </c>
      <c r="CJ32" s="11" t="s">
        <v>588</v>
      </c>
      <c r="CK32" s="11" t="s">
        <v>588</v>
      </c>
      <c r="CL32" s="11" t="s">
        <v>588</v>
      </c>
      <c r="CM32" s="11" t="s">
        <v>588</v>
      </c>
      <c r="CN32" s="11" t="s">
        <v>588</v>
      </c>
      <c r="CO32" s="11" t="s">
        <v>588</v>
      </c>
      <c r="CP32" s="11" t="s">
        <v>588</v>
      </c>
      <c r="CQ32" s="11" t="s">
        <v>588</v>
      </c>
      <c r="CR32" s="11" t="s">
        <v>588</v>
      </c>
      <c r="CS32" s="11" t="s">
        <v>588</v>
      </c>
      <c r="CT32" s="11" t="s">
        <v>588</v>
      </c>
    </row>
    <row r="33" spans="1:98" x14ac:dyDescent="0.25">
      <c r="A33" s="11">
        <v>202223</v>
      </c>
      <c r="B33" s="11" t="s">
        <v>33</v>
      </c>
      <c r="C33" s="11" t="s">
        <v>33</v>
      </c>
      <c r="D33" s="11" t="s">
        <v>94</v>
      </c>
      <c r="E33" s="11" t="s">
        <v>110</v>
      </c>
      <c r="F33" s="11">
        <v>2</v>
      </c>
      <c r="G33" s="11" t="s">
        <v>841</v>
      </c>
      <c r="H33" s="11" t="s">
        <v>841</v>
      </c>
      <c r="I33" s="13">
        <v>44891</v>
      </c>
      <c r="J33" s="11">
        <v>26</v>
      </c>
      <c r="K33" s="11">
        <v>11</v>
      </c>
      <c r="L33" s="11">
        <v>2022</v>
      </c>
      <c r="M33" s="11" t="s">
        <v>810</v>
      </c>
      <c r="N33" s="11" t="s">
        <v>17</v>
      </c>
      <c r="O33" s="11" t="s">
        <v>10</v>
      </c>
      <c r="P33" s="11" t="s">
        <v>588</v>
      </c>
      <c r="Q33" s="11" t="s">
        <v>588</v>
      </c>
      <c r="R33" s="11">
        <v>-38.635433999999997</v>
      </c>
      <c r="S33" s="11">
        <v>145.74733900000001</v>
      </c>
      <c r="T33" s="11">
        <v>3</v>
      </c>
      <c r="U33" s="11">
        <v>3</v>
      </c>
      <c r="V33" s="13">
        <v>44891</v>
      </c>
      <c r="W33" s="11" t="s">
        <v>219</v>
      </c>
      <c r="X33" s="11">
        <v>23</v>
      </c>
      <c r="Y33" s="11">
        <v>21</v>
      </c>
      <c r="Z33" s="11" t="s">
        <v>8</v>
      </c>
      <c r="AA33" s="13">
        <v>44919</v>
      </c>
      <c r="AB33" s="11">
        <v>24</v>
      </c>
      <c r="AC33" s="11">
        <v>12</v>
      </c>
      <c r="AD33" s="11">
        <v>2022</v>
      </c>
      <c r="AE33" s="13" t="s">
        <v>842</v>
      </c>
      <c r="AF33" s="11" t="s">
        <v>588</v>
      </c>
      <c r="AG33" s="11" t="s">
        <v>588</v>
      </c>
      <c r="AH33" s="11" t="s">
        <v>588</v>
      </c>
      <c r="AI33" s="11" t="s">
        <v>588</v>
      </c>
      <c r="AJ33" s="11" t="s">
        <v>588</v>
      </c>
      <c r="AK33" s="13" t="s">
        <v>588</v>
      </c>
      <c r="AL33" s="11" t="s">
        <v>588</v>
      </c>
      <c r="AM33" s="11" t="s">
        <v>588</v>
      </c>
      <c r="AN33" s="11" t="s">
        <v>588</v>
      </c>
      <c r="AO33" s="11" t="s">
        <v>588</v>
      </c>
      <c r="AP33" s="13">
        <v>44919</v>
      </c>
      <c r="AQ33" s="11" t="s">
        <v>7</v>
      </c>
      <c r="AR33" s="11" t="s">
        <v>195</v>
      </c>
      <c r="AS33" s="11">
        <v>2</v>
      </c>
      <c r="AT33" s="11">
        <v>2</v>
      </c>
      <c r="AU33" s="7">
        <v>44919</v>
      </c>
      <c r="AV33" s="13">
        <v>44921</v>
      </c>
      <c r="AW33" s="11" t="s">
        <v>7</v>
      </c>
      <c r="AX33" s="11" t="s">
        <v>20</v>
      </c>
      <c r="AY33" s="11" t="s">
        <v>588</v>
      </c>
      <c r="AZ33" s="11" t="s">
        <v>20</v>
      </c>
      <c r="BA33" s="7">
        <v>44919</v>
      </c>
      <c r="BB33" s="13">
        <v>44921</v>
      </c>
      <c r="BC33" s="11" t="s">
        <v>7</v>
      </c>
      <c r="BD33" s="11" t="s">
        <v>20</v>
      </c>
      <c r="BE33" s="11" t="s">
        <v>588</v>
      </c>
      <c r="BF33" s="11" t="s">
        <v>20</v>
      </c>
      <c r="BG33" s="7" t="s">
        <v>588</v>
      </c>
      <c r="BH33" s="11" t="s">
        <v>588</v>
      </c>
      <c r="BI33" s="11" t="s">
        <v>588</v>
      </c>
      <c r="BJ33" s="11" t="s">
        <v>588</v>
      </c>
      <c r="BK33" s="11" t="s">
        <v>588</v>
      </c>
      <c r="BL33" s="11" t="s">
        <v>588</v>
      </c>
      <c r="BM33" s="11">
        <v>2</v>
      </c>
      <c r="BN33" s="11">
        <v>2</v>
      </c>
      <c r="BO33" s="11" t="s">
        <v>41</v>
      </c>
      <c r="BP33" s="11" t="s">
        <v>588</v>
      </c>
      <c r="BQ33" s="13" t="s">
        <v>588</v>
      </c>
      <c r="BR33" s="11" t="s">
        <v>588</v>
      </c>
      <c r="BS33" s="11" t="s">
        <v>8</v>
      </c>
      <c r="BT33" s="11" t="s">
        <v>9</v>
      </c>
      <c r="BU33" s="11" t="s">
        <v>9</v>
      </c>
      <c r="BV33" s="11" t="s">
        <v>8</v>
      </c>
      <c r="BW33" s="11" t="s">
        <v>96</v>
      </c>
      <c r="BX33" s="11" t="s">
        <v>96</v>
      </c>
      <c r="BY33" s="11" t="s">
        <v>217</v>
      </c>
      <c r="BZ33" s="11" t="s">
        <v>588</v>
      </c>
      <c r="CA33" s="17" t="s">
        <v>588</v>
      </c>
      <c r="CB33" s="11" t="s">
        <v>588</v>
      </c>
      <c r="CC33" s="11" t="s">
        <v>588</v>
      </c>
      <c r="CD33" s="11" t="s">
        <v>588</v>
      </c>
      <c r="CE33" s="11" t="s">
        <v>588</v>
      </c>
      <c r="CF33" s="11" t="s">
        <v>588</v>
      </c>
      <c r="CG33" s="11" t="s">
        <v>588</v>
      </c>
      <c r="CH33" s="11" t="s">
        <v>588</v>
      </c>
      <c r="CI33" s="11" t="s">
        <v>588</v>
      </c>
      <c r="CJ33" s="11" t="s">
        <v>588</v>
      </c>
      <c r="CK33" s="11" t="s">
        <v>588</v>
      </c>
      <c r="CL33" s="11" t="s">
        <v>588</v>
      </c>
      <c r="CM33" s="11" t="s">
        <v>588</v>
      </c>
      <c r="CN33" s="11" t="s">
        <v>588</v>
      </c>
      <c r="CO33" s="11" t="s">
        <v>588</v>
      </c>
      <c r="CP33" s="11" t="s">
        <v>588</v>
      </c>
      <c r="CQ33" s="11" t="s">
        <v>588</v>
      </c>
      <c r="CR33" s="11" t="s">
        <v>588</v>
      </c>
      <c r="CS33" s="11" t="s">
        <v>588</v>
      </c>
      <c r="CT33" s="11" t="s">
        <v>588</v>
      </c>
    </row>
    <row r="34" spans="1:98" x14ac:dyDescent="0.25">
      <c r="A34" s="11">
        <v>202223</v>
      </c>
      <c r="B34" s="11" t="s">
        <v>301</v>
      </c>
      <c r="C34" s="11" t="s">
        <v>301</v>
      </c>
      <c r="D34" s="11" t="s">
        <v>302</v>
      </c>
      <c r="E34" s="11" t="s">
        <v>303</v>
      </c>
      <c r="F34" s="11">
        <v>1</v>
      </c>
      <c r="G34" s="11" t="s">
        <v>476</v>
      </c>
      <c r="H34" s="11" t="s">
        <v>843</v>
      </c>
      <c r="I34" s="13">
        <v>44809</v>
      </c>
      <c r="J34" s="11">
        <v>5</v>
      </c>
      <c r="K34" s="11">
        <v>9</v>
      </c>
      <c r="L34" s="11">
        <v>2022</v>
      </c>
      <c r="M34" s="11" t="s">
        <v>844</v>
      </c>
      <c r="N34" s="11" t="s">
        <v>28</v>
      </c>
      <c r="O34" s="11" t="s">
        <v>36</v>
      </c>
      <c r="P34" s="11">
        <v>-38.557181</v>
      </c>
      <c r="Q34" s="11">
        <v>145.48606799999999</v>
      </c>
      <c r="R34" s="11" t="s">
        <v>588</v>
      </c>
      <c r="S34" s="11" t="s">
        <v>588</v>
      </c>
      <c r="T34" s="11">
        <v>3</v>
      </c>
      <c r="U34" s="11">
        <v>3</v>
      </c>
      <c r="V34" s="11" t="s">
        <v>588</v>
      </c>
      <c r="W34" s="11" t="s">
        <v>588</v>
      </c>
      <c r="X34" s="11">
        <v>4</v>
      </c>
      <c r="Y34" s="11">
        <v>4</v>
      </c>
      <c r="Z34" s="11" t="s">
        <v>41</v>
      </c>
      <c r="AA34" s="13">
        <v>44824</v>
      </c>
      <c r="AB34" s="11">
        <v>20</v>
      </c>
      <c r="AC34" s="11">
        <v>9</v>
      </c>
      <c r="AD34" s="11">
        <v>2022</v>
      </c>
      <c r="AE34" s="13" t="s">
        <v>845</v>
      </c>
      <c r="AF34" s="11" t="s">
        <v>28</v>
      </c>
      <c r="AG34" s="13">
        <v>44830</v>
      </c>
      <c r="AH34" s="11">
        <v>26</v>
      </c>
      <c r="AI34" s="11">
        <v>9</v>
      </c>
      <c r="AJ34" s="11">
        <v>2022</v>
      </c>
      <c r="AK34" s="13" t="s">
        <v>846</v>
      </c>
      <c r="AL34" s="11" t="s">
        <v>28</v>
      </c>
      <c r="AM34" s="11" t="s">
        <v>20</v>
      </c>
      <c r="AN34" s="11" t="s">
        <v>588</v>
      </c>
      <c r="AO34" s="11" t="s">
        <v>32</v>
      </c>
      <c r="AP34" s="13" t="s">
        <v>588</v>
      </c>
      <c r="AQ34" s="11" t="s">
        <v>588</v>
      </c>
      <c r="AR34" s="11" t="s">
        <v>588</v>
      </c>
      <c r="AS34" s="11" t="s">
        <v>588</v>
      </c>
      <c r="AT34" s="11" t="s">
        <v>588</v>
      </c>
      <c r="AU34" s="7" t="s">
        <v>588</v>
      </c>
      <c r="AV34" s="13" t="s">
        <v>588</v>
      </c>
      <c r="AW34" s="11" t="s">
        <v>588</v>
      </c>
      <c r="AX34" s="11" t="s">
        <v>588</v>
      </c>
      <c r="AY34" s="11" t="s">
        <v>588</v>
      </c>
      <c r="AZ34" s="11" t="s">
        <v>588</v>
      </c>
      <c r="BA34" s="7" t="s">
        <v>588</v>
      </c>
      <c r="BB34" s="11" t="s">
        <v>588</v>
      </c>
      <c r="BC34" s="11" t="s">
        <v>588</v>
      </c>
      <c r="BD34" s="11" t="s">
        <v>588</v>
      </c>
      <c r="BE34" s="11" t="s">
        <v>588</v>
      </c>
      <c r="BF34" s="11" t="s">
        <v>588</v>
      </c>
      <c r="BG34" s="7" t="s">
        <v>588</v>
      </c>
      <c r="BH34" s="11" t="s">
        <v>588</v>
      </c>
      <c r="BI34" s="11" t="s">
        <v>588</v>
      </c>
      <c r="BJ34" s="11" t="s">
        <v>588</v>
      </c>
      <c r="BK34" s="11" t="s">
        <v>588</v>
      </c>
      <c r="BL34" s="11" t="s">
        <v>588</v>
      </c>
      <c r="BM34" s="11" t="s">
        <v>588</v>
      </c>
      <c r="BN34" s="11" t="s">
        <v>588</v>
      </c>
      <c r="BO34" s="11" t="s">
        <v>588</v>
      </c>
      <c r="BP34" s="11" t="s">
        <v>588</v>
      </c>
      <c r="BQ34" s="13" t="s">
        <v>588</v>
      </c>
      <c r="BR34" s="11" t="s">
        <v>588</v>
      </c>
      <c r="BS34" s="11" t="s">
        <v>41</v>
      </c>
      <c r="BT34" s="11" t="s">
        <v>588</v>
      </c>
      <c r="BU34" s="11" t="s">
        <v>42</v>
      </c>
      <c r="BV34" s="11" t="s">
        <v>588</v>
      </c>
      <c r="BW34" s="11" t="s">
        <v>588</v>
      </c>
      <c r="BX34" s="11" t="s">
        <v>588</v>
      </c>
      <c r="BY34" s="11" t="s">
        <v>588</v>
      </c>
      <c r="BZ34" s="11" t="s">
        <v>588</v>
      </c>
      <c r="CA34" s="17" t="s">
        <v>588</v>
      </c>
      <c r="CB34" s="11" t="s">
        <v>588</v>
      </c>
      <c r="CC34" s="11" t="s">
        <v>588</v>
      </c>
      <c r="CD34" s="11" t="s">
        <v>588</v>
      </c>
      <c r="CE34" s="11" t="s">
        <v>588</v>
      </c>
      <c r="CF34" s="11" t="s">
        <v>588</v>
      </c>
      <c r="CG34" s="11" t="s">
        <v>588</v>
      </c>
      <c r="CH34" s="11" t="s">
        <v>588</v>
      </c>
      <c r="CI34" s="11" t="s">
        <v>588</v>
      </c>
      <c r="CJ34" s="11" t="s">
        <v>588</v>
      </c>
      <c r="CK34" s="11" t="s">
        <v>588</v>
      </c>
      <c r="CL34" s="11" t="s">
        <v>588</v>
      </c>
      <c r="CM34" s="11" t="s">
        <v>588</v>
      </c>
      <c r="CN34" s="11" t="s">
        <v>588</v>
      </c>
      <c r="CO34" s="11" t="s">
        <v>588</v>
      </c>
      <c r="CP34" s="11" t="s">
        <v>588</v>
      </c>
      <c r="CQ34" s="11" t="s">
        <v>588</v>
      </c>
      <c r="CR34" s="11" t="s">
        <v>588</v>
      </c>
      <c r="CS34" s="11" t="s">
        <v>588</v>
      </c>
      <c r="CT34" s="11" t="s">
        <v>588</v>
      </c>
    </row>
    <row r="35" spans="1:98" x14ac:dyDescent="0.25">
      <c r="A35" s="11">
        <v>202223</v>
      </c>
      <c r="B35" s="11" t="s">
        <v>301</v>
      </c>
      <c r="C35" s="11" t="s">
        <v>301</v>
      </c>
      <c r="D35" s="11" t="s">
        <v>302</v>
      </c>
      <c r="E35" s="11" t="s">
        <v>303</v>
      </c>
      <c r="F35" s="11">
        <v>2</v>
      </c>
      <c r="G35" s="11" t="s">
        <v>477</v>
      </c>
      <c r="H35" s="11" t="s">
        <v>847</v>
      </c>
      <c r="I35" s="13">
        <v>44844</v>
      </c>
      <c r="J35" s="11">
        <v>10</v>
      </c>
      <c r="K35" s="11">
        <v>10</v>
      </c>
      <c r="L35" s="11">
        <v>2022</v>
      </c>
      <c r="M35" s="11" t="s">
        <v>848</v>
      </c>
      <c r="N35" s="11" t="s">
        <v>29</v>
      </c>
      <c r="O35" s="11" t="s">
        <v>36</v>
      </c>
      <c r="P35" s="11">
        <v>-38.557478000000003</v>
      </c>
      <c r="Q35" s="11">
        <v>145.48644899999999</v>
      </c>
      <c r="R35" s="11" t="s">
        <v>588</v>
      </c>
      <c r="S35" s="11" t="s">
        <v>588</v>
      </c>
      <c r="T35" s="11">
        <v>3</v>
      </c>
      <c r="U35" s="11">
        <v>3</v>
      </c>
      <c r="V35" s="11" t="s">
        <v>588</v>
      </c>
      <c r="W35" s="11" t="s">
        <v>588</v>
      </c>
      <c r="X35" s="11">
        <v>3</v>
      </c>
      <c r="Y35" s="11">
        <v>3</v>
      </c>
      <c r="Z35" s="11" t="s">
        <v>41</v>
      </c>
      <c r="AA35" s="13">
        <v>44851</v>
      </c>
      <c r="AB35" s="11">
        <v>17</v>
      </c>
      <c r="AC35" s="11">
        <v>10</v>
      </c>
      <c r="AD35" s="11">
        <v>2022</v>
      </c>
      <c r="AE35" s="13" t="s">
        <v>795</v>
      </c>
      <c r="AF35" s="11" t="s">
        <v>29</v>
      </c>
      <c r="AG35" s="13">
        <v>44864</v>
      </c>
      <c r="AH35" s="11">
        <v>30</v>
      </c>
      <c r="AI35" s="11">
        <v>10</v>
      </c>
      <c r="AJ35" s="11">
        <v>2022</v>
      </c>
      <c r="AK35" s="13" t="s">
        <v>849</v>
      </c>
      <c r="AL35" s="11" t="s">
        <v>29</v>
      </c>
      <c r="AM35" s="11" t="s">
        <v>20</v>
      </c>
      <c r="AN35" s="11" t="s">
        <v>588</v>
      </c>
      <c r="AO35" s="11" t="s">
        <v>20</v>
      </c>
      <c r="AP35" s="13" t="s">
        <v>588</v>
      </c>
      <c r="AQ35" s="11" t="s">
        <v>588</v>
      </c>
      <c r="AR35" s="11" t="s">
        <v>588</v>
      </c>
      <c r="AS35" s="11" t="s">
        <v>588</v>
      </c>
      <c r="AT35" s="11" t="s">
        <v>588</v>
      </c>
      <c r="AU35" s="7" t="s">
        <v>588</v>
      </c>
      <c r="AV35" s="13" t="s">
        <v>588</v>
      </c>
      <c r="AW35" s="11" t="s">
        <v>588</v>
      </c>
      <c r="AX35" s="11" t="s">
        <v>588</v>
      </c>
      <c r="AY35" s="11" t="s">
        <v>588</v>
      </c>
      <c r="AZ35" s="11" t="s">
        <v>588</v>
      </c>
      <c r="BA35" s="7" t="s">
        <v>588</v>
      </c>
      <c r="BB35" s="11" t="s">
        <v>588</v>
      </c>
      <c r="BC35" s="11" t="s">
        <v>588</v>
      </c>
      <c r="BD35" s="11" t="s">
        <v>588</v>
      </c>
      <c r="BE35" s="11" t="s">
        <v>588</v>
      </c>
      <c r="BF35" s="11" t="s">
        <v>588</v>
      </c>
      <c r="BG35" s="7" t="s">
        <v>588</v>
      </c>
      <c r="BH35" s="11" t="s">
        <v>588</v>
      </c>
      <c r="BI35" s="11" t="s">
        <v>588</v>
      </c>
      <c r="BJ35" s="11" t="s">
        <v>588</v>
      </c>
      <c r="BK35" s="11" t="s">
        <v>588</v>
      </c>
      <c r="BL35" s="11" t="s">
        <v>588</v>
      </c>
      <c r="BM35" s="11" t="s">
        <v>588</v>
      </c>
      <c r="BN35" s="11" t="s">
        <v>588</v>
      </c>
      <c r="BO35" s="11" t="s">
        <v>588</v>
      </c>
      <c r="BP35" s="11" t="s">
        <v>588</v>
      </c>
      <c r="BQ35" s="13" t="s">
        <v>588</v>
      </c>
      <c r="BR35" s="11" t="s">
        <v>588</v>
      </c>
      <c r="BS35" s="11" t="s">
        <v>41</v>
      </c>
      <c r="BT35" s="11" t="s">
        <v>588</v>
      </c>
      <c r="BU35" s="11" t="s">
        <v>42</v>
      </c>
      <c r="BV35" s="11" t="s">
        <v>588</v>
      </c>
      <c r="BW35" s="11" t="s">
        <v>588</v>
      </c>
      <c r="BX35" s="11" t="s">
        <v>588</v>
      </c>
      <c r="BY35" s="11" t="s">
        <v>588</v>
      </c>
      <c r="BZ35" s="11" t="s">
        <v>588</v>
      </c>
      <c r="CA35" s="17" t="s">
        <v>588</v>
      </c>
      <c r="CB35" s="11" t="s">
        <v>588</v>
      </c>
      <c r="CC35" s="11" t="s">
        <v>588</v>
      </c>
      <c r="CD35" s="11" t="s">
        <v>588</v>
      </c>
      <c r="CE35" s="11" t="s">
        <v>588</v>
      </c>
      <c r="CF35" s="11" t="s">
        <v>588</v>
      </c>
      <c r="CG35" s="11" t="s">
        <v>588</v>
      </c>
      <c r="CH35" s="11" t="s">
        <v>588</v>
      </c>
      <c r="CI35" s="11" t="s">
        <v>588</v>
      </c>
      <c r="CJ35" s="11" t="s">
        <v>588</v>
      </c>
      <c r="CK35" s="11" t="s">
        <v>588</v>
      </c>
      <c r="CL35" s="11" t="s">
        <v>588</v>
      </c>
      <c r="CM35" s="11" t="s">
        <v>588</v>
      </c>
      <c r="CN35" s="11" t="s">
        <v>588</v>
      </c>
      <c r="CO35" s="11" t="s">
        <v>588</v>
      </c>
      <c r="CP35" s="11" t="s">
        <v>588</v>
      </c>
      <c r="CQ35" s="11" t="s">
        <v>588</v>
      </c>
      <c r="CR35" s="11" t="s">
        <v>588</v>
      </c>
      <c r="CS35" s="11" t="s">
        <v>588</v>
      </c>
      <c r="CT35" s="11" t="s">
        <v>588</v>
      </c>
    </row>
    <row r="36" spans="1:98" x14ac:dyDescent="0.25">
      <c r="A36" s="11">
        <v>202223</v>
      </c>
      <c r="B36" s="11" t="s">
        <v>301</v>
      </c>
      <c r="C36" s="11" t="s">
        <v>301</v>
      </c>
      <c r="D36" s="11" t="s">
        <v>302</v>
      </c>
      <c r="E36" s="11" t="s">
        <v>303</v>
      </c>
      <c r="F36" s="11">
        <v>3</v>
      </c>
      <c r="G36" s="11" t="s">
        <v>478</v>
      </c>
      <c r="H36" s="11" t="s">
        <v>850</v>
      </c>
      <c r="I36" s="13">
        <v>44925</v>
      </c>
      <c r="J36" s="11">
        <v>30</v>
      </c>
      <c r="K36" s="11">
        <v>12</v>
      </c>
      <c r="L36" s="11">
        <v>2022</v>
      </c>
      <c r="M36" s="11" t="s">
        <v>787</v>
      </c>
      <c r="N36" s="11" t="s">
        <v>7</v>
      </c>
      <c r="O36" s="11" t="s">
        <v>36</v>
      </c>
      <c r="P36" s="11">
        <v>-38.557194000000003</v>
      </c>
      <c r="Q36" s="11">
        <v>145.486098</v>
      </c>
      <c r="R36" s="11" t="s">
        <v>588</v>
      </c>
      <c r="S36" s="11" t="s">
        <v>588</v>
      </c>
      <c r="T36" s="11">
        <v>2</v>
      </c>
      <c r="U36" s="11">
        <v>2</v>
      </c>
      <c r="V36" s="11" t="s">
        <v>588</v>
      </c>
      <c r="W36" s="11" t="s">
        <v>588</v>
      </c>
      <c r="X36" s="11">
        <v>8</v>
      </c>
      <c r="Y36" s="11">
        <v>7</v>
      </c>
      <c r="Z36" s="11" t="s">
        <v>41</v>
      </c>
      <c r="AA36" s="13">
        <v>44945</v>
      </c>
      <c r="AB36" s="11">
        <v>19</v>
      </c>
      <c r="AC36" s="11">
        <v>1</v>
      </c>
      <c r="AD36" s="11">
        <v>2023</v>
      </c>
      <c r="AE36" s="13" t="s">
        <v>851</v>
      </c>
      <c r="AF36" s="11" t="s">
        <v>12</v>
      </c>
      <c r="AG36" s="13">
        <v>44950</v>
      </c>
      <c r="AH36" s="11">
        <v>24</v>
      </c>
      <c r="AI36" s="11">
        <v>1</v>
      </c>
      <c r="AJ36" s="11">
        <v>2023</v>
      </c>
      <c r="AK36" s="13" t="s">
        <v>785</v>
      </c>
      <c r="AL36" s="11" t="s">
        <v>12</v>
      </c>
      <c r="AM36" s="11" t="s">
        <v>20</v>
      </c>
      <c r="AN36" s="11" t="s">
        <v>588</v>
      </c>
      <c r="AO36" s="11" t="s">
        <v>259</v>
      </c>
      <c r="AP36" s="13" t="s">
        <v>588</v>
      </c>
      <c r="AQ36" s="11" t="s">
        <v>588</v>
      </c>
      <c r="AR36" s="11" t="s">
        <v>588</v>
      </c>
      <c r="AS36" s="11" t="s">
        <v>588</v>
      </c>
      <c r="AT36" s="11" t="s">
        <v>588</v>
      </c>
      <c r="AU36" s="7" t="s">
        <v>588</v>
      </c>
      <c r="AV36" s="13" t="s">
        <v>588</v>
      </c>
      <c r="AW36" s="11" t="s">
        <v>588</v>
      </c>
      <c r="AX36" s="11" t="s">
        <v>588</v>
      </c>
      <c r="AY36" s="11" t="s">
        <v>588</v>
      </c>
      <c r="AZ36" s="11" t="s">
        <v>588</v>
      </c>
      <c r="BA36" s="7" t="s">
        <v>588</v>
      </c>
      <c r="BB36" s="11" t="s">
        <v>588</v>
      </c>
      <c r="BC36" s="11" t="s">
        <v>588</v>
      </c>
      <c r="BD36" s="11" t="s">
        <v>588</v>
      </c>
      <c r="BE36" s="11" t="s">
        <v>588</v>
      </c>
      <c r="BF36" s="11" t="s">
        <v>588</v>
      </c>
      <c r="BG36" s="7" t="s">
        <v>588</v>
      </c>
      <c r="BH36" s="11" t="s">
        <v>588</v>
      </c>
      <c r="BI36" s="11" t="s">
        <v>588</v>
      </c>
      <c r="BJ36" s="11" t="s">
        <v>588</v>
      </c>
      <c r="BK36" s="11" t="s">
        <v>588</v>
      </c>
      <c r="BL36" s="11" t="s">
        <v>588</v>
      </c>
      <c r="BM36" s="11" t="s">
        <v>588</v>
      </c>
      <c r="BN36" s="11" t="s">
        <v>588</v>
      </c>
      <c r="BO36" s="11" t="s">
        <v>588</v>
      </c>
      <c r="BP36" s="11" t="s">
        <v>588</v>
      </c>
      <c r="BQ36" s="13" t="s">
        <v>588</v>
      </c>
      <c r="BR36" s="11" t="s">
        <v>588</v>
      </c>
      <c r="BS36" s="11" t="s">
        <v>41</v>
      </c>
      <c r="BT36" s="11" t="s">
        <v>588</v>
      </c>
      <c r="BU36" s="11" t="s">
        <v>42</v>
      </c>
      <c r="BV36" s="11" t="s">
        <v>588</v>
      </c>
      <c r="BW36" s="11" t="s">
        <v>588</v>
      </c>
      <c r="BX36" s="11" t="s">
        <v>588</v>
      </c>
      <c r="BY36" s="11" t="s">
        <v>588</v>
      </c>
      <c r="BZ36" s="11" t="s">
        <v>588</v>
      </c>
      <c r="CA36" s="17" t="s">
        <v>588</v>
      </c>
      <c r="CB36" s="11" t="s">
        <v>588</v>
      </c>
      <c r="CC36" s="11" t="s">
        <v>588</v>
      </c>
      <c r="CD36" s="11" t="s">
        <v>588</v>
      </c>
      <c r="CE36" s="11" t="s">
        <v>588</v>
      </c>
      <c r="CF36" s="11" t="s">
        <v>588</v>
      </c>
      <c r="CG36" s="11" t="s">
        <v>588</v>
      </c>
      <c r="CH36" s="11" t="s">
        <v>588</v>
      </c>
      <c r="CI36" s="11" t="s">
        <v>588</v>
      </c>
      <c r="CJ36" s="11" t="s">
        <v>588</v>
      </c>
      <c r="CK36" s="11" t="s">
        <v>588</v>
      </c>
      <c r="CL36" s="11" t="s">
        <v>588</v>
      </c>
      <c r="CM36" s="11" t="s">
        <v>588</v>
      </c>
      <c r="CN36" s="11" t="s">
        <v>588</v>
      </c>
      <c r="CO36" s="11" t="s">
        <v>588</v>
      </c>
      <c r="CP36" s="11" t="s">
        <v>588</v>
      </c>
      <c r="CQ36" s="11" t="s">
        <v>588</v>
      </c>
      <c r="CR36" s="11" t="s">
        <v>588</v>
      </c>
      <c r="CS36" s="11" t="s">
        <v>588</v>
      </c>
      <c r="CT36" s="11" t="s">
        <v>588</v>
      </c>
    </row>
    <row r="37" spans="1:98" x14ac:dyDescent="0.25">
      <c r="A37" s="11">
        <v>202223</v>
      </c>
      <c r="B37" s="11" t="s">
        <v>301</v>
      </c>
      <c r="C37" s="11" t="s">
        <v>301</v>
      </c>
      <c r="D37" s="11" t="s">
        <v>302</v>
      </c>
      <c r="E37" s="11" t="s">
        <v>303</v>
      </c>
      <c r="F37" s="11">
        <v>4</v>
      </c>
      <c r="G37" s="11" t="s">
        <v>479</v>
      </c>
      <c r="H37" s="11" t="s">
        <v>852</v>
      </c>
      <c r="I37" s="13">
        <v>44963</v>
      </c>
      <c r="J37" s="11">
        <v>6</v>
      </c>
      <c r="K37" s="11">
        <v>2</v>
      </c>
      <c r="L37" s="11">
        <v>2023</v>
      </c>
      <c r="M37" s="11" t="s">
        <v>814</v>
      </c>
      <c r="N37" s="11" t="s">
        <v>21</v>
      </c>
      <c r="O37" s="11" t="s">
        <v>36</v>
      </c>
      <c r="P37" s="11">
        <v>-38.556933999999998</v>
      </c>
      <c r="Q37" s="11">
        <v>145.485568</v>
      </c>
      <c r="R37" s="11" t="s">
        <v>588</v>
      </c>
      <c r="S37" s="11" t="s">
        <v>588</v>
      </c>
      <c r="T37" s="11">
        <v>3</v>
      </c>
      <c r="U37" s="11">
        <v>3</v>
      </c>
      <c r="V37" s="11" t="s">
        <v>588</v>
      </c>
      <c r="W37" s="11" t="s">
        <v>588</v>
      </c>
      <c r="X37" s="11">
        <v>9</v>
      </c>
      <c r="Y37" s="11">
        <v>9</v>
      </c>
      <c r="Z37" s="11" t="s">
        <v>41</v>
      </c>
      <c r="AA37" s="13">
        <v>44984</v>
      </c>
      <c r="AB37" s="11">
        <v>27</v>
      </c>
      <c r="AC37" s="11">
        <v>2</v>
      </c>
      <c r="AD37" s="11">
        <v>2023</v>
      </c>
      <c r="AE37" s="13" t="s">
        <v>766</v>
      </c>
      <c r="AF37" s="11" t="s">
        <v>21</v>
      </c>
      <c r="AG37" s="13">
        <v>44986</v>
      </c>
      <c r="AH37" s="11">
        <v>1</v>
      </c>
      <c r="AI37" s="11">
        <v>3</v>
      </c>
      <c r="AJ37" s="11">
        <v>2023</v>
      </c>
      <c r="AK37" s="13" t="s">
        <v>771</v>
      </c>
      <c r="AL37" s="11" t="s">
        <v>22</v>
      </c>
      <c r="AM37" s="11" t="s">
        <v>20</v>
      </c>
      <c r="AN37" s="11" t="s">
        <v>588</v>
      </c>
      <c r="AO37" s="11" t="s">
        <v>32</v>
      </c>
      <c r="AP37" s="13" t="s">
        <v>588</v>
      </c>
      <c r="AQ37" s="11" t="s">
        <v>588</v>
      </c>
      <c r="AR37" s="11" t="s">
        <v>588</v>
      </c>
      <c r="AS37" s="11" t="s">
        <v>588</v>
      </c>
      <c r="AT37" s="11" t="s">
        <v>588</v>
      </c>
      <c r="AU37" s="7" t="s">
        <v>588</v>
      </c>
      <c r="AV37" s="13" t="s">
        <v>588</v>
      </c>
      <c r="AW37" s="11" t="s">
        <v>588</v>
      </c>
      <c r="AX37" s="11" t="s">
        <v>588</v>
      </c>
      <c r="AY37" s="11" t="s">
        <v>588</v>
      </c>
      <c r="AZ37" s="11" t="s">
        <v>588</v>
      </c>
      <c r="BA37" s="7" t="s">
        <v>588</v>
      </c>
      <c r="BB37" s="11" t="s">
        <v>588</v>
      </c>
      <c r="BC37" s="11" t="s">
        <v>588</v>
      </c>
      <c r="BD37" s="11" t="s">
        <v>588</v>
      </c>
      <c r="BE37" s="11" t="s">
        <v>588</v>
      </c>
      <c r="BF37" s="11" t="s">
        <v>588</v>
      </c>
      <c r="BG37" s="7" t="s">
        <v>588</v>
      </c>
      <c r="BH37" s="11" t="s">
        <v>588</v>
      </c>
      <c r="BI37" s="11" t="s">
        <v>588</v>
      </c>
      <c r="BJ37" s="11" t="s">
        <v>588</v>
      </c>
      <c r="BK37" s="11" t="s">
        <v>588</v>
      </c>
      <c r="BL37" s="11" t="s">
        <v>588</v>
      </c>
      <c r="BM37" s="11" t="s">
        <v>588</v>
      </c>
      <c r="BN37" s="11" t="s">
        <v>588</v>
      </c>
      <c r="BO37" s="11" t="s">
        <v>588</v>
      </c>
      <c r="BP37" s="11" t="s">
        <v>588</v>
      </c>
      <c r="BQ37" s="13" t="s">
        <v>588</v>
      </c>
      <c r="BR37" s="11" t="s">
        <v>588</v>
      </c>
      <c r="BS37" s="11" t="s">
        <v>8</v>
      </c>
      <c r="BT37" s="11" t="s">
        <v>9</v>
      </c>
      <c r="BU37" s="11" t="s">
        <v>9</v>
      </c>
      <c r="BV37" s="11" t="s">
        <v>588</v>
      </c>
      <c r="BW37" s="11" t="s">
        <v>588</v>
      </c>
      <c r="BX37" s="11" t="s">
        <v>588</v>
      </c>
      <c r="BY37" s="11" t="s">
        <v>588</v>
      </c>
      <c r="BZ37" s="11" t="s">
        <v>588</v>
      </c>
      <c r="CA37" s="17" t="s">
        <v>588</v>
      </c>
      <c r="CB37" s="11" t="s">
        <v>588</v>
      </c>
      <c r="CC37" s="11" t="s">
        <v>588</v>
      </c>
      <c r="CD37" s="11" t="s">
        <v>588</v>
      </c>
      <c r="CE37" s="11" t="s">
        <v>588</v>
      </c>
      <c r="CF37" s="11" t="s">
        <v>588</v>
      </c>
      <c r="CG37" s="11" t="s">
        <v>588</v>
      </c>
      <c r="CH37" s="11" t="s">
        <v>588</v>
      </c>
      <c r="CI37" s="11" t="s">
        <v>588</v>
      </c>
      <c r="CJ37" s="11" t="s">
        <v>588</v>
      </c>
      <c r="CK37" s="11" t="s">
        <v>588</v>
      </c>
      <c r="CL37" s="11" t="s">
        <v>588</v>
      </c>
      <c r="CM37" s="11" t="s">
        <v>588</v>
      </c>
      <c r="CN37" s="11" t="s">
        <v>588</v>
      </c>
      <c r="CO37" s="11" t="s">
        <v>588</v>
      </c>
      <c r="CP37" s="11" t="s">
        <v>588</v>
      </c>
      <c r="CQ37" s="11" t="s">
        <v>588</v>
      </c>
      <c r="CR37" s="11" t="s">
        <v>588</v>
      </c>
      <c r="CS37" s="11" t="s">
        <v>588</v>
      </c>
      <c r="CT37" s="11" t="s">
        <v>588</v>
      </c>
    </row>
    <row r="38" spans="1:98" x14ac:dyDescent="0.25">
      <c r="A38" s="11">
        <v>202223</v>
      </c>
      <c r="B38" s="11" t="s">
        <v>308</v>
      </c>
      <c r="C38" s="11" t="s">
        <v>308</v>
      </c>
      <c r="D38" s="11" t="s">
        <v>404</v>
      </c>
      <c r="E38" s="11" t="s">
        <v>405</v>
      </c>
      <c r="F38" s="11">
        <v>1</v>
      </c>
      <c r="G38" s="11" t="s">
        <v>480</v>
      </c>
      <c r="H38" s="11" t="s">
        <v>853</v>
      </c>
      <c r="I38" s="13">
        <v>44861</v>
      </c>
      <c r="J38" s="11">
        <v>27</v>
      </c>
      <c r="K38" s="11">
        <v>10</v>
      </c>
      <c r="L38" s="11">
        <v>2022</v>
      </c>
      <c r="M38" s="11" t="s">
        <v>854</v>
      </c>
      <c r="N38" s="11" t="s">
        <v>29</v>
      </c>
      <c r="O38" s="11" t="s">
        <v>19</v>
      </c>
      <c r="P38" s="11" t="s">
        <v>588</v>
      </c>
      <c r="Q38" s="11" t="s">
        <v>588</v>
      </c>
      <c r="R38" s="11">
        <v>-38.582509000000002</v>
      </c>
      <c r="S38" s="11">
        <v>145.51125500000001</v>
      </c>
      <c r="T38" s="11">
        <v>3</v>
      </c>
      <c r="U38" s="11">
        <v>3</v>
      </c>
      <c r="V38" s="11" t="s">
        <v>588</v>
      </c>
      <c r="W38" s="11" t="s">
        <v>588</v>
      </c>
      <c r="X38" s="11">
        <v>6</v>
      </c>
      <c r="Y38" s="11">
        <v>6</v>
      </c>
      <c r="Z38" s="11" t="s">
        <v>41</v>
      </c>
      <c r="AA38" s="13">
        <v>44869</v>
      </c>
      <c r="AB38" s="11">
        <v>4</v>
      </c>
      <c r="AC38" s="11">
        <v>11</v>
      </c>
      <c r="AD38" s="11">
        <v>2022</v>
      </c>
      <c r="AE38" s="13" t="s">
        <v>855</v>
      </c>
      <c r="AF38" s="11" t="s">
        <v>17</v>
      </c>
      <c r="AG38" s="13">
        <v>44872</v>
      </c>
      <c r="AH38" s="11">
        <v>7</v>
      </c>
      <c r="AI38" s="11">
        <v>11</v>
      </c>
      <c r="AJ38" s="11">
        <v>2022</v>
      </c>
      <c r="AK38" s="13" t="s">
        <v>856</v>
      </c>
      <c r="AL38" s="11" t="s">
        <v>17</v>
      </c>
      <c r="AM38" s="11" t="s">
        <v>20</v>
      </c>
      <c r="AN38" s="11" t="s">
        <v>588</v>
      </c>
      <c r="AO38" s="11" t="s">
        <v>48</v>
      </c>
      <c r="AP38" s="13" t="s">
        <v>588</v>
      </c>
      <c r="AQ38" s="11" t="s">
        <v>588</v>
      </c>
      <c r="AR38" s="11" t="s">
        <v>588</v>
      </c>
      <c r="AS38" s="11" t="s">
        <v>588</v>
      </c>
      <c r="AT38" s="11" t="s">
        <v>588</v>
      </c>
      <c r="AU38" s="7" t="s">
        <v>588</v>
      </c>
      <c r="AV38" s="13" t="s">
        <v>588</v>
      </c>
      <c r="AW38" s="11" t="s">
        <v>588</v>
      </c>
      <c r="AX38" s="11" t="s">
        <v>588</v>
      </c>
      <c r="AY38" s="11" t="s">
        <v>588</v>
      </c>
      <c r="AZ38" s="11" t="s">
        <v>588</v>
      </c>
      <c r="BA38" s="7" t="s">
        <v>588</v>
      </c>
      <c r="BB38" s="11" t="s">
        <v>588</v>
      </c>
      <c r="BC38" s="11" t="s">
        <v>588</v>
      </c>
      <c r="BD38" s="11" t="s">
        <v>588</v>
      </c>
      <c r="BE38" s="11" t="s">
        <v>588</v>
      </c>
      <c r="BF38" s="11" t="s">
        <v>588</v>
      </c>
      <c r="BG38" s="7" t="s">
        <v>588</v>
      </c>
      <c r="BH38" s="11" t="s">
        <v>588</v>
      </c>
      <c r="BI38" s="11" t="s">
        <v>588</v>
      </c>
      <c r="BJ38" s="11" t="s">
        <v>588</v>
      </c>
      <c r="BK38" s="11" t="s">
        <v>588</v>
      </c>
      <c r="BL38" s="11" t="s">
        <v>588</v>
      </c>
      <c r="BM38" s="11" t="s">
        <v>588</v>
      </c>
      <c r="BN38" s="11" t="s">
        <v>588</v>
      </c>
      <c r="BO38" s="11" t="s">
        <v>588</v>
      </c>
      <c r="BP38" s="11" t="s">
        <v>588</v>
      </c>
      <c r="BQ38" s="13" t="s">
        <v>588</v>
      </c>
      <c r="BR38" s="11" t="s">
        <v>588</v>
      </c>
      <c r="BS38" s="11" t="s">
        <v>8</v>
      </c>
      <c r="BT38" s="11" t="s">
        <v>9</v>
      </c>
      <c r="BU38" s="11" t="s">
        <v>9</v>
      </c>
      <c r="BV38" s="11" t="s">
        <v>588</v>
      </c>
      <c r="BW38" s="11" t="s">
        <v>588</v>
      </c>
      <c r="BX38" s="11" t="s">
        <v>588</v>
      </c>
      <c r="BY38" s="11" t="s">
        <v>588</v>
      </c>
      <c r="BZ38" s="11" t="s">
        <v>588</v>
      </c>
      <c r="CA38" s="17" t="s">
        <v>588</v>
      </c>
      <c r="CB38" s="11" t="s">
        <v>588</v>
      </c>
      <c r="CC38" s="11" t="s">
        <v>588</v>
      </c>
      <c r="CD38" s="11" t="s">
        <v>588</v>
      </c>
      <c r="CE38" s="11" t="s">
        <v>588</v>
      </c>
      <c r="CF38" s="11" t="s">
        <v>588</v>
      </c>
      <c r="CG38" s="11" t="s">
        <v>588</v>
      </c>
      <c r="CH38" s="11" t="s">
        <v>588</v>
      </c>
      <c r="CI38" s="11" t="s">
        <v>588</v>
      </c>
      <c r="CJ38" s="11" t="s">
        <v>588</v>
      </c>
      <c r="CK38" s="11" t="s">
        <v>588</v>
      </c>
      <c r="CL38" s="11" t="s">
        <v>588</v>
      </c>
      <c r="CM38" s="11" t="s">
        <v>588</v>
      </c>
      <c r="CN38" s="11" t="s">
        <v>588</v>
      </c>
      <c r="CO38" s="11" t="s">
        <v>588</v>
      </c>
      <c r="CP38" s="11" t="s">
        <v>588</v>
      </c>
      <c r="CQ38" s="11" t="s">
        <v>588</v>
      </c>
      <c r="CR38" s="11" t="s">
        <v>588</v>
      </c>
      <c r="CS38" s="11" t="s">
        <v>588</v>
      </c>
      <c r="CT38" s="11" t="s">
        <v>588</v>
      </c>
    </row>
    <row r="39" spans="1:98" x14ac:dyDescent="0.25">
      <c r="A39" s="11">
        <v>202223</v>
      </c>
      <c r="B39" s="11" t="s">
        <v>308</v>
      </c>
      <c r="C39" s="11" t="s">
        <v>308</v>
      </c>
      <c r="D39" s="11" t="s">
        <v>404</v>
      </c>
      <c r="E39" s="11" t="s">
        <v>405</v>
      </c>
      <c r="F39" s="11">
        <v>2</v>
      </c>
      <c r="G39" s="11" t="s">
        <v>481</v>
      </c>
      <c r="H39" s="11" t="s">
        <v>857</v>
      </c>
      <c r="I39" s="13">
        <v>44943</v>
      </c>
      <c r="J39" s="11">
        <v>17</v>
      </c>
      <c r="K39" s="11">
        <v>1</v>
      </c>
      <c r="L39" s="11">
        <v>2023</v>
      </c>
      <c r="M39" s="11" t="s">
        <v>858</v>
      </c>
      <c r="N39" s="11" t="s">
        <v>12</v>
      </c>
      <c r="O39" s="11" t="s">
        <v>19</v>
      </c>
      <c r="P39" s="11" t="s">
        <v>588</v>
      </c>
      <c r="Q39" s="11" t="s">
        <v>588</v>
      </c>
      <c r="R39" s="11">
        <v>-38.582509000000002</v>
      </c>
      <c r="S39" s="11">
        <v>145.51125500000001</v>
      </c>
      <c r="T39" s="11">
        <v>3</v>
      </c>
      <c r="U39" s="11">
        <v>3</v>
      </c>
      <c r="V39" s="11" t="s">
        <v>588</v>
      </c>
      <c r="W39" s="11" t="s">
        <v>588</v>
      </c>
      <c r="X39" s="11">
        <v>4</v>
      </c>
      <c r="Y39" s="11">
        <v>4</v>
      </c>
      <c r="Z39" s="11" t="s">
        <v>41</v>
      </c>
      <c r="AA39" s="13">
        <v>44950</v>
      </c>
      <c r="AB39" s="11">
        <v>24</v>
      </c>
      <c r="AC39" s="11">
        <v>1</v>
      </c>
      <c r="AD39" s="11">
        <v>2023</v>
      </c>
      <c r="AE39" s="13" t="s">
        <v>785</v>
      </c>
      <c r="AF39" s="11" t="s">
        <v>12</v>
      </c>
      <c r="AG39" s="13">
        <v>44956</v>
      </c>
      <c r="AH39" s="11">
        <v>30</v>
      </c>
      <c r="AI39" s="11">
        <v>1</v>
      </c>
      <c r="AJ39" s="11">
        <v>2023</v>
      </c>
      <c r="AK39" s="13" t="s">
        <v>812</v>
      </c>
      <c r="AL39" s="11" t="s">
        <v>12</v>
      </c>
      <c r="AM39" s="11" t="s">
        <v>20</v>
      </c>
      <c r="AN39" s="11" t="s">
        <v>588</v>
      </c>
      <c r="AO39" s="11" t="s">
        <v>20</v>
      </c>
      <c r="AP39" s="13" t="s">
        <v>588</v>
      </c>
      <c r="AQ39" s="11" t="s">
        <v>588</v>
      </c>
      <c r="AR39" s="11" t="s">
        <v>588</v>
      </c>
      <c r="AS39" s="11" t="s">
        <v>588</v>
      </c>
      <c r="AT39" s="11" t="s">
        <v>588</v>
      </c>
      <c r="AU39" s="7" t="s">
        <v>588</v>
      </c>
      <c r="AV39" s="13" t="s">
        <v>588</v>
      </c>
      <c r="AW39" s="11" t="s">
        <v>588</v>
      </c>
      <c r="AX39" s="11" t="s">
        <v>588</v>
      </c>
      <c r="AY39" s="11" t="s">
        <v>588</v>
      </c>
      <c r="AZ39" s="11" t="s">
        <v>588</v>
      </c>
      <c r="BA39" s="7" t="s">
        <v>588</v>
      </c>
      <c r="BB39" s="11" t="s">
        <v>588</v>
      </c>
      <c r="BC39" s="11" t="s">
        <v>588</v>
      </c>
      <c r="BD39" s="11" t="s">
        <v>588</v>
      </c>
      <c r="BE39" s="11" t="s">
        <v>588</v>
      </c>
      <c r="BF39" s="11" t="s">
        <v>588</v>
      </c>
      <c r="BG39" s="7" t="s">
        <v>588</v>
      </c>
      <c r="BH39" s="11" t="s">
        <v>588</v>
      </c>
      <c r="BI39" s="11" t="s">
        <v>588</v>
      </c>
      <c r="BJ39" s="11" t="s">
        <v>588</v>
      </c>
      <c r="BK39" s="11" t="s">
        <v>588</v>
      </c>
      <c r="BL39" s="11" t="s">
        <v>588</v>
      </c>
      <c r="BM39" s="11" t="s">
        <v>588</v>
      </c>
      <c r="BN39" s="11" t="s">
        <v>588</v>
      </c>
      <c r="BO39" s="11" t="s">
        <v>588</v>
      </c>
      <c r="BP39" s="11" t="s">
        <v>588</v>
      </c>
      <c r="BQ39" s="13" t="s">
        <v>588</v>
      </c>
      <c r="BR39" s="11" t="s">
        <v>588</v>
      </c>
      <c r="BS39" s="11" t="s">
        <v>8</v>
      </c>
      <c r="BT39" s="11" t="s">
        <v>9</v>
      </c>
      <c r="BU39" s="11" t="s">
        <v>9</v>
      </c>
      <c r="BV39" s="11" t="s">
        <v>588</v>
      </c>
      <c r="BW39" s="11" t="s">
        <v>588</v>
      </c>
      <c r="BX39" s="11" t="s">
        <v>588</v>
      </c>
      <c r="BY39" s="11" t="s">
        <v>588</v>
      </c>
      <c r="BZ39" s="11" t="s">
        <v>588</v>
      </c>
      <c r="CA39" s="17" t="s">
        <v>588</v>
      </c>
      <c r="CB39" s="11" t="s">
        <v>588</v>
      </c>
      <c r="CC39" s="11" t="s">
        <v>588</v>
      </c>
      <c r="CD39" s="11" t="s">
        <v>588</v>
      </c>
      <c r="CE39" s="11" t="s">
        <v>588</v>
      </c>
      <c r="CF39" s="11" t="s">
        <v>588</v>
      </c>
      <c r="CG39" s="11" t="s">
        <v>588</v>
      </c>
      <c r="CH39" s="11" t="s">
        <v>588</v>
      </c>
      <c r="CI39" s="11" t="s">
        <v>588</v>
      </c>
      <c r="CJ39" s="11" t="s">
        <v>588</v>
      </c>
      <c r="CK39" s="11" t="s">
        <v>588</v>
      </c>
      <c r="CL39" s="11" t="s">
        <v>588</v>
      </c>
      <c r="CM39" s="11" t="s">
        <v>588</v>
      </c>
      <c r="CN39" s="11" t="s">
        <v>588</v>
      </c>
      <c r="CO39" s="11" t="s">
        <v>588</v>
      </c>
      <c r="CP39" s="11" t="s">
        <v>588</v>
      </c>
      <c r="CQ39" s="11" t="s">
        <v>588</v>
      </c>
      <c r="CR39" s="11" t="s">
        <v>588</v>
      </c>
      <c r="CS39" s="11" t="s">
        <v>588</v>
      </c>
      <c r="CT39" s="11" t="s">
        <v>588</v>
      </c>
    </row>
    <row r="40" spans="1:98" x14ac:dyDescent="0.25">
      <c r="A40" s="11">
        <v>202223</v>
      </c>
      <c r="B40" s="11" t="s">
        <v>312</v>
      </c>
      <c r="C40" s="11" t="s">
        <v>552</v>
      </c>
      <c r="D40" s="11" t="s">
        <v>482</v>
      </c>
      <c r="E40" s="11" t="s">
        <v>16</v>
      </c>
      <c r="F40" s="11">
        <v>1</v>
      </c>
      <c r="G40" s="11" t="s">
        <v>483</v>
      </c>
      <c r="H40" s="11" t="s">
        <v>859</v>
      </c>
      <c r="I40" s="13">
        <v>44818</v>
      </c>
      <c r="J40" s="11">
        <v>14</v>
      </c>
      <c r="K40" s="11">
        <v>9</v>
      </c>
      <c r="L40" s="11">
        <v>2022</v>
      </c>
      <c r="M40" s="11" t="s">
        <v>838</v>
      </c>
      <c r="N40" s="11" t="s">
        <v>28</v>
      </c>
      <c r="O40" s="11" t="s">
        <v>36</v>
      </c>
      <c r="P40" s="11" t="s">
        <v>588</v>
      </c>
      <c r="Q40" s="11" t="s">
        <v>588</v>
      </c>
      <c r="R40" s="11">
        <v>-38.580550000000002</v>
      </c>
      <c r="S40" s="11">
        <v>145.50975700000001</v>
      </c>
      <c r="T40" s="11">
        <v>3</v>
      </c>
      <c r="U40" s="11">
        <v>3</v>
      </c>
      <c r="V40" s="11" t="s">
        <v>588</v>
      </c>
      <c r="W40" s="11" t="s">
        <v>588</v>
      </c>
      <c r="X40" s="11">
        <v>7</v>
      </c>
      <c r="Y40" s="11">
        <v>7</v>
      </c>
      <c r="Z40" s="11" t="s">
        <v>41</v>
      </c>
      <c r="AA40" s="13">
        <v>44843</v>
      </c>
      <c r="AB40" s="11">
        <v>9</v>
      </c>
      <c r="AC40" s="11">
        <v>10</v>
      </c>
      <c r="AD40" s="11">
        <v>2022</v>
      </c>
      <c r="AE40" s="13" t="s">
        <v>860</v>
      </c>
      <c r="AF40" s="11" t="s">
        <v>29</v>
      </c>
      <c r="AG40" s="13">
        <v>44846</v>
      </c>
      <c r="AH40" s="11">
        <v>12</v>
      </c>
      <c r="AI40" s="11">
        <v>10</v>
      </c>
      <c r="AJ40" s="11">
        <v>2022</v>
      </c>
      <c r="AK40" s="13" t="s">
        <v>861</v>
      </c>
      <c r="AL40" s="11" t="s">
        <v>29</v>
      </c>
      <c r="AM40" s="11" t="s">
        <v>20</v>
      </c>
      <c r="AN40" s="11" t="s">
        <v>588</v>
      </c>
      <c r="AO40" s="11" t="s">
        <v>20</v>
      </c>
      <c r="AP40" s="13" t="s">
        <v>588</v>
      </c>
      <c r="AQ40" s="11" t="s">
        <v>588</v>
      </c>
      <c r="AR40" s="11" t="s">
        <v>588</v>
      </c>
      <c r="AS40" s="11" t="s">
        <v>588</v>
      </c>
      <c r="AT40" s="11" t="s">
        <v>588</v>
      </c>
      <c r="AU40" s="7" t="s">
        <v>588</v>
      </c>
      <c r="AV40" s="13" t="s">
        <v>588</v>
      </c>
      <c r="AW40" s="11" t="s">
        <v>588</v>
      </c>
      <c r="AX40" s="11" t="s">
        <v>588</v>
      </c>
      <c r="AY40" s="11" t="s">
        <v>588</v>
      </c>
      <c r="AZ40" s="11" t="s">
        <v>588</v>
      </c>
      <c r="BA40" s="7" t="s">
        <v>588</v>
      </c>
      <c r="BB40" s="11" t="s">
        <v>588</v>
      </c>
      <c r="BC40" s="11" t="s">
        <v>588</v>
      </c>
      <c r="BD40" s="11" t="s">
        <v>588</v>
      </c>
      <c r="BE40" s="11" t="s">
        <v>588</v>
      </c>
      <c r="BF40" s="11" t="s">
        <v>588</v>
      </c>
      <c r="BG40" s="7" t="s">
        <v>588</v>
      </c>
      <c r="BH40" s="11" t="s">
        <v>588</v>
      </c>
      <c r="BI40" s="11" t="s">
        <v>588</v>
      </c>
      <c r="BJ40" s="11" t="s">
        <v>588</v>
      </c>
      <c r="BK40" s="11" t="s">
        <v>588</v>
      </c>
      <c r="BL40" s="11" t="s">
        <v>588</v>
      </c>
      <c r="BM40" s="11" t="s">
        <v>588</v>
      </c>
      <c r="BN40" s="11" t="s">
        <v>588</v>
      </c>
      <c r="BO40" s="11" t="s">
        <v>588</v>
      </c>
      <c r="BP40" s="11" t="s">
        <v>588</v>
      </c>
      <c r="BQ40" s="13" t="s">
        <v>588</v>
      </c>
      <c r="BR40" s="11" t="s">
        <v>588</v>
      </c>
      <c r="BS40" s="11" t="s">
        <v>41</v>
      </c>
      <c r="BT40" s="11" t="s">
        <v>588</v>
      </c>
      <c r="BU40" s="11" t="s">
        <v>42</v>
      </c>
      <c r="BV40" s="11" t="s">
        <v>588</v>
      </c>
      <c r="BW40" s="11" t="s">
        <v>588</v>
      </c>
      <c r="BX40" s="11" t="s">
        <v>588</v>
      </c>
      <c r="BY40" s="11" t="s">
        <v>588</v>
      </c>
      <c r="BZ40" s="11" t="s">
        <v>588</v>
      </c>
      <c r="CA40" s="17" t="s">
        <v>588</v>
      </c>
      <c r="CB40" s="11" t="s">
        <v>588</v>
      </c>
      <c r="CC40" s="11" t="s">
        <v>588</v>
      </c>
      <c r="CD40" s="11" t="s">
        <v>588</v>
      </c>
      <c r="CE40" s="11" t="s">
        <v>588</v>
      </c>
      <c r="CF40" s="11" t="s">
        <v>588</v>
      </c>
      <c r="CG40" s="11" t="s">
        <v>588</v>
      </c>
      <c r="CH40" s="11" t="s">
        <v>588</v>
      </c>
      <c r="CI40" s="11" t="s">
        <v>588</v>
      </c>
      <c r="CJ40" s="11" t="s">
        <v>588</v>
      </c>
      <c r="CK40" s="11" t="s">
        <v>588</v>
      </c>
      <c r="CL40" s="11" t="s">
        <v>588</v>
      </c>
      <c r="CM40" s="11" t="s">
        <v>588</v>
      </c>
      <c r="CN40" s="11" t="s">
        <v>588</v>
      </c>
      <c r="CO40" s="11" t="s">
        <v>588</v>
      </c>
      <c r="CP40" s="11" t="s">
        <v>588</v>
      </c>
      <c r="CQ40" s="11" t="s">
        <v>588</v>
      </c>
      <c r="CR40" s="11" t="s">
        <v>588</v>
      </c>
      <c r="CS40" s="11" t="s">
        <v>588</v>
      </c>
      <c r="CT40" s="11" t="s">
        <v>588</v>
      </c>
    </row>
    <row r="41" spans="1:98" x14ac:dyDescent="0.25">
      <c r="A41" s="11">
        <v>202223</v>
      </c>
      <c r="B41" s="11" t="s">
        <v>312</v>
      </c>
      <c r="C41" s="11" t="s">
        <v>552</v>
      </c>
      <c r="D41" s="11" t="s">
        <v>482</v>
      </c>
      <c r="E41" s="11" t="s">
        <v>16</v>
      </c>
      <c r="F41" s="11">
        <v>2</v>
      </c>
      <c r="G41" s="11" t="s">
        <v>484</v>
      </c>
      <c r="H41" s="11" t="s">
        <v>862</v>
      </c>
      <c r="I41" s="13">
        <v>44864</v>
      </c>
      <c r="J41" s="11">
        <v>30</v>
      </c>
      <c r="K41" s="11">
        <v>10</v>
      </c>
      <c r="L41" s="11">
        <v>2022</v>
      </c>
      <c r="M41" s="11" t="s">
        <v>849</v>
      </c>
      <c r="N41" s="11" t="s">
        <v>29</v>
      </c>
      <c r="O41" s="11" t="s">
        <v>36</v>
      </c>
      <c r="P41" s="11">
        <v>-38.580736000000002</v>
      </c>
      <c r="Q41" s="11">
        <v>145.49740499999999</v>
      </c>
      <c r="R41" s="11" t="s">
        <v>588</v>
      </c>
      <c r="S41" s="11" t="s">
        <v>588</v>
      </c>
      <c r="T41" s="11">
        <v>2</v>
      </c>
      <c r="U41" s="11">
        <v>2</v>
      </c>
      <c r="V41" s="11" t="s">
        <v>588</v>
      </c>
      <c r="W41" s="11" t="s">
        <v>588</v>
      </c>
      <c r="X41" s="11">
        <v>3</v>
      </c>
      <c r="Y41" s="11">
        <v>3</v>
      </c>
      <c r="Z41" s="11" t="s">
        <v>41</v>
      </c>
      <c r="AA41" s="13">
        <v>44867</v>
      </c>
      <c r="AB41" s="11">
        <v>2</v>
      </c>
      <c r="AC41" s="11">
        <v>11</v>
      </c>
      <c r="AD41" s="11">
        <v>2022</v>
      </c>
      <c r="AE41" s="13" t="s">
        <v>863</v>
      </c>
      <c r="AF41" s="11" t="s">
        <v>17</v>
      </c>
      <c r="AG41" s="13">
        <v>44868</v>
      </c>
      <c r="AH41" s="11">
        <v>3</v>
      </c>
      <c r="AI41" s="11">
        <v>11</v>
      </c>
      <c r="AJ41" s="11">
        <v>2022</v>
      </c>
      <c r="AK41" s="13" t="s">
        <v>864</v>
      </c>
      <c r="AL41" s="11" t="s">
        <v>17</v>
      </c>
      <c r="AM41" s="11" t="s">
        <v>20</v>
      </c>
      <c r="AN41" s="11" t="s">
        <v>588</v>
      </c>
      <c r="AO41" s="11" t="s">
        <v>485</v>
      </c>
      <c r="AP41" s="13" t="s">
        <v>588</v>
      </c>
      <c r="AQ41" s="11" t="s">
        <v>588</v>
      </c>
      <c r="AR41" s="11" t="s">
        <v>588</v>
      </c>
      <c r="AS41" s="11" t="s">
        <v>588</v>
      </c>
      <c r="AT41" s="11" t="s">
        <v>588</v>
      </c>
      <c r="AU41" s="7" t="s">
        <v>588</v>
      </c>
      <c r="AV41" s="13" t="s">
        <v>588</v>
      </c>
      <c r="AW41" s="11" t="s">
        <v>588</v>
      </c>
      <c r="AX41" s="11" t="s">
        <v>588</v>
      </c>
      <c r="AY41" s="11" t="s">
        <v>588</v>
      </c>
      <c r="AZ41" s="11" t="s">
        <v>588</v>
      </c>
      <c r="BA41" s="7" t="s">
        <v>588</v>
      </c>
      <c r="BB41" s="11" t="s">
        <v>588</v>
      </c>
      <c r="BC41" s="11" t="s">
        <v>588</v>
      </c>
      <c r="BD41" s="11" t="s">
        <v>588</v>
      </c>
      <c r="BE41" s="11" t="s">
        <v>588</v>
      </c>
      <c r="BF41" s="11" t="s">
        <v>588</v>
      </c>
      <c r="BG41" s="7" t="s">
        <v>588</v>
      </c>
      <c r="BH41" s="11" t="s">
        <v>588</v>
      </c>
      <c r="BI41" s="11" t="s">
        <v>588</v>
      </c>
      <c r="BJ41" s="11" t="s">
        <v>588</v>
      </c>
      <c r="BK41" s="11" t="s">
        <v>588</v>
      </c>
      <c r="BL41" s="11" t="s">
        <v>588</v>
      </c>
      <c r="BM41" s="11" t="s">
        <v>588</v>
      </c>
      <c r="BN41" s="11" t="s">
        <v>588</v>
      </c>
      <c r="BO41" s="11" t="s">
        <v>588</v>
      </c>
      <c r="BP41" s="11" t="s">
        <v>588</v>
      </c>
      <c r="BQ41" s="13" t="s">
        <v>588</v>
      </c>
      <c r="BR41" s="11" t="s">
        <v>588</v>
      </c>
      <c r="BS41" s="11" t="s">
        <v>8</v>
      </c>
      <c r="BT41" s="11" t="s">
        <v>9</v>
      </c>
      <c r="BU41" s="11" t="s">
        <v>9</v>
      </c>
      <c r="BV41" s="11" t="s">
        <v>588</v>
      </c>
      <c r="BW41" s="11" t="s">
        <v>588</v>
      </c>
      <c r="BX41" s="11" t="s">
        <v>588</v>
      </c>
      <c r="BY41" s="11" t="s">
        <v>486</v>
      </c>
      <c r="BZ41" s="11" t="s">
        <v>588</v>
      </c>
      <c r="CA41" s="17" t="s">
        <v>588</v>
      </c>
      <c r="CB41" s="11" t="s">
        <v>588</v>
      </c>
      <c r="CC41" s="11" t="s">
        <v>588</v>
      </c>
      <c r="CD41" s="11" t="s">
        <v>588</v>
      </c>
      <c r="CE41" s="11" t="s">
        <v>588</v>
      </c>
      <c r="CF41" s="11" t="s">
        <v>588</v>
      </c>
      <c r="CG41" s="11" t="s">
        <v>588</v>
      </c>
      <c r="CH41" s="11" t="s">
        <v>588</v>
      </c>
      <c r="CI41" s="11" t="s">
        <v>588</v>
      </c>
      <c r="CJ41" s="11" t="s">
        <v>588</v>
      </c>
      <c r="CK41" s="11" t="s">
        <v>588</v>
      </c>
      <c r="CL41" s="11" t="s">
        <v>588</v>
      </c>
      <c r="CM41" s="11" t="s">
        <v>588</v>
      </c>
      <c r="CN41" s="11" t="s">
        <v>588</v>
      </c>
      <c r="CO41" s="11" t="s">
        <v>588</v>
      </c>
      <c r="CP41" s="11" t="s">
        <v>588</v>
      </c>
      <c r="CQ41" s="11" t="s">
        <v>588</v>
      </c>
      <c r="CR41" s="11" t="s">
        <v>588</v>
      </c>
      <c r="CS41" s="11" t="s">
        <v>588</v>
      </c>
      <c r="CT41" s="11" t="s">
        <v>588</v>
      </c>
    </row>
    <row r="42" spans="1:98" x14ac:dyDescent="0.25">
      <c r="A42" s="11">
        <v>202223</v>
      </c>
      <c r="B42" s="11" t="s">
        <v>312</v>
      </c>
      <c r="C42" s="11" t="s">
        <v>552</v>
      </c>
      <c r="D42" s="11" t="s">
        <v>482</v>
      </c>
      <c r="E42" s="11" t="s">
        <v>16</v>
      </c>
      <c r="F42" s="11">
        <v>3</v>
      </c>
      <c r="G42" s="11" t="s">
        <v>487</v>
      </c>
      <c r="H42" s="11" t="s">
        <v>865</v>
      </c>
      <c r="I42" s="13">
        <v>44890</v>
      </c>
      <c r="J42" s="11">
        <v>25</v>
      </c>
      <c r="K42" s="11">
        <v>11</v>
      </c>
      <c r="L42" s="11">
        <v>2022</v>
      </c>
      <c r="M42" s="11" t="s">
        <v>800</v>
      </c>
      <c r="N42" s="11" t="s">
        <v>17</v>
      </c>
      <c r="O42" s="11" t="s">
        <v>36</v>
      </c>
      <c r="P42" s="11">
        <v>-38.580450999999996</v>
      </c>
      <c r="Q42" s="11">
        <v>145.50940199999999</v>
      </c>
      <c r="R42" s="11" t="s">
        <v>588</v>
      </c>
      <c r="S42" s="11" t="s">
        <v>588</v>
      </c>
      <c r="T42" s="11">
        <v>2</v>
      </c>
      <c r="U42" s="11">
        <v>3</v>
      </c>
      <c r="V42" s="11" t="s">
        <v>588</v>
      </c>
      <c r="W42" s="11" t="s">
        <v>588</v>
      </c>
      <c r="X42" s="11">
        <v>2</v>
      </c>
      <c r="Y42" s="11">
        <v>2</v>
      </c>
      <c r="Z42" s="11" t="s">
        <v>41</v>
      </c>
      <c r="AA42" s="13">
        <v>44890</v>
      </c>
      <c r="AB42" s="11">
        <v>25</v>
      </c>
      <c r="AC42" s="11">
        <v>11</v>
      </c>
      <c r="AD42" s="11">
        <v>2022</v>
      </c>
      <c r="AE42" s="13" t="s">
        <v>800</v>
      </c>
      <c r="AF42" s="11" t="s">
        <v>17</v>
      </c>
      <c r="AG42" s="13">
        <v>44897</v>
      </c>
      <c r="AH42" s="11">
        <v>2</v>
      </c>
      <c r="AI42" s="11">
        <v>12</v>
      </c>
      <c r="AJ42" s="11">
        <v>2022</v>
      </c>
      <c r="AK42" s="13" t="s">
        <v>825</v>
      </c>
      <c r="AL42" s="11" t="s">
        <v>7</v>
      </c>
      <c r="AM42" s="11" t="s">
        <v>20</v>
      </c>
      <c r="AN42" s="11" t="s">
        <v>588</v>
      </c>
      <c r="AO42" s="11" t="s">
        <v>20</v>
      </c>
      <c r="AP42" s="13" t="s">
        <v>588</v>
      </c>
      <c r="AQ42" s="11" t="s">
        <v>588</v>
      </c>
      <c r="AR42" s="11" t="s">
        <v>588</v>
      </c>
      <c r="AS42" s="11" t="s">
        <v>588</v>
      </c>
      <c r="AT42" s="11" t="s">
        <v>588</v>
      </c>
      <c r="AU42" s="7" t="s">
        <v>588</v>
      </c>
      <c r="AV42" s="13" t="s">
        <v>588</v>
      </c>
      <c r="AW42" s="11" t="s">
        <v>588</v>
      </c>
      <c r="AX42" s="11" t="s">
        <v>588</v>
      </c>
      <c r="AY42" s="11" t="s">
        <v>588</v>
      </c>
      <c r="AZ42" s="11" t="s">
        <v>588</v>
      </c>
      <c r="BA42" s="7" t="s">
        <v>588</v>
      </c>
      <c r="BB42" s="11" t="s">
        <v>588</v>
      </c>
      <c r="BC42" s="11" t="s">
        <v>588</v>
      </c>
      <c r="BD42" s="11" t="s">
        <v>588</v>
      </c>
      <c r="BE42" s="11" t="s">
        <v>588</v>
      </c>
      <c r="BF42" s="11" t="s">
        <v>588</v>
      </c>
      <c r="BG42" s="7" t="s">
        <v>588</v>
      </c>
      <c r="BH42" s="11" t="s">
        <v>588</v>
      </c>
      <c r="BI42" s="11" t="s">
        <v>588</v>
      </c>
      <c r="BJ42" s="11" t="s">
        <v>588</v>
      </c>
      <c r="BK42" s="11" t="s">
        <v>588</v>
      </c>
      <c r="BL42" s="11" t="s">
        <v>588</v>
      </c>
      <c r="BM42" s="11" t="s">
        <v>588</v>
      </c>
      <c r="BN42" s="11" t="s">
        <v>588</v>
      </c>
      <c r="BO42" s="11" t="s">
        <v>588</v>
      </c>
      <c r="BP42" s="11" t="s">
        <v>588</v>
      </c>
      <c r="BQ42" s="13" t="s">
        <v>588</v>
      </c>
      <c r="BR42" s="11" t="s">
        <v>588</v>
      </c>
      <c r="BS42" s="11" t="s">
        <v>41</v>
      </c>
      <c r="BT42" s="11" t="s">
        <v>588</v>
      </c>
      <c r="BU42" s="11" t="s">
        <v>42</v>
      </c>
      <c r="BV42" s="11" t="s">
        <v>588</v>
      </c>
      <c r="BW42" s="11" t="s">
        <v>588</v>
      </c>
      <c r="BX42" s="11" t="s">
        <v>588</v>
      </c>
      <c r="BY42" s="11" t="s">
        <v>588</v>
      </c>
      <c r="BZ42" s="11" t="s">
        <v>588</v>
      </c>
      <c r="CA42" s="17" t="s">
        <v>588</v>
      </c>
      <c r="CB42" s="11" t="s">
        <v>588</v>
      </c>
      <c r="CC42" s="11" t="s">
        <v>588</v>
      </c>
      <c r="CD42" s="11" t="s">
        <v>588</v>
      </c>
      <c r="CE42" s="11" t="s">
        <v>588</v>
      </c>
      <c r="CF42" s="11" t="s">
        <v>588</v>
      </c>
      <c r="CG42" s="11" t="s">
        <v>588</v>
      </c>
      <c r="CH42" s="11" t="s">
        <v>588</v>
      </c>
      <c r="CI42" s="11" t="s">
        <v>588</v>
      </c>
      <c r="CJ42" s="11" t="s">
        <v>588</v>
      </c>
      <c r="CK42" s="11" t="s">
        <v>588</v>
      </c>
      <c r="CL42" s="11" t="s">
        <v>588</v>
      </c>
      <c r="CM42" s="11" t="s">
        <v>588</v>
      </c>
      <c r="CN42" s="11" t="s">
        <v>588</v>
      </c>
      <c r="CO42" s="11" t="s">
        <v>588</v>
      </c>
      <c r="CP42" s="11" t="s">
        <v>588</v>
      </c>
      <c r="CQ42" s="11" t="s">
        <v>588</v>
      </c>
      <c r="CR42" s="11" t="s">
        <v>588</v>
      </c>
      <c r="CS42" s="11" t="s">
        <v>588</v>
      </c>
      <c r="CT42" s="11" t="s">
        <v>588</v>
      </c>
    </row>
    <row r="43" spans="1:98" x14ac:dyDescent="0.25">
      <c r="A43" s="11">
        <v>202223</v>
      </c>
      <c r="B43" s="11" t="s">
        <v>316</v>
      </c>
      <c r="C43" s="11" t="s">
        <v>553</v>
      </c>
      <c r="D43" s="11" t="s">
        <v>482</v>
      </c>
      <c r="E43" s="11" t="s">
        <v>16</v>
      </c>
      <c r="F43" s="11">
        <v>4</v>
      </c>
      <c r="G43" s="11" t="s">
        <v>488</v>
      </c>
      <c r="H43" s="11" t="s">
        <v>866</v>
      </c>
      <c r="I43" s="13">
        <v>44935</v>
      </c>
      <c r="J43" s="11">
        <v>9</v>
      </c>
      <c r="K43" s="11">
        <v>1</v>
      </c>
      <c r="L43" s="11">
        <v>2023</v>
      </c>
      <c r="M43" s="11" t="s">
        <v>867</v>
      </c>
      <c r="N43" s="11" t="s">
        <v>12</v>
      </c>
      <c r="O43" s="11" t="s">
        <v>51</v>
      </c>
      <c r="P43" s="11" t="s">
        <v>588</v>
      </c>
      <c r="Q43" s="11" t="s">
        <v>588</v>
      </c>
      <c r="R43" s="11">
        <v>-38.577953999999998</v>
      </c>
      <c r="S43" s="11">
        <v>145.50695300000001</v>
      </c>
      <c r="T43" s="11">
        <v>2</v>
      </c>
      <c r="U43" s="11">
        <v>3</v>
      </c>
      <c r="V43" s="11" t="s">
        <v>588</v>
      </c>
      <c r="W43" s="11" t="s">
        <v>588</v>
      </c>
      <c r="X43" s="11">
        <v>2</v>
      </c>
      <c r="Y43" s="11">
        <v>2</v>
      </c>
      <c r="Z43" s="11" t="s">
        <v>41</v>
      </c>
      <c r="AA43" s="13">
        <v>44935</v>
      </c>
      <c r="AB43" s="11">
        <v>9</v>
      </c>
      <c r="AC43" s="11">
        <v>1</v>
      </c>
      <c r="AD43" s="11">
        <v>2023</v>
      </c>
      <c r="AE43" s="13" t="s">
        <v>867</v>
      </c>
      <c r="AF43" s="11" t="s">
        <v>12</v>
      </c>
      <c r="AG43" s="13">
        <v>44937</v>
      </c>
      <c r="AH43" s="11">
        <v>11</v>
      </c>
      <c r="AI43" s="11">
        <v>1</v>
      </c>
      <c r="AJ43" s="11">
        <v>2023</v>
      </c>
      <c r="AK43" s="13" t="s">
        <v>868</v>
      </c>
      <c r="AL43" s="11" t="s">
        <v>12</v>
      </c>
      <c r="AM43" s="11" t="s">
        <v>20</v>
      </c>
      <c r="AN43" s="11" t="s">
        <v>588</v>
      </c>
      <c r="AO43" s="11" t="s">
        <v>20</v>
      </c>
      <c r="AP43" s="13" t="s">
        <v>588</v>
      </c>
      <c r="AQ43" s="11" t="s">
        <v>588</v>
      </c>
      <c r="AR43" s="11" t="s">
        <v>588</v>
      </c>
      <c r="AS43" s="11" t="s">
        <v>588</v>
      </c>
      <c r="AT43" s="11" t="s">
        <v>588</v>
      </c>
      <c r="AU43" s="7" t="s">
        <v>588</v>
      </c>
      <c r="AV43" s="13" t="s">
        <v>588</v>
      </c>
      <c r="AW43" s="11" t="s">
        <v>588</v>
      </c>
      <c r="AX43" s="11" t="s">
        <v>588</v>
      </c>
      <c r="AY43" s="11" t="s">
        <v>588</v>
      </c>
      <c r="AZ43" s="11" t="s">
        <v>588</v>
      </c>
      <c r="BA43" s="7" t="s">
        <v>588</v>
      </c>
      <c r="BB43" s="11" t="s">
        <v>588</v>
      </c>
      <c r="BC43" s="11" t="s">
        <v>588</v>
      </c>
      <c r="BD43" s="11" t="s">
        <v>588</v>
      </c>
      <c r="BE43" s="11" t="s">
        <v>588</v>
      </c>
      <c r="BF43" s="11" t="s">
        <v>588</v>
      </c>
      <c r="BG43" s="7" t="s">
        <v>588</v>
      </c>
      <c r="BH43" s="11" t="s">
        <v>588</v>
      </c>
      <c r="BI43" s="11" t="s">
        <v>588</v>
      </c>
      <c r="BJ43" s="11" t="s">
        <v>588</v>
      </c>
      <c r="BK43" s="11" t="s">
        <v>588</v>
      </c>
      <c r="BL43" s="11" t="s">
        <v>588</v>
      </c>
      <c r="BM43" s="11" t="s">
        <v>588</v>
      </c>
      <c r="BN43" s="11" t="s">
        <v>588</v>
      </c>
      <c r="BO43" s="11" t="s">
        <v>588</v>
      </c>
      <c r="BP43" s="11" t="s">
        <v>588</v>
      </c>
      <c r="BQ43" s="13" t="s">
        <v>588</v>
      </c>
      <c r="BR43" s="11" t="s">
        <v>588</v>
      </c>
      <c r="BS43" s="11" t="s">
        <v>8</v>
      </c>
      <c r="BT43" s="11" t="s">
        <v>65</v>
      </c>
      <c r="BU43" s="11" t="s">
        <v>65</v>
      </c>
      <c r="BV43" s="11" t="s">
        <v>588</v>
      </c>
      <c r="BW43" s="11" t="s">
        <v>588</v>
      </c>
      <c r="BX43" s="11" t="s">
        <v>588</v>
      </c>
      <c r="BY43" s="11" t="s">
        <v>588</v>
      </c>
      <c r="BZ43" s="11" t="s">
        <v>588</v>
      </c>
      <c r="CA43" s="17" t="s">
        <v>588</v>
      </c>
      <c r="CB43" s="11" t="s">
        <v>588</v>
      </c>
      <c r="CC43" s="11" t="s">
        <v>588</v>
      </c>
      <c r="CD43" s="11" t="s">
        <v>588</v>
      </c>
      <c r="CE43" s="11" t="s">
        <v>588</v>
      </c>
      <c r="CF43" s="11" t="s">
        <v>588</v>
      </c>
      <c r="CG43" s="11" t="s">
        <v>588</v>
      </c>
      <c r="CH43" s="11" t="s">
        <v>588</v>
      </c>
      <c r="CI43" s="11" t="s">
        <v>588</v>
      </c>
      <c r="CJ43" s="11" t="s">
        <v>588</v>
      </c>
      <c r="CK43" s="11" t="s">
        <v>588</v>
      </c>
      <c r="CL43" s="11" t="s">
        <v>588</v>
      </c>
      <c r="CM43" s="11" t="s">
        <v>588</v>
      </c>
      <c r="CN43" s="11" t="s">
        <v>588</v>
      </c>
      <c r="CO43" s="11" t="s">
        <v>588</v>
      </c>
      <c r="CP43" s="11" t="s">
        <v>588</v>
      </c>
      <c r="CQ43" s="11" t="s">
        <v>588</v>
      </c>
      <c r="CR43" s="11" t="s">
        <v>588</v>
      </c>
      <c r="CS43" s="11" t="s">
        <v>588</v>
      </c>
      <c r="CT43" s="11" t="s">
        <v>588</v>
      </c>
    </row>
    <row r="44" spans="1:98" x14ac:dyDescent="0.25">
      <c r="A44" s="11">
        <v>202223</v>
      </c>
      <c r="B44" s="11" t="s">
        <v>320</v>
      </c>
      <c r="C44" s="11" t="s">
        <v>320</v>
      </c>
      <c r="D44" s="11" t="s">
        <v>321</v>
      </c>
      <c r="E44" s="11" t="s">
        <v>16</v>
      </c>
      <c r="F44" s="11">
        <v>1</v>
      </c>
      <c r="G44" s="11" t="s">
        <v>489</v>
      </c>
      <c r="H44" s="11" t="s">
        <v>869</v>
      </c>
      <c r="I44" s="13">
        <v>44881</v>
      </c>
      <c r="J44" s="11">
        <v>16</v>
      </c>
      <c r="K44" s="11">
        <v>11</v>
      </c>
      <c r="L44" s="11">
        <v>2022</v>
      </c>
      <c r="M44" s="11" t="s">
        <v>870</v>
      </c>
      <c r="N44" s="11" t="s">
        <v>17</v>
      </c>
      <c r="O44" s="11" t="s">
        <v>51</v>
      </c>
      <c r="P44" s="11">
        <v>-38.569941999999998</v>
      </c>
      <c r="Q44" s="11">
        <v>145.49958799999999</v>
      </c>
      <c r="R44" s="11" t="s">
        <v>588</v>
      </c>
      <c r="S44" s="11" t="s">
        <v>588</v>
      </c>
      <c r="T44" s="11">
        <v>3</v>
      </c>
      <c r="U44" s="11">
        <v>3</v>
      </c>
      <c r="V44" s="11" t="s">
        <v>588</v>
      </c>
      <c r="W44" s="11" t="s">
        <v>588</v>
      </c>
      <c r="X44" s="11">
        <v>3</v>
      </c>
      <c r="Y44" s="11">
        <v>3</v>
      </c>
      <c r="Z44" s="11" t="s">
        <v>41</v>
      </c>
      <c r="AA44" s="13">
        <v>44884</v>
      </c>
      <c r="AB44" s="11">
        <v>19</v>
      </c>
      <c r="AC44" s="11">
        <v>11</v>
      </c>
      <c r="AD44" s="11">
        <v>2022</v>
      </c>
      <c r="AE44" s="13" t="s">
        <v>798</v>
      </c>
      <c r="AF44" s="11" t="s">
        <v>17</v>
      </c>
      <c r="AG44" s="13">
        <v>44884</v>
      </c>
      <c r="AH44" s="11">
        <v>19</v>
      </c>
      <c r="AI44" s="11">
        <v>11</v>
      </c>
      <c r="AJ44" s="11">
        <v>2022</v>
      </c>
      <c r="AK44" s="13" t="s">
        <v>798</v>
      </c>
      <c r="AL44" s="11" t="s">
        <v>17</v>
      </c>
      <c r="AM44" s="11" t="s">
        <v>81</v>
      </c>
      <c r="AN44" s="11" t="s">
        <v>193</v>
      </c>
      <c r="AO44" s="11" t="s">
        <v>588</v>
      </c>
      <c r="AP44" s="13" t="s">
        <v>588</v>
      </c>
      <c r="AQ44" s="11" t="s">
        <v>588</v>
      </c>
      <c r="AR44" s="11" t="s">
        <v>588</v>
      </c>
      <c r="AS44" s="11" t="s">
        <v>588</v>
      </c>
      <c r="AT44" s="11" t="s">
        <v>588</v>
      </c>
      <c r="AU44" s="7" t="s">
        <v>588</v>
      </c>
      <c r="AV44" s="13" t="s">
        <v>588</v>
      </c>
      <c r="AW44" s="11" t="s">
        <v>588</v>
      </c>
      <c r="AX44" s="11" t="s">
        <v>588</v>
      </c>
      <c r="AY44" s="11" t="s">
        <v>588</v>
      </c>
      <c r="AZ44" s="11" t="s">
        <v>588</v>
      </c>
      <c r="BA44" s="7" t="s">
        <v>588</v>
      </c>
      <c r="BB44" s="11" t="s">
        <v>588</v>
      </c>
      <c r="BC44" s="11" t="s">
        <v>588</v>
      </c>
      <c r="BD44" s="11" t="s">
        <v>588</v>
      </c>
      <c r="BE44" s="11" t="s">
        <v>588</v>
      </c>
      <c r="BF44" s="11" t="s">
        <v>588</v>
      </c>
      <c r="BG44" s="7" t="s">
        <v>588</v>
      </c>
      <c r="BH44" s="11" t="s">
        <v>588</v>
      </c>
      <c r="BI44" s="11" t="s">
        <v>588</v>
      </c>
      <c r="BJ44" s="11" t="s">
        <v>588</v>
      </c>
      <c r="BK44" s="11" t="s">
        <v>588</v>
      </c>
      <c r="BL44" s="11" t="s">
        <v>588</v>
      </c>
      <c r="BM44" s="11" t="s">
        <v>588</v>
      </c>
      <c r="BN44" s="11" t="s">
        <v>588</v>
      </c>
      <c r="BO44" s="11" t="s">
        <v>588</v>
      </c>
      <c r="BP44" s="11" t="s">
        <v>588</v>
      </c>
      <c r="BQ44" s="13" t="s">
        <v>588</v>
      </c>
      <c r="BR44" s="11" t="s">
        <v>588</v>
      </c>
      <c r="BS44" s="11" t="s">
        <v>8</v>
      </c>
      <c r="BT44" s="11" t="s">
        <v>9</v>
      </c>
      <c r="BU44" s="11" t="s">
        <v>9</v>
      </c>
      <c r="BV44" s="11" t="s">
        <v>588</v>
      </c>
      <c r="BW44" s="11" t="s">
        <v>588</v>
      </c>
      <c r="BX44" s="11" t="s">
        <v>588</v>
      </c>
      <c r="BY44" s="11" t="s">
        <v>588</v>
      </c>
      <c r="BZ44" s="17" t="s">
        <v>8</v>
      </c>
      <c r="CA44" s="17" t="s">
        <v>588</v>
      </c>
      <c r="CB44" s="11" t="s">
        <v>588</v>
      </c>
      <c r="CC44" s="11" t="s">
        <v>588</v>
      </c>
      <c r="CD44" s="11" t="s">
        <v>588</v>
      </c>
      <c r="CE44" s="11" t="s">
        <v>588</v>
      </c>
      <c r="CF44" s="11" t="s">
        <v>588</v>
      </c>
      <c r="CG44" s="11" t="s">
        <v>588</v>
      </c>
      <c r="CH44" s="11" t="s">
        <v>588</v>
      </c>
      <c r="CI44" s="11" t="s">
        <v>588</v>
      </c>
      <c r="CJ44" s="11" t="s">
        <v>588</v>
      </c>
      <c r="CK44" s="11" t="s">
        <v>588</v>
      </c>
      <c r="CL44" s="11" t="s">
        <v>588</v>
      </c>
      <c r="CM44" s="11" t="s">
        <v>588</v>
      </c>
      <c r="CN44" s="11" t="s">
        <v>588</v>
      </c>
      <c r="CO44" s="11" t="s">
        <v>588</v>
      </c>
      <c r="CP44" s="11" t="s">
        <v>588</v>
      </c>
      <c r="CQ44" s="11" t="s">
        <v>588</v>
      </c>
      <c r="CR44" s="11" t="s">
        <v>588</v>
      </c>
      <c r="CS44" s="11" t="s">
        <v>588</v>
      </c>
      <c r="CT44" s="11" t="s">
        <v>588</v>
      </c>
    </row>
    <row r="45" spans="1:98" x14ac:dyDescent="0.25">
      <c r="A45" s="11">
        <v>202223</v>
      </c>
      <c r="B45" s="11" t="s">
        <v>320</v>
      </c>
      <c r="C45" s="11" t="s">
        <v>320</v>
      </c>
      <c r="D45" s="11" t="s">
        <v>321</v>
      </c>
      <c r="E45" s="11" t="s">
        <v>16</v>
      </c>
      <c r="F45" s="11">
        <v>2</v>
      </c>
      <c r="G45" s="11" t="s">
        <v>490</v>
      </c>
      <c r="H45" s="11" t="s">
        <v>871</v>
      </c>
      <c r="I45" s="13">
        <v>44896</v>
      </c>
      <c r="J45" s="11">
        <v>1</v>
      </c>
      <c r="K45" s="11">
        <v>12</v>
      </c>
      <c r="L45" s="11">
        <v>2022</v>
      </c>
      <c r="M45" s="11" t="s">
        <v>807</v>
      </c>
      <c r="N45" s="11" t="s">
        <v>7</v>
      </c>
      <c r="O45" s="11" t="s">
        <v>51</v>
      </c>
      <c r="P45" s="11">
        <v>-38.570855000000002</v>
      </c>
      <c r="Q45" s="11">
        <v>145.500822</v>
      </c>
      <c r="R45" s="11" t="s">
        <v>588</v>
      </c>
      <c r="S45" s="11" t="s">
        <v>588</v>
      </c>
      <c r="T45" s="11">
        <v>1</v>
      </c>
      <c r="U45" s="11">
        <v>3</v>
      </c>
      <c r="V45" s="11" t="s">
        <v>588</v>
      </c>
      <c r="W45" s="11" t="s">
        <v>588</v>
      </c>
      <c r="X45" s="11">
        <v>2</v>
      </c>
      <c r="Y45" s="11">
        <v>2</v>
      </c>
      <c r="Z45" s="11" t="s">
        <v>41</v>
      </c>
      <c r="AA45" s="13">
        <v>44896</v>
      </c>
      <c r="AB45" s="11">
        <v>1</v>
      </c>
      <c r="AC45" s="11">
        <v>12</v>
      </c>
      <c r="AD45" s="11">
        <v>2022</v>
      </c>
      <c r="AE45" s="13" t="s">
        <v>807</v>
      </c>
      <c r="AF45" s="11" t="s">
        <v>7</v>
      </c>
      <c r="AG45" s="13">
        <v>44900</v>
      </c>
      <c r="AH45" s="11">
        <v>5</v>
      </c>
      <c r="AI45" s="11">
        <v>12</v>
      </c>
      <c r="AJ45" s="11">
        <v>2022</v>
      </c>
      <c r="AK45" s="13" t="s">
        <v>872</v>
      </c>
      <c r="AL45" s="11" t="s">
        <v>7</v>
      </c>
      <c r="AM45" s="11" t="s">
        <v>20</v>
      </c>
      <c r="AN45" s="11" t="s">
        <v>588</v>
      </c>
      <c r="AO45" s="11" t="s">
        <v>20</v>
      </c>
      <c r="AP45" s="13" t="s">
        <v>588</v>
      </c>
      <c r="AQ45" s="11" t="s">
        <v>588</v>
      </c>
      <c r="AR45" s="11" t="s">
        <v>588</v>
      </c>
      <c r="AS45" s="11" t="s">
        <v>588</v>
      </c>
      <c r="AT45" s="11" t="s">
        <v>588</v>
      </c>
      <c r="AU45" s="7" t="s">
        <v>588</v>
      </c>
      <c r="AV45" s="13" t="s">
        <v>588</v>
      </c>
      <c r="AW45" s="11" t="s">
        <v>588</v>
      </c>
      <c r="AX45" s="11" t="s">
        <v>588</v>
      </c>
      <c r="AY45" s="11" t="s">
        <v>588</v>
      </c>
      <c r="AZ45" s="11" t="s">
        <v>588</v>
      </c>
      <c r="BA45" s="7" t="s">
        <v>588</v>
      </c>
      <c r="BB45" s="11" t="s">
        <v>588</v>
      </c>
      <c r="BC45" s="11" t="s">
        <v>588</v>
      </c>
      <c r="BD45" s="11" t="s">
        <v>588</v>
      </c>
      <c r="BE45" s="11" t="s">
        <v>588</v>
      </c>
      <c r="BF45" s="11" t="s">
        <v>588</v>
      </c>
      <c r="BG45" s="7" t="s">
        <v>588</v>
      </c>
      <c r="BH45" s="11" t="s">
        <v>588</v>
      </c>
      <c r="BI45" s="11" t="s">
        <v>588</v>
      </c>
      <c r="BJ45" s="11" t="s">
        <v>588</v>
      </c>
      <c r="BK45" s="11" t="s">
        <v>588</v>
      </c>
      <c r="BL45" s="11" t="s">
        <v>588</v>
      </c>
      <c r="BM45" s="11" t="s">
        <v>588</v>
      </c>
      <c r="BN45" s="11" t="s">
        <v>588</v>
      </c>
      <c r="BO45" s="11" t="s">
        <v>588</v>
      </c>
      <c r="BP45" s="11" t="s">
        <v>588</v>
      </c>
      <c r="BQ45" s="13" t="s">
        <v>588</v>
      </c>
      <c r="BR45" s="11" t="s">
        <v>588</v>
      </c>
      <c r="BS45" s="11" t="s">
        <v>41</v>
      </c>
      <c r="BT45" s="11" t="s">
        <v>588</v>
      </c>
      <c r="BU45" s="11" t="s">
        <v>42</v>
      </c>
      <c r="BV45" s="11" t="s">
        <v>588</v>
      </c>
      <c r="BW45" s="11" t="s">
        <v>588</v>
      </c>
      <c r="BX45" s="11" t="s">
        <v>588</v>
      </c>
      <c r="BY45" s="11" t="s">
        <v>588</v>
      </c>
      <c r="BZ45" s="11" t="s">
        <v>588</v>
      </c>
      <c r="CA45" s="17" t="s">
        <v>588</v>
      </c>
      <c r="CB45" s="11" t="s">
        <v>588</v>
      </c>
      <c r="CC45" s="11" t="s">
        <v>588</v>
      </c>
      <c r="CD45" s="11" t="s">
        <v>588</v>
      </c>
      <c r="CE45" s="11" t="s">
        <v>588</v>
      </c>
      <c r="CF45" s="11" t="s">
        <v>588</v>
      </c>
      <c r="CG45" s="11" t="s">
        <v>588</v>
      </c>
      <c r="CH45" s="11" t="s">
        <v>588</v>
      </c>
      <c r="CI45" s="11" t="s">
        <v>588</v>
      </c>
      <c r="CJ45" s="11" t="s">
        <v>588</v>
      </c>
      <c r="CK45" s="11" t="s">
        <v>588</v>
      </c>
      <c r="CL45" s="11" t="s">
        <v>588</v>
      </c>
      <c r="CM45" s="11" t="s">
        <v>588</v>
      </c>
      <c r="CN45" s="11" t="s">
        <v>588</v>
      </c>
      <c r="CO45" s="11" t="s">
        <v>588</v>
      </c>
      <c r="CP45" s="11" t="s">
        <v>588</v>
      </c>
      <c r="CQ45" s="11" t="s">
        <v>588</v>
      </c>
      <c r="CR45" s="11" t="s">
        <v>588</v>
      </c>
      <c r="CS45" s="11" t="s">
        <v>588</v>
      </c>
      <c r="CT45" s="11" t="s">
        <v>588</v>
      </c>
    </row>
    <row r="46" spans="1:98" x14ac:dyDescent="0.25">
      <c r="A46" s="11">
        <v>202223</v>
      </c>
      <c r="B46" s="11" t="s">
        <v>320</v>
      </c>
      <c r="C46" s="11" t="s">
        <v>320</v>
      </c>
      <c r="D46" s="11" t="s">
        <v>321</v>
      </c>
      <c r="E46" s="11" t="s">
        <v>16</v>
      </c>
      <c r="F46" s="11">
        <v>3</v>
      </c>
      <c r="G46" s="11" t="s">
        <v>491</v>
      </c>
      <c r="H46" s="11" t="s">
        <v>873</v>
      </c>
      <c r="I46" s="13">
        <v>44902</v>
      </c>
      <c r="J46" s="11">
        <v>7</v>
      </c>
      <c r="K46" s="11">
        <v>12</v>
      </c>
      <c r="L46" s="11">
        <v>2022</v>
      </c>
      <c r="M46" s="11" t="s">
        <v>874</v>
      </c>
      <c r="N46" s="11" t="s">
        <v>7</v>
      </c>
      <c r="O46" s="11" t="s">
        <v>10</v>
      </c>
      <c r="P46" s="11">
        <v>-38.570300000000003</v>
      </c>
      <c r="Q46" s="11">
        <v>145.4999</v>
      </c>
      <c r="R46" s="11" t="s">
        <v>588</v>
      </c>
      <c r="S46" s="11" t="s">
        <v>588</v>
      </c>
      <c r="T46" s="11">
        <v>2</v>
      </c>
      <c r="U46" s="11">
        <v>3</v>
      </c>
      <c r="V46" s="11" t="s">
        <v>588</v>
      </c>
      <c r="W46" s="11" t="s">
        <v>588</v>
      </c>
      <c r="X46" s="11">
        <v>2</v>
      </c>
      <c r="Y46" s="11">
        <v>2</v>
      </c>
      <c r="Z46" s="11" t="s">
        <v>41</v>
      </c>
      <c r="AA46" s="13">
        <v>44902</v>
      </c>
      <c r="AB46" s="11">
        <v>7</v>
      </c>
      <c r="AC46" s="11">
        <v>12</v>
      </c>
      <c r="AD46" s="11">
        <v>2022</v>
      </c>
      <c r="AE46" s="13" t="s">
        <v>874</v>
      </c>
      <c r="AF46" s="11" t="s">
        <v>7</v>
      </c>
      <c r="AG46" s="13">
        <v>44909</v>
      </c>
      <c r="AH46" s="11">
        <v>14</v>
      </c>
      <c r="AI46" s="11">
        <v>12</v>
      </c>
      <c r="AJ46" s="11">
        <v>2022</v>
      </c>
      <c r="AK46" s="13" t="s">
        <v>875</v>
      </c>
      <c r="AL46" s="11" t="s">
        <v>7</v>
      </c>
      <c r="AM46" s="11" t="s">
        <v>20</v>
      </c>
      <c r="AN46" s="11" t="s">
        <v>588</v>
      </c>
      <c r="AO46" s="11" t="s">
        <v>20</v>
      </c>
      <c r="AP46" s="13" t="s">
        <v>588</v>
      </c>
      <c r="AQ46" s="11" t="s">
        <v>588</v>
      </c>
      <c r="AR46" s="11" t="s">
        <v>588</v>
      </c>
      <c r="AS46" s="11" t="s">
        <v>588</v>
      </c>
      <c r="AT46" s="11" t="s">
        <v>588</v>
      </c>
      <c r="AU46" s="7" t="s">
        <v>588</v>
      </c>
      <c r="AV46" s="13" t="s">
        <v>588</v>
      </c>
      <c r="AW46" s="11" t="s">
        <v>588</v>
      </c>
      <c r="AX46" s="11" t="s">
        <v>588</v>
      </c>
      <c r="AY46" s="11" t="s">
        <v>588</v>
      </c>
      <c r="AZ46" s="11" t="s">
        <v>588</v>
      </c>
      <c r="BA46" s="7" t="s">
        <v>588</v>
      </c>
      <c r="BB46" s="11" t="s">
        <v>588</v>
      </c>
      <c r="BC46" s="11" t="s">
        <v>588</v>
      </c>
      <c r="BD46" s="11" t="s">
        <v>588</v>
      </c>
      <c r="BE46" s="11" t="s">
        <v>588</v>
      </c>
      <c r="BF46" s="11" t="s">
        <v>588</v>
      </c>
      <c r="BG46" s="7" t="s">
        <v>588</v>
      </c>
      <c r="BH46" s="11" t="s">
        <v>588</v>
      </c>
      <c r="BI46" s="11" t="s">
        <v>588</v>
      </c>
      <c r="BJ46" s="11" t="s">
        <v>588</v>
      </c>
      <c r="BK46" s="11" t="s">
        <v>588</v>
      </c>
      <c r="BL46" s="11" t="s">
        <v>588</v>
      </c>
      <c r="BM46" s="11" t="s">
        <v>588</v>
      </c>
      <c r="BN46" s="11" t="s">
        <v>588</v>
      </c>
      <c r="BO46" s="11" t="s">
        <v>588</v>
      </c>
      <c r="BP46" s="11" t="s">
        <v>588</v>
      </c>
      <c r="BQ46" s="13" t="s">
        <v>588</v>
      </c>
      <c r="BR46" s="11" t="s">
        <v>588</v>
      </c>
      <c r="BS46" s="11" t="s">
        <v>8</v>
      </c>
      <c r="BT46" s="11" t="s">
        <v>9</v>
      </c>
      <c r="BU46" s="11" t="s">
        <v>9</v>
      </c>
      <c r="BV46" s="11" t="s">
        <v>588</v>
      </c>
      <c r="BW46" s="11" t="s">
        <v>588</v>
      </c>
      <c r="BX46" s="11" t="s">
        <v>588</v>
      </c>
      <c r="BY46" s="11" t="s">
        <v>588</v>
      </c>
      <c r="BZ46" s="11" t="s">
        <v>588</v>
      </c>
      <c r="CA46" s="17" t="s">
        <v>588</v>
      </c>
      <c r="CB46" s="11" t="s">
        <v>588</v>
      </c>
      <c r="CC46" s="11" t="s">
        <v>588</v>
      </c>
      <c r="CD46" s="11" t="s">
        <v>588</v>
      </c>
      <c r="CE46" s="11" t="s">
        <v>588</v>
      </c>
      <c r="CF46" s="11" t="s">
        <v>588</v>
      </c>
      <c r="CG46" s="11" t="s">
        <v>588</v>
      </c>
      <c r="CH46" s="11" t="s">
        <v>588</v>
      </c>
      <c r="CI46" s="11" t="s">
        <v>588</v>
      </c>
      <c r="CJ46" s="11" t="s">
        <v>588</v>
      </c>
      <c r="CK46" s="11" t="s">
        <v>588</v>
      </c>
      <c r="CL46" s="11" t="s">
        <v>588</v>
      </c>
      <c r="CM46" s="11" t="s">
        <v>588</v>
      </c>
      <c r="CN46" s="11" t="s">
        <v>588</v>
      </c>
      <c r="CO46" s="11" t="s">
        <v>588</v>
      </c>
      <c r="CP46" s="11" t="s">
        <v>588</v>
      </c>
      <c r="CQ46" s="11" t="s">
        <v>588</v>
      </c>
      <c r="CR46" s="11" t="s">
        <v>588</v>
      </c>
      <c r="CS46" s="11" t="s">
        <v>588</v>
      </c>
      <c r="CT46" s="11" t="s">
        <v>588</v>
      </c>
    </row>
    <row r="47" spans="1:98" x14ac:dyDescent="0.25">
      <c r="A47" s="11">
        <v>202223</v>
      </c>
      <c r="B47" s="11" t="s">
        <v>320</v>
      </c>
      <c r="C47" s="11" t="s">
        <v>320</v>
      </c>
      <c r="D47" s="11" t="s">
        <v>321</v>
      </c>
      <c r="E47" s="11" t="s">
        <v>16</v>
      </c>
      <c r="F47" s="11">
        <v>4</v>
      </c>
      <c r="G47" s="11" t="s">
        <v>492</v>
      </c>
      <c r="H47" s="11" t="s">
        <v>876</v>
      </c>
      <c r="I47" s="13">
        <v>44918</v>
      </c>
      <c r="J47" s="11">
        <v>23</v>
      </c>
      <c r="K47" s="11">
        <v>12</v>
      </c>
      <c r="L47" s="11">
        <v>2022</v>
      </c>
      <c r="M47" s="11" t="s">
        <v>782</v>
      </c>
      <c r="N47" s="11" t="s">
        <v>7</v>
      </c>
      <c r="O47" s="11" t="s">
        <v>51</v>
      </c>
      <c r="P47" s="11" t="s">
        <v>588</v>
      </c>
      <c r="Q47" s="11" t="s">
        <v>588</v>
      </c>
      <c r="R47" s="11">
        <v>-38.569093000000002</v>
      </c>
      <c r="S47" s="11">
        <v>145.49885599999999</v>
      </c>
      <c r="T47" s="11">
        <v>3</v>
      </c>
      <c r="U47" s="11">
        <v>3</v>
      </c>
      <c r="V47" s="13">
        <v>44923</v>
      </c>
      <c r="W47" s="11" t="s">
        <v>219</v>
      </c>
      <c r="X47" s="11">
        <v>5</v>
      </c>
      <c r="Y47" s="11">
        <v>5</v>
      </c>
      <c r="Z47" s="11" t="s">
        <v>8</v>
      </c>
      <c r="AA47" s="13">
        <v>44949</v>
      </c>
      <c r="AB47" s="11">
        <v>23</v>
      </c>
      <c r="AC47" s="11">
        <v>1</v>
      </c>
      <c r="AD47" s="11">
        <v>2023</v>
      </c>
      <c r="AE47" s="13" t="s">
        <v>877</v>
      </c>
      <c r="AF47" s="11" t="s">
        <v>588</v>
      </c>
      <c r="AG47" s="11" t="s">
        <v>588</v>
      </c>
      <c r="AH47" s="11" t="s">
        <v>588</v>
      </c>
      <c r="AI47" s="11" t="s">
        <v>588</v>
      </c>
      <c r="AJ47" s="11" t="s">
        <v>588</v>
      </c>
      <c r="AK47" s="13" t="s">
        <v>588</v>
      </c>
      <c r="AL47" s="11" t="s">
        <v>588</v>
      </c>
      <c r="AM47" s="11" t="s">
        <v>588</v>
      </c>
      <c r="AN47" s="11" t="s">
        <v>588</v>
      </c>
      <c r="AO47" s="11" t="s">
        <v>588</v>
      </c>
      <c r="AP47" s="13">
        <v>44950</v>
      </c>
      <c r="AQ47" s="11" t="s">
        <v>12</v>
      </c>
      <c r="AR47" s="11" t="s">
        <v>195</v>
      </c>
      <c r="AS47" s="11">
        <v>3</v>
      </c>
      <c r="AT47" s="11">
        <v>3</v>
      </c>
      <c r="AU47" s="7" t="s">
        <v>588</v>
      </c>
      <c r="AV47" s="13" t="s">
        <v>588</v>
      </c>
      <c r="AW47" s="11" t="s">
        <v>588</v>
      </c>
      <c r="AX47" s="11" t="s">
        <v>588</v>
      </c>
      <c r="AY47" s="11" t="s">
        <v>588</v>
      </c>
      <c r="AZ47" s="11" t="s">
        <v>588</v>
      </c>
      <c r="BA47" s="7" t="s">
        <v>588</v>
      </c>
      <c r="BB47" s="11" t="s">
        <v>588</v>
      </c>
      <c r="BC47" s="11" t="s">
        <v>588</v>
      </c>
      <c r="BD47" s="11" t="s">
        <v>588</v>
      </c>
      <c r="BE47" s="11" t="s">
        <v>588</v>
      </c>
      <c r="BF47" s="11" t="s">
        <v>588</v>
      </c>
      <c r="BG47" s="7" t="s">
        <v>588</v>
      </c>
      <c r="BH47" s="11" t="s">
        <v>588</v>
      </c>
      <c r="BI47" s="11" t="s">
        <v>588</v>
      </c>
      <c r="BJ47" s="11" t="s">
        <v>588</v>
      </c>
      <c r="BK47" s="11" t="s">
        <v>588</v>
      </c>
      <c r="BL47" s="11" t="s">
        <v>588</v>
      </c>
      <c r="BM47" s="11">
        <v>9</v>
      </c>
      <c r="BN47" s="11">
        <v>9</v>
      </c>
      <c r="BO47" s="11" t="s">
        <v>8</v>
      </c>
      <c r="BP47" s="11">
        <v>3</v>
      </c>
      <c r="BQ47" s="13">
        <v>44993</v>
      </c>
      <c r="BR47" s="11" t="s">
        <v>22</v>
      </c>
      <c r="BS47" s="11" t="s">
        <v>41</v>
      </c>
      <c r="BT47" s="11" t="s">
        <v>588</v>
      </c>
      <c r="BU47" s="11" t="s">
        <v>42</v>
      </c>
      <c r="BV47" s="11" t="s">
        <v>8</v>
      </c>
      <c r="BW47" s="11" t="s">
        <v>90</v>
      </c>
      <c r="BX47" s="11" t="s">
        <v>90</v>
      </c>
      <c r="BY47" s="11" t="s">
        <v>588</v>
      </c>
      <c r="BZ47" s="11" t="s">
        <v>588</v>
      </c>
      <c r="CA47" s="17" t="s">
        <v>588</v>
      </c>
      <c r="CB47" s="11" t="s">
        <v>588</v>
      </c>
      <c r="CC47" s="11" t="s">
        <v>588</v>
      </c>
      <c r="CD47" s="11" t="s">
        <v>588</v>
      </c>
      <c r="CE47" s="11" t="s">
        <v>588</v>
      </c>
      <c r="CF47" s="11" t="s">
        <v>588</v>
      </c>
      <c r="CG47" s="11" t="s">
        <v>588</v>
      </c>
      <c r="CH47" s="11" t="s">
        <v>588</v>
      </c>
      <c r="CI47" s="11" t="s">
        <v>588</v>
      </c>
      <c r="CJ47" s="11" t="s">
        <v>588</v>
      </c>
      <c r="CK47" s="11" t="s">
        <v>588</v>
      </c>
      <c r="CL47" s="11" t="s">
        <v>588</v>
      </c>
      <c r="CM47" s="11" t="s">
        <v>588</v>
      </c>
      <c r="CN47" s="11" t="s">
        <v>588</v>
      </c>
      <c r="CO47" s="11" t="s">
        <v>588</v>
      </c>
      <c r="CP47" s="11" t="s">
        <v>588</v>
      </c>
      <c r="CQ47" s="11" t="s">
        <v>588</v>
      </c>
      <c r="CR47" s="11" t="s">
        <v>588</v>
      </c>
      <c r="CS47" s="11" t="s">
        <v>588</v>
      </c>
      <c r="CT47" s="11" t="s">
        <v>588</v>
      </c>
    </row>
    <row r="48" spans="1:98" x14ac:dyDescent="0.25">
      <c r="A48" s="11">
        <v>202223</v>
      </c>
      <c r="B48" s="11" t="s">
        <v>324</v>
      </c>
      <c r="C48" s="11" t="s">
        <v>324</v>
      </c>
      <c r="D48" s="11" t="s">
        <v>326</v>
      </c>
      <c r="E48" s="11" t="s">
        <v>16</v>
      </c>
      <c r="F48" s="11">
        <v>1</v>
      </c>
      <c r="G48" s="11" t="s">
        <v>493</v>
      </c>
      <c r="H48" s="11" t="s">
        <v>878</v>
      </c>
      <c r="I48" s="13">
        <v>44900</v>
      </c>
      <c r="J48" s="11">
        <v>5</v>
      </c>
      <c r="K48" s="11">
        <v>12</v>
      </c>
      <c r="L48" s="11">
        <v>2022</v>
      </c>
      <c r="M48" s="11" t="s">
        <v>872</v>
      </c>
      <c r="N48" s="11" t="s">
        <v>7</v>
      </c>
      <c r="O48" s="11" t="s">
        <v>10</v>
      </c>
      <c r="P48" s="11">
        <v>-38.567799999999998</v>
      </c>
      <c r="Q48" s="11">
        <v>145.4975</v>
      </c>
      <c r="R48" s="11" t="s">
        <v>588</v>
      </c>
      <c r="S48" s="11" t="s">
        <v>588</v>
      </c>
      <c r="T48" s="11">
        <v>1</v>
      </c>
      <c r="U48" s="11">
        <v>3</v>
      </c>
      <c r="V48" s="11" t="s">
        <v>588</v>
      </c>
      <c r="W48" s="11" t="s">
        <v>588</v>
      </c>
      <c r="X48" s="11">
        <v>2</v>
      </c>
      <c r="Y48" s="11">
        <v>2</v>
      </c>
      <c r="Z48" s="11" t="s">
        <v>41</v>
      </c>
      <c r="AA48" s="13">
        <v>44900</v>
      </c>
      <c r="AB48" s="11">
        <v>5</v>
      </c>
      <c r="AC48" s="11">
        <v>12</v>
      </c>
      <c r="AD48" s="11">
        <v>2022</v>
      </c>
      <c r="AE48" s="13" t="s">
        <v>872</v>
      </c>
      <c r="AF48" s="11" t="s">
        <v>7</v>
      </c>
      <c r="AG48" s="13">
        <v>44909</v>
      </c>
      <c r="AH48" s="11">
        <v>14</v>
      </c>
      <c r="AI48" s="11">
        <v>12</v>
      </c>
      <c r="AJ48" s="11">
        <v>2022</v>
      </c>
      <c r="AK48" s="13" t="s">
        <v>875</v>
      </c>
      <c r="AL48" s="11" t="s">
        <v>7</v>
      </c>
      <c r="AM48" s="11" t="s">
        <v>20</v>
      </c>
      <c r="AN48" s="11" t="s">
        <v>588</v>
      </c>
      <c r="AO48" s="11" t="s">
        <v>20</v>
      </c>
      <c r="AP48" s="13" t="s">
        <v>588</v>
      </c>
      <c r="AQ48" s="11" t="s">
        <v>588</v>
      </c>
      <c r="AR48" s="11" t="s">
        <v>588</v>
      </c>
      <c r="AS48" s="11" t="s">
        <v>588</v>
      </c>
      <c r="AT48" s="11" t="s">
        <v>588</v>
      </c>
      <c r="AU48" s="7" t="s">
        <v>588</v>
      </c>
      <c r="AV48" s="13" t="s">
        <v>588</v>
      </c>
      <c r="AW48" s="11" t="s">
        <v>588</v>
      </c>
      <c r="AX48" s="11" t="s">
        <v>588</v>
      </c>
      <c r="AY48" s="11" t="s">
        <v>588</v>
      </c>
      <c r="AZ48" s="11" t="s">
        <v>588</v>
      </c>
      <c r="BA48" s="7" t="s">
        <v>588</v>
      </c>
      <c r="BB48" s="11" t="s">
        <v>588</v>
      </c>
      <c r="BC48" s="11" t="s">
        <v>588</v>
      </c>
      <c r="BD48" s="11" t="s">
        <v>588</v>
      </c>
      <c r="BE48" s="11" t="s">
        <v>588</v>
      </c>
      <c r="BF48" s="11" t="s">
        <v>588</v>
      </c>
      <c r="BG48" s="7" t="s">
        <v>588</v>
      </c>
      <c r="BH48" s="11" t="s">
        <v>588</v>
      </c>
      <c r="BI48" s="11" t="s">
        <v>588</v>
      </c>
      <c r="BJ48" s="11" t="s">
        <v>588</v>
      </c>
      <c r="BK48" s="11" t="s">
        <v>588</v>
      </c>
      <c r="BL48" s="11" t="s">
        <v>588</v>
      </c>
      <c r="BM48" s="11" t="s">
        <v>588</v>
      </c>
      <c r="BN48" s="11" t="s">
        <v>588</v>
      </c>
      <c r="BO48" s="11" t="s">
        <v>588</v>
      </c>
      <c r="BP48" s="11" t="s">
        <v>588</v>
      </c>
      <c r="BQ48" s="13" t="s">
        <v>588</v>
      </c>
      <c r="BR48" s="11" t="s">
        <v>588</v>
      </c>
      <c r="BS48" s="11" t="s">
        <v>8</v>
      </c>
      <c r="BT48" s="11" t="s">
        <v>9</v>
      </c>
      <c r="BU48" s="11" t="s">
        <v>9</v>
      </c>
      <c r="BV48" s="11" t="s">
        <v>588</v>
      </c>
      <c r="BW48" s="11" t="s">
        <v>588</v>
      </c>
      <c r="BX48" s="11" t="s">
        <v>588</v>
      </c>
      <c r="BY48" s="11" t="s">
        <v>588</v>
      </c>
      <c r="BZ48" s="11" t="s">
        <v>588</v>
      </c>
      <c r="CA48" s="17" t="s">
        <v>588</v>
      </c>
      <c r="CB48" s="11" t="s">
        <v>588</v>
      </c>
      <c r="CC48" s="11" t="s">
        <v>588</v>
      </c>
      <c r="CD48" s="11" t="s">
        <v>588</v>
      </c>
      <c r="CE48" s="11" t="s">
        <v>588</v>
      </c>
      <c r="CF48" s="11" t="s">
        <v>588</v>
      </c>
      <c r="CG48" s="11" t="s">
        <v>588</v>
      </c>
      <c r="CH48" s="11" t="s">
        <v>588</v>
      </c>
      <c r="CI48" s="11" t="s">
        <v>588</v>
      </c>
      <c r="CJ48" s="11" t="s">
        <v>588</v>
      </c>
      <c r="CK48" s="11" t="s">
        <v>588</v>
      </c>
      <c r="CL48" s="11" t="s">
        <v>588</v>
      </c>
      <c r="CM48" s="11" t="s">
        <v>588</v>
      </c>
      <c r="CN48" s="11" t="s">
        <v>588</v>
      </c>
      <c r="CO48" s="11" t="s">
        <v>588</v>
      </c>
      <c r="CP48" s="11" t="s">
        <v>588</v>
      </c>
      <c r="CQ48" s="11" t="s">
        <v>588</v>
      </c>
      <c r="CR48" s="11" t="s">
        <v>588</v>
      </c>
      <c r="CS48" s="11" t="s">
        <v>588</v>
      </c>
      <c r="CT48" s="11" t="s">
        <v>588</v>
      </c>
    </row>
    <row r="49" spans="1:98" x14ac:dyDescent="0.25">
      <c r="A49" s="11">
        <v>202223</v>
      </c>
      <c r="B49" s="11" t="s">
        <v>324</v>
      </c>
      <c r="C49" s="11" t="s">
        <v>324</v>
      </c>
      <c r="D49" s="11" t="s">
        <v>326</v>
      </c>
      <c r="E49" s="11" t="s">
        <v>16</v>
      </c>
      <c r="F49" s="11">
        <v>2</v>
      </c>
      <c r="G49" s="11" t="s">
        <v>494</v>
      </c>
      <c r="H49" s="11" t="s">
        <v>879</v>
      </c>
      <c r="I49" s="13">
        <v>44921</v>
      </c>
      <c r="J49" s="11">
        <v>26</v>
      </c>
      <c r="K49" s="11">
        <v>12</v>
      </c>
      <c r="L49" s="11">
        <v>2022</v>
      </c>
      <c r="M49" s="11" t="s">
        <v>880</v>
      </c>
      <c r="N49" s="11" t="s">
        <v>7</v>
      </c>
      <c r="O49" s="11" t="s">
        <v>36</v>
      </c>
      <c r="P49" s="11" t="s">
        <v>588</v>
      </c>
      <c r="Q49" s="11" t="s">
        <v>588</v>
      </c>
      <c r="R49" s="11">
        <v>-38.565060000000003</v>
      </c>
      <c r="S49" s="11">
        <v>145.49491900000001</v>
      </c>
      <c r="T49" s="11">
        <v>1</v>
      </c>
      <c r="U49" s="11">
        <v>3</v>
      </c>
      <c r="V49" s="11" t="s">
        <v>588</v>
      </c>
      <c r="W49" s="11" t="s">
        <v>588</v>
      </c>
      <c r="X49" s="11">
        <v>2</v>
      </c>
      <c r="Y49" s="11">
        <v>2</v>
      </c>
      <c r="Z49" s="11" t="s">
        <v>41</v>
      </c>
      <c r="AA49" s="13">
        <v>44921</v>
      </c>
      <c r="AB49" s="11">
        <v>26</v>
      </c>
      <c r="AC49" s="11">
        <v>12</v>
      </c>
      <c r="AD49" s="11">
        <v>2022</v>
      </c>
      <c r="AE49" s="13" t="s">
        <v>880</v>
      </c>
      <c r="AF49" s="11" t="s">
        <v>7</v>
      </c>
      <c r="AG49" s="13">
        <v>44928</v>
      </c>
      <c r="AH49" s="11">
        <v>2</v>
      </c>
      <c r="AI49" s="11">
        <v>1</v>
      </c>
      <c r="AJ49" s="11">
        <v>2023</v>
      </c>
      <c r="AK49" s="13" t="s">
        <v>881</v>
      </c>
      <c r="AL49" s="11" t="s">
        <v>12</v>
      </c>
      <c r="AM49" s="11" t="s">
        <v>20</v>
      </c>
      <c r="AN49" s="11" t="s">
        <v>588</v>
      </c>
      <c r="AO49" s="11" t="s">
        <v>20</v>
      </c>
      <c r="AP49" s="13" t="s">
        <v>588</v>
      </c>
      <c r="AQ49" s="11" t="s">
        <v>588</v>
      </c>
      <c r="AR49" s="11" t="s">
        <v>588</v>
      </c>
      <c r="AS49" s="11" t="s">
        <v>588</v>
      </c>
      <c r="AT49" s="11" t="s">
        <v>588</v>
      </c>
      <c r="AU49" s="7" t="s">
        <v>588</v>
      </c>
      <c r="AV49" s="13" t="s">
        <v>588</v>
      </c>
      <c r="AW49" s="11" t="s">
        <v>588</v>
      </c>
      <c r="AX49" s="11" t="s">
        <v>588</v>
      </c>
      <c r="AY49" s="11" t="s">
        <v>588</v>
      </c>
      <c r="AZ49" s="11" t="s">
        <v>588</v>
      </c>
      <c r="BA49" s="7" t="s">
        <v>588</v>
      </c>
      <c r="BB49" s="11" t="s">
        <v>588</v>
      </c>
      <c r="BC49" s="11" t="s">
        <v>588</v>
      </c>
      <c r="BD49" s="11" t="s">
        <v>588</v>
      </c>
      <c r="BE49" s="11" t="s">
        <v>588</v>
      </c>
      <c r="BF49" s="11" t="s">
        <v>588</v>
      </c>
      <c r="BG49" s="7" t="s">
        <v>588</v>
      </c>
      <c r="BH49" s="11" t="s">
        <v>588</v>
      </c>
      <c r="BI49" s="11" t="s">
        <v>588</v>
      </c>
      <c r="BJ49" s="11" t="s">
        <v>588</v>
      </c>
      <c r="BK49" s="11" t="s">
        <v>588</v>
      </c>
      <c r="BL49" s="11" t="s">
        <v>588</v>
      </c>
      <c r="BM49" s="11" t="s">
        <v>588</v>
      </c>
      <c r="BN49" s="11" t="s">
        <v>588</v>
      </c>
      <c r="BO49" s="11" t="s">
        <v>588</v>
      </c>
      <c r="BP49" s="11" t="s">
        <v>588</v>
      </c>
      <c r="BQ49" s="13" t="s">
        <v>588</v>
      </c>
      <c r="BR49" s="11" t="s">
        <v>588</v>
      </c>
      <c r="BS49" s="11" t="s">
        <v>41</v>
      </c>
      <c r="BT49" s="11" t="s">
        <v>588</v>
      </c>
      <c r="BU49" s="11" t="s">
        <v>42</v>
      </c>
      <c r="BV49" s="11" t="s">
        <v>588</v>
      </c>
      <c r="BW49" s="11" t="s">
        <v>588</v>
      </c>
      <c r="BX49" s="11" t="s">
        <v>588</v>
      </c>
      <c r="BY49" s="11" t="s">
        <v>588</v>
      </c>
      <c r="BZ49" s="11" t="s">
        <v>588</v>
      </c>
      <c r="CA49" s="17" t="s">
        <v>588</v>
      </c>
      <c r="CB49" s="11" t="s">
        <v>588</v>
      </c>
      <c r="CC49" s="11" t="s">
        <v>588</v>
      </c>
      <c r="CD49" s="11" t="s">
        <v>588</v>
      </c>
      <c r="CE49" s="11" t="s">
        <v>588</v>
      </c>
      <c r="CF49" s="11" t="s">
        <v>588</v>
      </c>
      <c r="CG49" s="11" t="s">
        <v>588</v>
      </c>
      <c r="CH49" s="11" t="s">
        <v>588</v>
      </c>
      <c r="CI49" s="11" t="s">
        <v>588</v>
      </c>
      <c r="CJ49" s="11" t="s">
        <v>588</v>
      </c>
      <c r="CK49" s="11" t="s">
        <v>588</v>
      </c>
      <c r="CL49" s="11" t="s">
        <v>588</v>
      </c>
      <c r="CM49" s="11" t="s">
        <v>588</v>
      </c>
      <c r="CN49" s="11" t="s">
        <v>588</v>
      </c>
      <c r="CO49" s="11" t="s">
        <v>588</v>
      </c>
      <c r="CP49" s="11" t="s">
        <v>588</v>
      </c>
      <c r="CQ49" s="11" t="s">
        <v>588</v>
      </c>
      <c r="CR49" s="11" t="s">
        <v>588</v>
      </c>
      <c r="CS49" s="11" t="s">
        <v>588</v>
      </c>
      <c r="CT49" s="11" t="s">
        <v>588</v>
      </c>
    </row>
    <row r="50" spans="1:98" x14ac:dyDescent="0.25">
      <c r="A50" s="11">
        <v>202223</v>
      </c>
      <c r="B50" s="11" t="s">
        <v>324</v>
      </c>
      <c r="C50" s="11" t="s">
        <v>324</v>
      </c>
      <c r="D50" s="11" t="s">
        <v>326</v>
      </c>
      <c r="E50" s="11" t="s">
        <v>16</v>
      </c>
      <c r="F50" s="11">
        <v>3</v>
      </c>
      <c r="G50" s="11" t="s">
        <v>495</v>
      </c>
      <c r="H50" s="11" t="s">
        <v>882</v>
      </c>
      <c r="I50" s="13">
        <v>44935</v>
      </c>
      <c r="J50" s="11">
        <v>9</v>
      </c>
      <c r="K50" s="11">
        <v>1</v>
      </c>
      <c r="L50" s="11">
        <v>2023</v>
      </c>
      <c r="M50" s="11" t="s">
        <v>867</v>
      </c>
      <c r="N50" s="11" t="s">
        <v>12</v>
      </c>
      <c r="O50" s="11" t="s">
        <v>10</v>
      </c>
      <c r="P50" s="11" t="s">
        <v>588</v>
      </c>
      <c r="Q50" s="11" t="s">
        <v>588</v>
      </c>
      <c r="R50" s="11">
        <v>-38.566164000000001</v>
      </c>
      <c r="S50" s="11">
        <v>145.49599499999999</v>
      </c>
      <c r="T50" s="11">
        <v>3</v>
      </c>
      <c r="U50" s="11">
        <v>3</v>
      </c>
      <c r="V50" s="11" t="s">
        <v>588</v>
      </c>
      <c r="W50" s="11" t="s">
        <v>588</v>
      </c>
      <c r="X50" s="11">
        <v>3</v>
      </c>
      <c r="Y50" s="11">
        <v>3</v>
      </c>
      <c r="Z50" s="11" t="s">
        <v>41</v>
      </c>
      <c r="AA50" s="13">
        <v>44942</v>
      </c>
      <c r="AB50" s="11">
        <v>16</v>
      </c>
      <c r="AC50" s="11">
        <v>1</v>
      </c>
      <c r="AD50" s="11">
        <v>2023</v>
      </c>
      <c r="AE50" s="13" t="s">
        <v>816</v>
      </c>
      <c r="AF50" s="11" t="s">
        <v>12</v>
      </c>
      <c r="AG50" s="13">
        <v>44949</v>
      </c>
      <c r="AH50" s="11">
        <v>23</v>
      </c>
      <c r="AI50" s="11">
        <v>1</v>
      </c>
      <c r="AJ50" s="11">
        <v>2023</v>
      </c>
      <c r="AK50" s="13" t="s">
        <v>877</v>
      </c>
      <c r="AL50" s="11" t="s">
        <v>12</v>
      </c>
      <c r="AM50" s="11" t="s">
        <v>20</v>
      </c>
      <c r="AN50" s="11" t="s">
        <v>588</v>
      </c>
      <c r="AO50" s="11" t="s">
        <v>20</v>
      </c>
      <c r="AP50" s="13" t="s">
        <v>588</v>
      </c>
      <c r="AQ50" s="11" t="s">
        <v>588</v>
      </c>
      <c r="AR50" s="11" t="s">
        <v>588</v>
      </c>
      <c r="AS50" s="11" t="s">
        <v>588</v>
      </c>
      <c r="AT50" s="11" t="s">
        <v>588</v>
      </c>
      <c r="AU50" s="7" t="s">
        <v>588</v>
      </c>
      <c r="AV50" s="13" t="s">
        <v>588</v>
      </c>
      <c r="AW50" s="11" t="s">
        <v>588</v>
      </c>
      <c r="AX50" s="11" t="s">
        <v>588</v>
      </c>
      <c r="AY50" s="11" t="s">
        <v>588</v>
      </c>
      <c r="AZ50" s="11" t="s">
        <v>588</v>
      </c>
      <c r="BA50" s="7" t="s">
        <v>588</v>
      </c>
      <c r="BB50" s="11" t="s">
        <v>588</v>
      </c>
      <c r="BC50" s="11" t="s">
        <v>588</v>
      </c>
      <c r="BD50" s="11" t="s">
        <v>588</v>
      </c>
      <c r="BE50" s="11" t="s">
        <v>588</v>
      </c>
      <c r="BF50" s="11" t="s">
        <v>588</v>
      </c>
      <c r="BG50" s="7" t="s">
        <v>588</v>
      </c>
      <c r="BH50" s="11" t="s">
        <v>588</v>
      </c>
      <c r="BI50" s="11" t="s">
        <v>588</v>
      </c>
      <c r="BJ50" s="11" t="s">
        <v>588</v>
      </c>
      <c r="BK50" s="11" t="s">
        <v>588</v>
      </c>
      <c r="BL50" s="11" t="s">
        <v>588</v>
      </c>
      <c r="BM50" s="11" t="s">
        <v>588</v>
      </c>
      <c r="BN50" s="11" t="s">
        <v>588</v>
      </c>
      <c r="BO50" s="11" t="s">
        <v>588</v>
      </c>
      <c r="BP50" s="11" t="s">
        <v>588</v>
      </c>
      <c r="BQ50" s="13" t="s">
        <v>588</v>
      </c>
      <c r="BR50" s="11" t="s">
        <v>588</v>
      </c>
      <c r="BS50" s="11" t="s">
        <v>8</v>
      </c>
      <c r="BT50" s="11" t="s">
        <v>9</v>
      </c>
      <c r="BU50" s="11" t="s">
        <v>9</v>
      </c>
      <c r="BV50" s="11" t="s">
        <v>588</v>
      </c>
      <c r="BW50" s="11" t="s">
        <v>588</v>
      </c>
      <c r="BX50" s="11" t="s">
        <v>588</v>
      </c>
      <c r="BY50" s="11" t="s">
        <v>588</v>
      </c>
      <c r="BZ50" s="11" t="s">
        <v>588</v>
      </c>
      <c r="CA50" s="17" t="s">
        <v>588</v>
      </c>
      <c r="CB50" s="11" t="s">
        <v>588</v>
      </c>
      <c r="CC50" s="11" t="s">
        <v>588</v>
      </c>
      <c r="CD50" s="11" t="s">
        <v>588</v>
      </c>
      <c r="CE50" s="11" t="s">
        <v>588</v>
      </c>
      <c r="CF50" s="11" t="s">
        <v>588</v>
      </c>
      <c r="CG50" s="11" t="s">
        <v>588</v>
      </c>
      <c r="CH50" s="11" t="s">
        <v>588</v>
      </c>
      <c r="CI50" s="11" t="s">
        <v>588</v>
      </c>
      <c r="CJ50" s="11" t="s">
        <v>588</v>
      </c>
      <c r="CK50" s="11" t="s">
        <v>588</v>
      </c>
      <c r="CL50" s="11" t="s">
        <v>588</v>
      </c>
      <c r="CM50" s="11" t="s">
        <v>588</v>
      </c>
      <c r="CN50" s="11" t="s">
        <v>588</v>
      </c>
      <c r="CO50" s="11" t="s">
        <v>588</v>
      </c>
      <c r="CP50" s="11" t="s">
        <v>588</v>
      </c>
      <c r="CQ50" s="11" t="s">
        <v>588</v>
      </c>
      <c r="CR50" s="11" t="s">
        <v>588</v>
      </c>
      <c r="CS50" s="11" t="s">
        <v>588</v>
      </c>
      <c r="CT50" s="11" t="s">
        <v>588</v>
      </c>
    </row>
    <row r="51" spans="1:98" x14ac:dyDescent="0.25">
      <c r="A51" s="11">
        <v>202223</v>
      </c>
      <c r="B51" s="11" t="s">
        <v>425</v>
      </c>
      <c r="C51" s="11" t="s">
        <v>425</v>
      </c>
      <c r="D51" s="11" t="s">
        <v>426</v>
      </c>
      <c r="E51" s="11" t="s">
        <v>16</v>
      </c>
      <c r="F51" s="11">
        <v>1</v>
      </c>
      <c r="G51" s="11" t="s">
        <v>496</v>
      </c>
      <c r="H51" s="11" t="s">
        <v>883</v>
      </c>
      <c r="I51" s="13">
        <v>44889</v>
      </c>
      <c r="J51" s="11">
        <v>24</v>
      </c>
      <c r="K51" s="11">
        <v>11</v>
      </c>
      <c r="L51" s="11">
        <v>2022</v>
      </c>
      <c r="M51" s="11" t="s">
        <v>884</v>
      </c>
      <c r="N51" s="11" t="s">
        <v>17</v>
      </c>
      <c r="O51" s="11" t="s">
        <v>10</v>
      </c>
      <c r="P51" s="11">
        <v>-38.524946999999997</v>
      </c>
      <c r="Q51" s="11">
        <v>145.36570499999999</v>
      </c>
      <c r="R51" s="11" t="s">
        <v>588</v>
      </c>
      <c r="S51" s="11" t="s">
        <v>588</v>
      </c>
      <c r="T51" s="11">
        <v>2</v>
      </c>
      <c r="U51" s="11">
        <v>2</v>
      </c>
      <c r="V51" s="13">
        <v>44919</v>
      </c>
      <c r="W51" s="11" t="s">
        <v>219</v>
      </c>
      <c r="X51" s="11">
        <v>7</v>
      </c>
      <c r="Y51" s="11">
        <v>7</v>
      </c>
      <c r="Z51" s="11" t="s">
        <v>8</v>
      </c>
      <c r="AA51" s="13">
        <v>44914</v>
      </c>
      <c r="AB51" s="11">
        <v>19</v>
      </c>
      <c r="AC51" s="11">
        <v>12</v>
      </c>
      <c r="AD51" s="11">
        <v>2022</v>
      </c>
      <c r="AE51" s="13" t="s">
        <v>802</v>
      </c>
      <c r="AF51" s="11" t="s">
        <v>588</v>
      </c>
      <c r="AG51" s="11" t="s">
        <v>588</v>
      </c>
      <c r="AH51" s="11" t="s">
        <v>588</v>
      </c>
      <c r="AI51" s="11" t="s">
        <v>588</v>
      </c>
      <c r="AJ51" s="11" t="s">
        <v>588</v>
      </c>
      <c r="AK51" s="13" t="s">
        <v>588</v>
      </c>
      <c r="AL51" s="11" t="s">
        <v>588</v>
      </c>
      <c r="AM51" s="11" t="s">
        <v>588</v>
      </c>
      <c r="AN51" s="11" t="s">
        <v>588</v>
      </c>
      <c r="AO51" s="11" t="s">
        <v>588</v>
      </c>
      <c r="AP51" s="13">
        <v>44916</v>
      </c>
      <c r="AQ51" s="11" t="s">
        <v>7</v>
      </c>
      <c r="AR51" s="11" t="s">
        <v>195</v>
      </c>
      <c r="AS51" s="11">
        <v>2</v>
      </c>
      <c r="AT51" s="11">
        <v>2</v>
      </c>
      <c r="AU51" s="7">
        <v>44954</v>
      </c>
      <c r="AV51" s="13">
        <v>44956</v>
      </c>
      <c r="AW51" s="11" t="s">
        <v>12</v>
      </c>
      <c r="AX51" s="11" t="s">
        <v>20</v>
      </c>
      <c r="AY51" s="11" t="s">
        <v>588</v>
      </c>
      <c r="AZ51" s="11" t="s">
        <v>20</v>
      </c>
      <c r="BA51" s="7" t="s">
        <v>588</v>
      </c>
      <c r="BB51" s="11" t="s">
        <v>588</v>
      </c>
      <c r="BC51" s="11" t="s">
        <v>588</v>
      </c>
      <c r="BD51" s="11" t="s">
        <v>588</v>
      </c>
      <c r="BE51" s="11" t="s">
        <v>588</v>
      </c>
      <c r="BF51" s="11" t="s">
        <v>588</v>
      </c>
      <c r="BG51" s="7" t="s">
        <v>588</v>
      </c>
      <c r="BH51" s="11" t="s">
        <v>588</v>
      </c>
      <c r="BI51" s="11" t="s">
        <v>588</v>
      </c>
      <c r="BJ51" s="11" t="s">
        <v>588</v>
      </c>
      <c r="BK51" s="11" t="s">
        <v>588</v>
      </c>
      <c r="BL51" s="11" t="s">
        <v>588</v>
      </c>
      <c r="BM51" s="11">
        <v>22</v>
      </c>
      <c r="BN51" s="11">
        <v>21</v>
      </c>
      <c r="BO51" s="11" t="s">
        <v>8</v>
      </c>
      <c r="BP51" s="11">
        <v>1</v>
      </c>
      <c r="BQ51" s="13">
        <v>44957</v>
      </c>
      <c r="BR51" s="11" t="s">
        <v>12</v>
      </c>
      <c r="BS51" s="11" t="s">
        <v>8</v>
      </c>
      <c r="BT51" s="11" t="s">
        <v>9</v>
      </c>
      <c r="BU51" s="11" t="s">
        <v>9</v>
      </c>
      <c r="BV51" s="11" t="s">
        <v>8</v>
      </c>
      <c r="BW51" s="11" t="s">
        <v>96</v>
      </c>
      <c r="BX51" s="11" t="s">
        <v>96</v>
      </c>
      <c r="BY51" s="11" t="s">
        <v>588</v>
      </c>
      <c r="BZ51" s="11" t="s">
        <v>588</v>
      </c>
      <c r="CA51" s="17" t="s">
        <v>588</v>
      </c>
      <c r="CB51" s="11" t="s">
        <v>588</v>
      </c>
      <c r="CC51" s="11" t="s">
        <v>588</v>
      </c>
      <c r="CD51" s="11" t="s">
        <v>588</v>
      </c>
      <c r="CE51" s="11" t="s">
        <v>588</v>
      </c>
      <c r="CF51" s="11" t="s">
        <v>588</v>
      </c>
      <c r="CG51" s="11" t="s">
        <v>588</v>
      </c>
      <c r="CH51" s="11" t="s">
        <v>588</v>
      </c>
      <c r="CI51" s="11" t="s">
        <v>588</v>
      </c>
      <c r="CJ51" s="11" t="s">
        <v>588</v>
      </c>
      <c r="CK51" s="11" t="s">
        <v>588</v>
      </c>
      <c r="CL51" s="11" t="s">
        <v>588</v>
      </c>
      <c r="CM51" s="11" t="s">
        <v>588</v>
      </c>
      <c r="CN51" s="11" t="s">
        <v>588</v>
      </c>
      <c r="CO51" s="11" t="s">
        <v>588</v>
      </c>
      <c r="CP51" s="11" t="s">
        <v>588</v>
      </c>
      <c r="CQ51" s="11" t="s">
        <v>588</v>
      </c>
      <c r="CR51" s="11" t="s">
        <v>588</v>
      </c>
      <c r="CS51" s="11" t="s">
        <v>588</v>
      </c>
      <c r="CT51" s="11" t="s">
        <v>588</v>
      </c>
    </row>
    <row r="52" spans="1:98" x14ac:dyDescent="0.25">
      <c r="A52" s="11">
        <v>202223</v>
      </c>
      <c r="B52" s="10" t="s">
        <v>497</v>
      </c>
      <c r="C52" t="s">
        <v>1907</v>
      </c>
      <c r="D52" s="11" t="s">
        <v>433</v>
      </c>
      <c r="E52" s="11" t="s">
        <v>16</v>
      </c>
      <c r="F52" s="11">
        <v>1</v>
      </c>
      <c r="G52" s="11" t="s">
        <v>498</v>
      </c>
      <c r="H52" s="11" t="s">
        <v>885</v>
      </c>
      <c r="I52" s="13">
        <v>44931</v>
      </c>
      <c r="J52" s="11">
        <v>5</v>
      </c>
      <c r="K52" s="11">
        <v>1</v>
      </c>
      <c r="L52" s="11">
        <v>2023</v>
      </c>
      <c r="M52" s="11" t="s">
        <v>829</v>
      </c>
      <c r="N52" s="11" t="s">
        <v>12</v>
      </c>
      <c r="O52" s="11" t="s">
        <v>10</v>
      </c>
      <c r="P52" s="11" t="s">
        <v>588</v>
      </c>
      <c r="Q52" s="11" t="s">
        <v>588</v>
      </c>
      <c r="R52" s="11">
        <v>-38.539219000000003</v>
      </c>
      <c r="S52" s="11">
        <v>145.43467699999999</v>
      </c>
      <c r="T52" s="11">
        <v>3</v>
      </c>
      <c r="U52" s="11">
        <v>3</v>
      </c>
      <c r="V52" s="11" t="s">
        <v>588</v>
      </c>
      <c r="W52" s="11" t="s">
        <v>588</v>
      </c>
      <c r="X52" s="11">
        <v>1</v>
      </c>
      <c r="Y52" s="11">
        <v>1</v>
      </c>
      <c r="Z52" s="11" t="s">
        <v>8</v>
      </c>
      <c r="AA52" s="13">
        <v>44931</v>
      </c>
      <c r="AB52" s="11">
        <v>5</v>
      </c>
      <c r="AC52" s="11">
        <v>1</v>
      </c>
      <c r="AD52" s="11">
        <v>2023</v>
      </c>
      <c r="AE52" s="13" t="s">
        <v>829</v>
      </c>
      <c r="AF52" s="11" t="s">
        <v>588</v>
      </c>
      <c r="AG52" s="11" t="s">
        <v>588</v>
      </c>
      <c r="AH52" s="11" t="s">
        <v>588</v>
      </c>
      <c r="AI52" s="11" t="s">
        <v>588</v>
      </c>
      <c r="AJ52" s="11" t="s">
        <v>588</v>
      </c>
      <c r="AK52" s="13" t="s">
        <v>588</v>
      </c>
      <c r="AL52" s="11" t="s">
        <v>588</v>
      </c>
      <c r="AM52" s="11" t="s">
        <v>588</v>
      </c>
      <c r="AN52" s="11" t="s">
        <v>588</v>
      </c>
      <c r="AO52" s="11" t="s">
        <v>588</v>
      </c>
      <c r="AP52" s="13">
        <v>44965</v>
      </c>
      <c r="AQ52" s="11" t="s">
        <v>21</v>
      </c>
      <c r="AR52" s="11" t="s">
        <v>199</v>
      </c>
      <c r="AS52" s="11">
        <v>1</v>
      </c>
      <c r="AT52" s="11">
        <v>3</v>
      </c>
      <c r="AU52" s="7" t="s">
        <v>588</v>
      </c>
      <c r="AV52" s="13" t="s">
        <v>588</v>
      </c>
      <c r="AW52" s="11" t="s">
        <v>588</v>
      </c>
      <c r="AX52" s="11" t="s">
        <v>588</v>
      </c>
      <c r="AY52" s="11" t="s">
        <v>588</v>
      </c>
      <c r="AZ52" s="11" t="s">
        <v>588</v>
      </c>
      <c r="BA52" s="7" t="s">
        <v>588</v>
      </c>
      <c r="BB52" s="11" t="s">
        <v>588</v>
      </c>
      <c r="BC52" s="11" t="s">
        <v>588</v>
      </c>
      <c r="BD52" s="11" t="s">
        <v>588</v>
      </c>
      <c r="BE52" s="11" t="s">
        <v>588</v>
      </c>
      <c r="BF52" s="11" t="s">
        <v>588</v>
      </c>
      <c r="BG52" s="7" t="s">
        <v>588</v>
      </c>
      <c r="BH52" s="11" t="s">
        <v>588</v>
      </c>
      <c r="BI52" s="11" t="s">
        <v>588</v>
      </c>
      <c r="BJ52" s="11" t="s">
        <v>588</v>
      </c>
      <c r="BK52" s="11" t="s">
        <v>588</v>
      </c>
      <c r="BL52" s="11" t="s">
        <v>588</v>
      </c>
      <c r="BM52" s="11">
        <v>3</v>
      </c>
      <c r="BN52" s="11">
        <v>3</v>
      </c>
      <c r="BO52" s="11" t="s">
        <v>8</v>
      </c>
      <c r="BP52" s="11">
        <v>1</v>
      </c>
      <c r="BQ52" s="13">
        <v>45002</v>
      </c>
      <c r="BR52" s="11" t="s">
        <v>22</v>
      </c>
      <c r="BS52" s="11" t="s">
        <v>8</v>
      </c>
      <c r="BT52" s="11" t="s">
        <v>9</v>
      </c>
      <c r="BU52" s="11" t="s">
        <v>9</v>
      </c>
      <c r="BV52" s="11" t="s">
        <v>8</v>
      </c>
      <c r="BW52" s="11" t="s">
        <v>9</v>
      </c>
      <c r="BX52" s="11" t="s">
        <v>9</v>
      </c>
      <c r="BY52" s="11" t="s">
        <v>499</v>
      </c>
      <c r="BZ52" s="11" t="s">
        <v>588</v>
      </c>
      <c r="CA52" s="17" t="s">
        <v>588</v>
      </c>
      <c r="CB52" s="11" t="s">
        <v>588</v>
      </c>
      <c r="CC52" s="11" t="s">
        <v>588</v>
      </c>
      <c r="CD52" s="11" t="s">
        <v>588</v>
      </c>
      <c r="CE52" s="11" t="s">
        <v>588</v>
      </c>
      <c r="CF52" s="11" t="s">
        <v>588</v>
      </c>
      <c r="CG52" s="11" t="s">
        <v>588</v>
      </c>
      <c r="CH52" s="11" t="s">
        <v>588</v>
      </c>
      <c r="CI52" s="11" t="s">
        <v>588</v>
      </c>
      <c r="CJ52" s="11" t="s">
        <v>588</v>
      </c>
      <c r="CK52" s="11" t="s">
        <v>588</v>
      </c>
      <c r="CL52" s="11" t="s">
        <v>588</v>
      </c>
      <c r="CM52" s="11" t="s">
        <v>588</v>
      </c>
      <c r="CN52" s="11" t="s">
        <v>588</v>
      </c>
      <c r="CO52" s="11" t="s">
        <v>588</v>
      </c>
      <c r="CP52" s="11" t="s">
        <v>588</v>
      </c>
      <c r="CQ52" s="11" t="s">
        <v>588</v>
      </c>
      <c r="CR52" s="11" t="s">
        <v>588</v>
      </c>
      <c r="CS52" s="11" t="s">
        <v>588</v>
      </c>
      <c r="CT52" s="11" t="s">
        <v>588</v>
      </c>
    </row>
    <row r="53" spans="1:98" x14ac:dyDescent="0.25">
      <c r="A53" s="11">
        <v>202223</v>
      </c>
      <c r="B53" s="11" t="s">
        <v>35</v>
      </c>
      <c r="C53" s="11" t="s">
        <v>35</v>
      </c>
      <c r="D53" s="11" t="s">
        <v>91</v>
      </c>
      <c r="E53" s="11" t="s">
        <v>107</v>
      </c>
      <c r="F53" s="11">
        <v>1</v>
      </c>
      <c r="G53" s="11" t="s">
        <v>886</v>
      </c>
      <c r="H53" s="11" t="s">
        <v>886</v>
      </c>
      <c r="I53" s="13">
        <v>44853</v>
      </c>
      <c r="J53" s="11">
        <v>19</v>
      </c>
      <c r="K53" s="11">
        <v>10</v>
      </c>
      <c r="L53" s="11">
        <v>2022</v>
      </c>
      <c r="M53" s="11" t="s">
        <v>796</v>
      </c>
      <c r="N53" s="11" t="s">
        <v>29</v>
      </c>
      <c r="O53" s="11" t="s">
        <v>51</v>
      </c>
      <c r="P53" s="11" t="s">
        <v>588</v>
      </c>
      <c r="Q53" s="11" t="s">
        <v>588</v>
      </c>
      <c r="R53" s="11">
        <v>-38.67221</v>
      </c>
      <c r="S53" s="11">
        <v>145.63996299999999</v>
      </c>
      <c r="T53" s="11">
        <v>3</v>
      </c>
      <c r="U53" s="11">
        <v>3</v>
      </c>
      <c r="V53" s="11" t="s">
        <v>588</v>
      </c>
      <c r="W53" s="11" t="s">
        <v>588</v>
      </c>
      <c r="X53" s="11">
        <v>9</v>
      </c>
      <c r="Y53" s="11">
        <v>8</v>
      </c>
      <c r="Z53" s="11" t="s">
        <v>8</v>
      </c>
      <c r="AA53" s="13">
        <v>44883</v>
      </c>
      <c r="AB53" s="11">
        <v>18</v>
      </c>
      <c r="AC53" s="11">
        <v>11</v>
      </c>
      <c r="AD53" s="11">
        <v>2022</v>
      </c>
      <c r="AE53" s="13" t="s">
        <v>775</v>
      </c>
      <c r="AF53" s="11" t="s">
        <v>588</v>
      </c>
      <c r="AG53" s="11" t="s">
        <v>588</v>
      </c>
      <c r="AH53" s="11" t="s">
        <v>588</v>
      </c>
      <c r="AI53" s="11" t="s">
        <v>588</v>
      </c>
      <c r="AJ53" s="11" t="s">
        <v>588</v>
      </c>
      <c r="AK53" s="13" t="s">
        <v>588</v>
      </c>
      <c r="AL53" s="11" t="s">
        <v>588</v>
      </c>
      <c r="AM53" s="11" t="s">
        <v>588</v>
      </c>
      <c r="AN53" s="11" t="s">
        <v>588</v>
      </c>
      <c r="AO53" s="11" t="s">
        <v>588</v>
      </c>
      <c r="AP53" s="13">
        <v>44890</v>
      </c>
      <c r="AQ53" s="11" t="s">
        <v>17</v>
      </c>
      <c r="AR53" s="11" t="s">
        <v>195</v>
      </c>
      <c r="AS53" s="11">
        <v>3</v>
      </c>
      <c r="AT53" s="11">
        <v>3</v>
      </c>
      <c r="AU53" s="7">
        <v>44901</v>
      </c>
      <c r="AV53" s="13">
        <v>44914</v>
      </c>
      <c r="AW53" s="11" t="s">
        <v>7</v>
      </c>
      <c r="AX53" s="11" t="s">
        <v>20</v>
      </c>
      <c r="AY53" s="11" t="s">
        <v>588</v>
      </c>
      <c r="AZ53" s="11" t="s">
        <v>20</v>
      </c>
      <c r="BA53" s="7">
        <v>44901</v>
      </c>
      <c r="BB53" s="13">
        <v>44914</v>
      </c>
      <c r="BC53" s="11" t="s">
        <v>7</v>
      </c>
      <c r="BD53" s="11" t="s">
        <v>20</v>
      </c>
      <c r="BE53" s="11" t="s">
        <v>588</v>
      </c>
      <c r="BF53" s="11" t="s">
        <v>20</v>
      </c>
      <c r="BG53" s="7" t="s">
        <v>588</v>
      </c>
      <c r="BH53" s="11" t="s">
        <v>588</v>
      </c>
      <c r="BI53" s="11" t="s">
        <v>588</v>
      </c>
      <c r="BJ53" s="11" t="s">
        <v>588</v>
      </c>
      <c r="BK53" s="11" t="s">
        <v>588</v>
      </c>
      <c r="BL53" s="11" t="s">
        <v>588</v>
      </c>
      <c r="BM53" s="11">
        <v>9</v>
      </c>
      <c r="BN53" s="11">
        <v>9</v>
      </c>
      <c r="BO53" s="11" t="s">
        <v>8</v>
      </c>
      <c r="BP53" s="11">
        <v>1</v>
      </c>
      <c r="BQ53" s="13">
        <v>44935</v>
      </c>
      <c r="BR53" s="11" t="s">
        <v>12</v>
      </c>
      <c r="BS53" s="11" t="s">
        <v>8</v>
      </c>
      <c r="BT53" s="11" t="s">
        <v>9</v>
      </c>
      <c r="BU53" s="11" t="s">
        <v>9</v>
      </c>
      <c r="BV53" s="11" t="s">
        <v>8</v>
      </c>
      <c r="BW53" s="11" t="s">
        <v>9</v>
      </c>
      <c r="BX53" s="11" t="s">
        <v>9</v>
      </c>
      <c r="BY53" s="11" t="s">
        <v>588</v>
      </c>
      <c r="BZ53" s="11" t="s">
        <v>588</v>
      </c>
      <c r="CA53" s="17" t="s">
        <v>588</v>
      </c>
      <c r="CB53" s="11" t="s">
        <v>588</v>
      </c>
      <c r="CC53" s="11" t="s">
        <v>588</v>
      </c>
      <c r="CD53" s="11" t="s">
        <v>588</v>
      </c>
      <c r="CE53" s="11" t="s">
        <v>588</v>
      </c>
      <c r="CF53" s="11" t="s">
        <v>588</v>
      </c>
      <c r="CG53" s="11" t="s">
        <v>588</v>
      </c>
      <c r="CH53" s="11" t="s">
        <v>588</v>
      </c>
      <c r="CI53" s="11" t="s">
        <v>588</v>
      </c>
      <c r="CJ53" s="11" t="s">
        <v>588</v>
      </c>
      <c r="CK53" s="11" t="s">
        <v>588</v>
      </c>
      <c r="CL53" s="11" t="s">
        <v>588</v>
      </c>
      <c r="CM53" s="11" t="s">
        <v>588</v>
      </c>
      <c r="CN53" s="11" t="s">
        <v>588</v>
      </c>
      <c r="CO53" s="11" t="s">
        <v>588</v>
      </c>
      <c r="CP53" s="11" t="s">
        <v>588</v>
      </c>
      <c r="CQ53" s="11" t="s">
        <v>588</v>
      </c>
      <c r="CR53" s="11" t="s">
        <v>588</v>
      </c>
      <c r="CS53" s="11" t="s">
        <v>588</v>
      </c>
      <c r="CT53" s="11" t="s">
        <v>588</v>
      </c>
    </row>
    <row r="54" spans="1:98" x14ac:dyDescent="0.25">
      <c r="A54" s="11">
        <v>202223</v>
      </c>
      <c r="B54" s="11" t="s">
        <v>351</v>
      </c>
      <c r="C54" s="11" t="s">
        <v>351</v>
      </c>
      <c r="D54" s="11" t="s">
        <v>352</v>
      </c>
      <c r="E54" s="11" t="s">
        <v>353</v>
      </c>
      <c r="F54" s="11">
        <v>1</v>
      </c>
      <c r="G54" s="11" t="s">
        <v>500</v>
      </c>
      <c r="H54" s="11" t="s">
        <v>887</v>
      </c>
      <c r="I54" s="13">
        <v>44950</v>
      </c>
      <c r="J54" s="11">
        <v>24</v>
      </c>
      <c r="K54" s="11">
        <v>1</v>
      </c>
      <c r="L54" s="11">
        <v>2023</v>
      </c>
      <c r="M54" s="11" t="s">
        <v>785</v>
      </c>
      <c r="N54" s="11" t="s">
        <v>12</v>
      </c>
      <c r="O54" s="11" t="s">
        <v>10</v>
      </c>
      <c r="P54" s="11">
        <v>-38.601176000000002</v>
      </c>
      <c r="Q54" s="11">
        <v>145.529098</v>
      </c>
      <c r="R54" s="11" t="s">
        <v>588</v>
      </c>
      <c r="S54" s="11" t="s">
        <v>588</v>
      </c>
      <c r="T54" s="11">
        <v>2</v>
      </c>
      <c r="U54" s="11">
        <v>3</v>
      </c>
      <c r="V54" s="11" t="s">
        <v>588</v>
      </c>
      <c r="W54" s="11" t="s">
        <v>588</v>
      </c>
      <c r="X54" s="11">
        <v>2</v>
      </c>
      <c r="Y54" s="11">
        <v>2</v>
      </c>
      <c r="Z54" s="11" t="s">
        <v>41</v>
      </c>
      <c r="AA54" s="13">
        <v>44950</v>
      </c>
      <c r="AB54" s="11">
        <v>24</v>
      </c>
      <c r="AC54" s="11">
        <v>1</v>
      </c>
      <c r="AD54" s="11">
        <v>2023</v>
      </c>
      <c r="AE54" s="13" t="s">
        <v>785</v>
      </c>
      <c r="AF54" s="11" t="s">
        <v>12</v>
      </c>
      <c r="AG54" s="13">
        <v>44970</v>
      </c>
      <c r="AH54" s="11">
        <v>13</v>
      </c>
      <c r="AI54" s="11">
        <v>2</v>
      </c>
      <c r="AJ54" s="11">
        <v>2023</v>
      </c>
      <c r="AK54" s="13" t="s">
        <v>888</v>
      </c>
      <c r="AL54" s="11" t="s">
        <v>21</v>
      </c>
      <c r="AM54" s="11" t="s">
        <v>20</v>
      </c>
      <c r="AN54" s="11" t="s">
        <v>588</v>
      </c>
      <c r="AO54" s="11" t="s">
        <v>20</v>
      </c>
      <c r="AP54" s="11" t="s">
        <v>588</v>
      </c>
      <c r="AQ54" s="11" t="s">
        <v>588</v>
      </c>
      <c r="AR54" s="11" t="s">
        <v>588</v>
      </c>
      <c r="AS54" s="11" t="s">
        <v>588</v>
      </c>
      <c r="AT54" s="11" t="s">
        <v>588</v>
      </c>
      <c r="AU54" s="7" t="s">
        <v>588</v>
      </c>
      <c r="AV54" s="13" t="s">
        <v>588</v>
      </c>
      <c r="AW54" s="11" t="s">
        <v>588</v>
      </c>
      <c r="AX54" s="11" t="s">
        <v>588</v>
      </c>
      <c r="AY54" s="11" t="s">
        <v>588</v>
      </c>
      <c r="AZ54" s="11" t="s">
        <v>588</v>
      </c>
      <c r="BA54" s="7" t="s">
        <v>588</v>
      </c>
      <c r="BB54" s="11" t="s">
        <v>588</v>
      </c>
      <c r="BC54" s="11" t="s">
        <v>588</v>
      </c>
      <c r="BD54" s="11" t="s">
        <v>588</v>
      </c>
      <c r="BE54" s="11" t="s">
        <v>588</v>
      </c>
      <c r="BF54" s="11" t="s">
        <v>588</v>
      </c>
      <c r="BG54" s="7" t="s">
        <v>588</v>
      </c>
      <c r="BH54" s="11" t="s">
        <v>588</v>
      </c>
      <c r="BI54" s="11" t="s">
        <v>588</v>
      </c>
      <c r="BJ54" s="11" t="s">
        <v>588</v>
      </c>
      <c r="BK54" s="11" t="s">
        <v>588</v>
      </c>
      <c r="BL54" s="11" t="s">
        <v>588</v>
      </c>
      <c r="BM54" s="11" t="s">
        <v>588</v>
      </c>
      <c r="BN54" s="11" t="s">
        <v>588</v>
      </c>
      <c r="BO54" s="11" t="s">
        <v>588</v>
      </c>
      <c r="BP54" s="11" t="s">
        <v>588</v>
      </c>
      <c r="BQ54" s="11" t="s">
        <v>588</v>
      </c>
      <c r="BR54" s="11" t="s">
        <v>588</v>
      </c>
      <c r="BS54" s="11" t="s">
        <v>41</v>
      </c>
      <c r="BT54" s="11" t="s">
        <v>588</v>
      </c>
      <c r="BU54" s="11" t="s">
        <v>42</v>
      </c>
      <c r="BV54" s="11" t="s">
        <v>588</v>
      </c>
      <c r="BW54" s="11" t="s">
        <v>588</v>
      </c>
      <c r="BX54" s="11" t="s">
        <v>588</v>
      </c>
      <c r="BY54" s="11" t="s">
        <v>588</v>
      </c>
      <c r="BZ54" s="11" t="s">
        <v>588</v>
      </c>
      <c r="CA54" s="17" t="s">
        <v>588</v>
      </c>
      <c r="CB54" s="11" t="s">
        <v>588</v>
      </c>
      <c r="CC54" s="11" t="s">
        <v>588</v>
      </c>
      <c r="CD54" s="11" t="s">
        <v>588</v>
      </c>
      <c r="CE54" s="11" t="s">
        <v>588</v>
      </c>
      <c r="CF54" s="11" t="s">
        <v>588</v>
      </c>
      <c r="CG54" s="11" t="s">
        <v>588</v>
      </c>
      <c r="CH54" s="11" t="s">
        <v>588</v>
      </c>
      <c r="CI54" s="11" t="s">
        <v>588</v>
      </c>
      <c r="CJ54" s="11" t="s">
        <v>588</v>
      </c>
      <c r="CK54" s="11" t="s">
        <v>588</v>
      </c>
      <c r="CL54" s="11" t="s">
        <v>588</v>
      </c>
      <c r="CM54" s="11" t="s">
        <v>588</v>
      </c>
      <c r="CN54" s="11" t="s">
        <v>588</v>
      </c>
      <c r="CO54" s="11" t="s">
        <v>588</v>
      </c>
      <c r="CP54" s="11" t="s">
        <v>588</v>
      </c>
      <c r="CQ54" s="11" t="s">
        <v>588</v>
      </c>
      <c r="CR54" s="11" t="s">
        <v>588</v>
      </c>
      <c r="CS54" s="11" t="s">
        <v>588</v>
      </c>
      <c r="CT54" s="11" t="s">
        <v>588</v>
      </c>
    </row>
    <row r="55" spans="1:98" x14ac:dyDescent="0.25">
      <c r="A55" s="11">
        <v>202223</v>
      </c>
      <c r="B55" s="11" t="s">
        <v>351</v>
      </c>
      <c r="C55" s="11" t="s">
        <v>351</v>
      </c>
      <c r="D55" s="11" t="s">
        <v>352</v>
      </c>
      <c r="E55" s="11" t="s">
        <v>353</v>
      </c>
      <c r="F55" s="11">
        <v>2</v>
      </c>
      <c r="G55" s="11" t="s">
        <v>501</v>
      </c>
      <c r="H55" s="11" t="s">
        <v>889</v>
      </c>
      <c r="I55" s="13">
        <v>44984</v>
      </c>
      <c r="J55" s="11">
        <v>27</v>
      </c>
      <c r="K55" s="11">
        <v>2</v>
      </c>
      <c r="L55" s="11">
        <v>2023</v>
      </c>
      <c r="M55" s="11" t="s">
        <v>766</v>
      </c>
      <c r="N55" s="11" t="s">
        <v>21</v>
      </c>
      <c r="O55" s="11" t="s">
        <v>10</v>
      </c>
      <c r="P55" s="11">
        <v>-38.601295</v>
      </c>
      <c r="Q55" s="11">
        <v>145.529189</v>
      </c>
      <c r="R55" s="11" t="s">
        <v>588</v>
      </c>
      <c r="S55" s="11" t="s">
        <v>588</v>
      </c>
      <c r="T55" s="11">
        <v>3</v>
      </c>
      <c r="U55" s="11">
        <v>3</v>
      </c>
      <c r="V55" s="11" t="s">
        <v>588</v>
      </c>
      <c r="W55" s="11" t="s">
        <v>588</v>
      </c>
      <c r="X55" s="11">
        <v>3</v>
      </c>
      <c r="Y55" s="11">
        <v>3</v>
      </c>
      <c r="Z55" s="11" t="s">
        <v>41</v>
      </c>
      <c r="AA55" s="13">
        <v>44995</v>
      </c>
      <c r="AB55" s="11">
        <v>10</v>
      </c>
      <c r="AC55" s="11">
        <v>3</v>
      </c>
      <c r="AD55" s="11">
        <v>2023</v>
      </c>
      <c r="AE55" s="13" t="s">
        <v>767</v>
      </c>
      <c r="AF55" s="11" t="s">
        <v>22</v>
      </c>
      <c r="AG55" s="13">
        <v>45002</v>
      </c>
      <c r="AH55" s="11">
        <v>17</v>
      </c>
      <c r="AI55" s="11">
        <v>3</v>
      </c>
      <c r="AJ55" s="11">
        <v>2023</v>
      </c>
      <c r="AK55" s="13" t="s">
        <v>772</v>
      </c>
      <c r="AL55" s="11" t="s">
        <v>22</v>
      </c>
      <c r="AM55" s="11" t="s">
        <v>20</v>
      </c>
      <c r="AN55" s="11" t="s">
        <v>588</v>
      </c>
      <c r="AO55" s="11" t="s">
        <v>32</v>
      </c>
      <c r="AP55" s="11" t="s">
        <v>588</v>
      </c>
      <c r="AQ55" s="11" t="s">
        <v>588</v>
      </c>
      <c r="AR55" s="11" t="s">
        <v>588</v>
      </c>
      <c r="AS55" s="11" t="s">
        <v>588</v>
      </c>
      <c r="AT55" s="11" t="s">
        <v>588</v>
      </c>
      <c r="AU55" s="7" t="s">
        <v>588</v>
      </c>
      <c r="AV55" s="13" t="s">
        <v>588</v>
      </c>
      <c r="AW55" s="11" t="s">
        <v>588</v>
      </c>
      <c r="AX55" s="11" t="s">
        <v>588</v>
      </c>
      <c r="AY55" s="11" t="s">
        <v>588</v>
      </c>
      <c r="AZ55" s="11" t="s">
        <v>588</v>
      </c>
      <c r="BA55" s="7" t="s">
        <v>588</v>
      </c>
      <c r="BB55" s="11" t="s">
        <v>588</v>
      </c>
      <c r="BC55" s="11" t="s">
        <v>588</v>
      </c>
      <c r="BD55" s="11" t="s">
        <v>588</v>
      </c>
      <c r="BE55" s="11" t="s">
        <v>588</v>
      </c>
      <c r="BF55" s="11" t="s">
        <v>588</v>
      </c>
      <c r="BG55" s="7" t="s">
        <v>588</v>
      </c>
      <c r="BH55" s="11" t="s">
        <v>588</v>
      </c>
      <c r="BI55" s="11" t="s">
        <v>588</v>
      </c>
      <c r="BJ55" s="11" t="s">
        <v>588</v>
      </c>
      <c r="BK55" s="11" t="s">
        <v>588</v>
      </c>
      <c r="BL55" s="11" t="s">
        <v>588</v>
      </c>
      <c r="BM55" s="11" t="s">
        <v>588</v>
      </c>
      <c r="BN55" s="11" t="s">
        <v>588</v>
      </c>
      <c r="BO55" s="11" t="s">
        <v>588</v>
      </c>
      <c r="BP55" s="11" t="s">
        <v>588</v>
      </c>
      <c r="BQ55" s="11" t="s">
        <v>588</v>
      </c>
      <c r="BR55" s="11" t="s">
        <v>588</v>
      </c>
      <c r="BS55" s="11" t="s">
        <v>41</v>
      </c>
      <c r="BT55" s="11" t="s">
        <v>588</v>
      </c>
      <c r="BU55" s="11" t="s">
        <v>42</v>
      </c>
      <c r="BV55" s="11" t="s">
        <v>588</v>
      </c>
      <c r="BW55" s="11" t="s">
        <v>588</v>
      </c>
      <c r="BX55" s="11" t="s">
        <v>588</v>
      </c>
      <c r="BY55" s="11" t="s">
        <v>502</v>
      </c>
      <c r="BZ55" s="11" t="s">
        <v>588</v>
      </c>
      <c r="CA55" s="17" t="s">
        <v>588</v>
      </c>
      <c r="CB55" s="11" t="s">
        <v>588</v>
      </c>
      <c r="CC55" s="11" t="s">
        <v>588</v>
      </c>
      <c r="CD55" s="11" t="s">
        <v>588</v>
      </c>
      <c r="CE55" s="11" t="s">
        <v>588</v>
      </c>
      <c r="CF55" s="11" t="s">
        <v>588</v>
      </c>
      <c r="CG55" s="11" t="s">
        <v>588</v>
      </c>
      <c r="CH55" s="11" t="s">
        <v>588</v>
      </c>
      <c r="CI55" s="11" t="s">
        <v>588</v>
      </c>
      <c r="CJ55" s="11" t="s">
        <v>588</v>
      </c>
      <c r="CK55" s="11" t="s">
        <v>588</v>
      </c>
      <c r="CL55" s="11" t="s">
        <v>588</v>
      </c>
      <c r="CM55" s="11" t="s">
        <v>588</v>
      </c>
      <c r="CN55" s="11" t="s">
        <v>588</v>
      </c>
      <c r="CO55" s="11" t="s">
        <v>588</v>
      </c>
      <c r="CP55" s="11" t="s">
        <v>588</v>
      </c>
      <c r="CQ55" s="11" t="s">
        <v>588</v>
      </c>
      <c r="CR55" s="11" t="s">
        <v>588</v>
      </c>
      <c r="CS55" s="11" t="s">
        <v>588</v>
      </c>
      <c r="CT55" s="11" t="s">
        <v>588</v>
      </c>
    </row>
    <row r="56" spans="1:98" x14ac:dyDescent="0.25">
      <c r="A56" s="11">
        <v>202223</v>
      </c>
      <c r="B56" s="11" t="s">
        <v>359</v>
      </c>
      <c r="C56" s="11" t="s">
        <v>359</v>
      </c>
      <c r="D56" s="11" t="s">
        <v>360</v>
      </c>
      <c r="E56" s="11" t="s">
        <v>440</v>
      </c>
      <c r="F56" s="11">
        <v>1</v>
      </c>
      <c r="G56" s="11" t="s">
        <v>503</v>
      </c>
      <c r="H56" s="11" t="s">
        <v>890</v>
      </c>
      <c r="I56" s="13">
        <v>44883</v>
      </c>
      <c r="J56" s="11">
        <v>18</v>
      </c>
      <c r="K56" s="11">
        <v>11</v>
      </c>
      <c r="L56" s="11">
        <v>2022</v>
      </c>
      <c r="M56" s="11" t="s">
        <v>775</v>
      </c>
      <c r="N56" s="11" t="s">
        <v>17</v>
      </c>
      <c r="O56" s="11" t="s">
        <v>51</v>
      </c>
      <c r="P56" s="11">
        <v>-38.590887000000002</v>
      </c>
      <c r="Q56" s="11">
        <v>145.51867799999999</v>
      </c>
      <c r="R56" s="11" t="s">
        <v>588</v>
      </c>
      <c r="S56" s="11" t="s">
        <v>588</v>
      </c>
      <c r="T56" s="11">
        <v>1</v>
      </c>
      <c r="U56" s="11">
        <v>3</v>
      </c>
      <c r="V56" s="11" t="s">
        <v>588</v>
      </c>
      <c r="W56" s="11" t="s">
        <v>588</v>
      </c>
      <c r="X56" s="11">
        <v>2</v>
      </c>
      <c r="Y56" s="11">
        <v>2</v>
      </c>
      <c r="Z56" s="11" t="s">
        <v>41</v>
      </c>
      <c r="AA56" s="13">
        <v>44883</v>
      </c>
      <c r="AB56" s="11">
        <v>18</v>
      </c>
      <c r="AC56" s="11">
        <v>11</v>
      </c>
      <c r="AD56" s="11">
        <v>2022</v>
      </c>
      <c r="AE56" s="13" t="s">
        <v>775</v>
      </c>
      <c r="AF56" s="11" t="s">
        <v>17</v>
      </c>
      <c r="AG56" s="13">
        <v>44890</v>
      </c>
      <c r="AH56" s="11">
        <v>25</v>
      </c>
      <c r="AI56" s="11">
        <v>11</v>
      </c>
      <c r="AJ56" s="11">
        <v>2022</v>
      </c>
      <c r="AK56" s="13" t="s">
        <v>800</v>
      </c>
      <c r="AL56" s="11" t="s">
        <v>17</v>
      </c>
      <c r="AM56" s="11" t="s">
        <v>20</v>
      </c>
      <c r="AN56" s="11" t="s">
        <v>588</v>
      </c>
      <c r="AO56" s="11" t="s">
        <v>11</v>
      </c>
      <c r="AP56" s="11" t="s">
        <v>588</v>
      </c>
      <c r="AQ56" s="11" t="s">
        <v>588</v>
      </c>
      <c r="AR56" s="11" t="s">
        <v>588</v>
      </c>
      <c r="AS56" s="11" t="s">
        <v>588</v>
      </c>
      <c r="AT56" s="11" t="s">
        <v>588</v>
      </c>
      <c r="AU56" s="7" t="s">
        <v>588</v>
      </c>
      <c r="AV56" s="13" t="s">
        <v>588</v>
      </c>
      <c r="AW56" s="11" t="s">
        <v>588</v>
      </c>
      <c r="AX56" s="11" t="s">
        <v>588</v>
      </c>
      <c r="AY56" s="11" t="s">
        <v>588</v>
      </c>
      <c r="AZ56" s="11" t="s">
        <v>588</v>
      </c>
      <c r="BA56" s="7" t="s">
        <v>588</v>
      </c>
      <c r="BB56" s="11" t="s">
        <v>588</v>
      </c>
      <c r="BC56" s="11" t="s">
        <v>588</v>
      </c>
      <c r="BD56" s="11" t="s">
        <v>588</v>
      </c>
      <c r="BE56" s="11" t="s">
        <v>588</v>
      </c>
      <c r="BF56" s="11" t="s">
        <v>588</v>
      </c>
      <c r="BG56" s="7" t="s">
        <v>588</v>
      </c>
      <c r="BH56" s="11" t="s">
        <v>588</v>
      </c>
      <c r="BI56" s="11" t="s">
        <v>588</v>
      </c>
      <c r="BJ56" s="11" t="s">
        <v>588</v>
      </c>
      <c r="BK56" s="11" t="s">
        <v>588</v>
      </c>
      <c r="BL56" s="11" t="s">
        <v>588</v>
      </c>
      <c r="BM56" s="11" t="s">
        <v>588</v>
      </c>
      <c r="BN56" s="11" t="s">
        <v>588</v>
      </c>
      <c r="BO56" s="11" t="s">
        <v>588</v>
      </c>
      <c r="BP56" s="11" t="s">
        <v>588</v>
      </c>
      <c r="BQ56" s="11" t="s">
        <v>588</v>
      </c>
      <c r="BR56" s="11" t="s">
        <v>588</v>
      </c>
      <c r="BS56" s="11" t="s">
        <v>41</v>
      </c>
      <c r="BT56" s="11" t="s">
        <v>588</v>
      </c>
      <c r="BU56" s="11" t="s">
        <v>42</v>
      </c>
      <c r="BV56" s="11" t="s">
        <v>588</v>
      </c>
      <c r="BW56" s="11" t="s">
        <v>588</v>
      </c>
      <c r="BX56" s="11" t="s">
        <v>588</v>
      </c>
      <c r="BY56" s="11" t="s">
        <v>588</v>
      </c>
      <c r="BZ56" s="11" t="s">
        <v>588</v>
      </c>
      <c r="CA56" s="17" t="s">
        <v>588</v>
      </c>
      <c r="CB56" s="11" t="s">
        <v>588</v>
      </c>
      <c r="CC56" s="11" t="s">
        <v>588</v>
      </c>
      <c r="CD56" s="11" t="s">
        <v>588</v>
      </c>
      <c r="CE56" s="11" t="s">
        <v>588</v>
      </c>
      <c r="CF56" s="11" t="s">
        <v>588</v>
      </c>
      <c r="CG56" s="11" t="s">
        <v>588</v>
      </c>
      <c r="CH56" s="11" t="s">
        <v>588</v>
      </c>
      <c r="CI56" s="11" t="s">
        <v>588</v>
      </c>
      <c r="CJ56" s="11" t="s">
        <v>588</v>
      </c>
      <c r="CK56" s="11" t="s">
        <v>588</v>
      </c>
      <c r="CL56" s="11" t="s">
        <v>588</v>
      </c>
      <c r="CM56" s="11" t="s">
        <v>588</v>
      </c>
      <c r="CN56" s="11" t="s">
        <v>588</v>
      </c>
      <c r="CO56" s="11" t="s">
        <v>588</v>
      </c>
      <c r="CP56" s="11" t="s">
        <v>588</v>
      </c>
      <c r="CQ56" s="11" t="s">
        <v>588</v>
      </c>
      <c r="CR56" s="11" t="s">
        <v>588</v>
      </c>
      <c r="CS56" s="11" t="s">
        <v>588</v>
      </c>
      <c r="CT56" s="11" t="s">
        <v>588</v>
      </c>
    </row>
    <row r="57" spans="1:98" x14ac:dyDescent="0.25">
      <c r="A57" s="11">
        <v>202223</v>
      </c>
      <c r="B57" s="11" t="s">
        <v>359</v>
      </c>
      <c r="C57" s="11" t="s">
        <v>359</v>
      </c>
      <c r="D57" s="11" t="s">
        <v>360</v>
      </c>
      <c r="E57" s="11" t="s">
        <v>440</v>
      </c>
      <c r="F57" s="11">
        <v>2</v>
      </c>
      <c r="G57" s="11" t="s">
        <v>504</v>
      </c>
      <c r="H57" s="11" t="s">
        <v>891</v>
      </c>
      <c r="I57" s="13">
        <v>44901</v>
      </c>
      <c r="J57" s="11">
        <v>6</v>
      </c>
      <c r="K57" s="11">
        <v>12</v>
      </c>
      <c r="L57" s="11">
        <v>2022</v>
      </c>
      <c r="M57" s="11" t="s">
        <v>780</v>
      </c>
      <c r="N57" s="11" t="s">
        <v>7</v>
      </c>
      <c r="O57" s="11" t="s">
        <v>36</v>
      </c>
      <c r="P57" s="11">
        <v>-38.590604999999996</v>
      </c>
      <c r="Q57" s="11">
        <v>145.518517</v>
      </c>
      <c r="R57" s="11" t="s">
        <v>588</v>
      </c>
      <c r="S57" s="11" t="s">
        <v>588</v>
      </c>
      <c r="T57" s="11">
        <v>3</v>
      </c>
      <c r="U57" s="11">
        <v>3</v>
      </c>
      <c r="V57" s="11" t="s">
        <v>588</v>
      </c>
      <c r="W57" s="11" t="s">
        <v>588</v>
      </c>
      <c r="X57" s="11">
        <v>6</v>
      </c>
      <c r="Y57" s="11">
        <v>5</v>
      </c>
      <c r="Z57" s="11" t="s">
        <v>8</v>
      </c>
      <c r="AA57" s="13">
        <v>44928</v>
      </c>
      <c r="AB57" s="11">
        <v>2</v>
      </c>
      <c r="AC57" s="11">
        <v>1</v>
      </c>
      <c r="AD57" s="11">
        <v>2023</v>
      </c>
      <c r="AE57" s="13" t="s">
        <v>881</v>
      </c>
      <c r="AF57" s="11" t="s">
        <v>588</v>
      </c>
      <c r="AG57" s="11" t="s">
        <v>588</v>
      </c>
      <c r="AH57" s="11" t="s">
        <v>588</v>
      </c>
      <c r="AI57" s="11" t="s">
        <v>588</v>
      </c>
      <c r="AJ57" s="11" t="s">
        <v>588</v>
      </c>
      <c r="AK57" s="13" t="s">
        <v>588</v>
      </c>
      <c r="AL57" s="11" t="s">
        <v>588</v>
      </c>
      <c r="AM57" s="11" t="s">
        <v>588</v>
      </c>
      <c r="AN57" s="11" t="s">
        <v>588</v>
      </c>
      <c r="AO57" s="11" t="s">
        <v>588</v>
      </c>
      <c r="AP57" s="13">
        <v>44933</v>
      </c>
      <c r="AQ57" s="11" t="s">
        <v>12</v>
      </c>
      <c r="AR57" s="11" t="s">
        <v>195</v>
      </c>
      <c r="AS57" s="11">
        <v>3</v>
      </c>
      <c r="AT57" s="11">
        <v>3</v>
      </c>
      <c r="AU57" s="7">
        <v>44936</v>
      </c>
      <c r="AV57" s="13">
        <v>44942</v>
      </c>
      <c r="AW57" s="11" t="s">
        <v>12</v>
      </c>
      <c r="AX57" s="11" t="s">
        <v>20</v>
      </c>
      <c r="AY57" s="11" t="s">
        <v>588</v>
      </c>
      <c r="AZ57" s="11" t="s">
        <v>20</v>
      </c>
      <c r="BA57" s="7">
        <v>44936</v>
      </c>
      <c r="BB57" s="13">
        <v>44942</v>
      </c>
      <c r="BC57" s="11" t="s">
        <v>12</v>
      </c>
      <c r="BD57" s="11" t="s">
        <v>20</v>
      </c>
      <c r="BE57" s="11" t="s">
        <v>588</v>
      </c>
      <c r="BF57" s="11" t="s">
        <v>20</v>
      </c>
      <c r="BG57" s="7" t="s">
        <v>588</v>
      </c>
      <c r="BH57" s="11" t="s">
        <v>588</v>
      </c>
      <c r="BI57" s="11" t="s">
        <v>588</v>
      </c>
      <c r="BJ57" s="11" t="s">
        <v>588</v>
      </c>
      <c r="BK57" s="11" t="s">
        <v>588</v>
      </c>
      <c r="BL57" s="11" t="s">
        <v>588</v>
      </c>
      <c r="BM57" s="11">
        <v>12</v>
      </c>
      <c r="BN57" s="11">
        <v>12</v>
      </c>
      <c r="BO57" s="11" t="s">
        <v>8</v>
      </c>
      <c r="BP57" s="11">
        <v>1</v>
      </c>
      <c r="BQ57" s="13">
        <v>44970</v>
      </c>
      <c r="BR57" s="11" t="s">
        <v>21</v>
      </c>
      <c r="BS57" s="11" t="s">
        <v>41</v>
      </c>
      <c r="BT57" s="11" t="s">
        <v>588</v>
      </c>
      <c r="BU57" s="11" t="s">
        <v>42</v>
      </c>
      <c r="BV57" s="11" t="s">
        <v>8</v>
      </c>
      <c r="BW57" s="11" t="s">
        <v>13</v>
      </c>
      <c r="BX57" s="11" t="s">
        <v>13</v>
      </c>
      <c r="BY57" s="11" t="s">
        <v>588</v>
      </c>
      <c r="BZ57" s="11" t="s">
        <v>588</v>
      </c>
      <c r="CA57" s="17" t="s">
        <v>588</v>
      </c>
      <c r="CB57" s="11" t="s">
        <v>588</v>
      </c>
      <c r="CC57" s="11" t="s">
        <v>588</v>
      </c>
      <c r="CD57" s="11" t="s">
        <v>588</v>
      </c>
      <c r="CE57" s="11" t="s">
        <v>588</v>
      </c>
      <c r="CF57" s="11" t="s">
        <v>588</v>
      </c>
      <c r="CG57" s="11" t="s">
        <v>588</v>
      </c>
      <c r="CH57" s="11" t="s">
        <v>588</v>
      </c>
      <c r="CI57" s="11" t="s">
        <v>588</v>
      </c>
      <c r="CJ57" s="11" t="s">
        <v>588</v>
      </c>
      <c r="CK57" s="11" t="s">
        <v>588</v>
      </c>
      <c r="CL57" s="11" t="s">
        <v>588</v>
      </c>
      <c r="CM57" s="11" t="s">
        <v>588</v>
      </c>
      <c r="CN57" s="11" t="s">
        <v>588</v>
      </c>
      <c r="CO57" s="11" t="s">
        <v>588</v>
      </c>
      <c r="CP57" s="11" t="s">
        <v>588</v>
      </c>
      <c r="CQ57" s="11" t="s">
        <v>588</v>
      </c>
      <c r="CR57" s="11" t="s">
        <v>588</v>
      </c>
      <c r="CS57" s="11" t="s">
        <v>588</v>
      </c>
      <c r="CT57" s="11" t="s">
        <v>588</v>
      </c>
    </row>
    <row r="58" spans="1:98" x14ac:dyDescent="0.25">
      <c r="A58" s="11">
        <v>202223</v>
      </c>
      <c r="B58" s="11" t="s">
        <v>365</v>
      </c>
      <c r="C58" s="11" t="s">
        <v>365</v>
      </c>
      <c r="D58" s="11" t="s">
        <v>367</v>
      </c>
      <c r="E58" s="11" t="s">
        <v>16</v>
      </c>
      <c r="F58" s="11">
        <v>1</v>
      </c>
      <c r="G58" s="11" t="s">
        <v>505</v>
      </c>
      <c r="H58" s="11" t="s">
        <v>892</v>
      </c>
      <c r="I58" s="13">
        <v>44883</v>
      </c>
      <c r="J58" s="11">
        <v>18</v>
      </c>
      <c r="K58" s="11">
        <v>11</v>
      </c>
      <c r="L58" s="11">
        <v>2022</v>
      </c>
      <c r="M58" s="11" t="s">
        <v>775</v>
      </c>
      <c r="N58" s="11" t="s">
        <v>17</v>
      </c>
      <c r="O58" s="11" t="s">
        <v>10</v>
      </c>
      <c r="P58" s="11">
        <v>-38.593452999999997</v>
      </c>
      <c r="Q58" s="11">
        <v>145.52157800000001</v>
      </c>
      <c r="R58" s="11" t="s">
        <v>588</v>
      </c>
      <c r="S58" s="11" t="s">
        <v>588</v>
      </c>
      <c r="T58" s="11">
        <v>1</v>
      </c>
      <c r="U58" s="11">
        <v>3</v>
      </c>
      <c r="V58" s="11" t="s">
        <v>588</v>
      </c>
      <c r="W58" s="11" t="s">
        <v>588</v>
      </c>
      <c r="X58" s="11">
        <v>2</v>
      </c>
      <c r="Y58" s="11">
        <v>2</v>
      </c>
      <c r="Z58" s="11" t="s">
        <v>41</v>
      </c>
      <c r="AA58" s="13">
        <v>44883</v>
      </c>
      <c r="AB58" s="11">
        <v>18</v>
      </c>
      <c r="AC58" s="11">
        <v>11</v>
      </c>
      <c r="AD58" s="11">
        <v>2022</v>
      </c>
      <c r="AE58" s="13" t="s">
        <v>775</v>
      </c>
      <c r="AF58" s="11" t="s">
        <v>17</v>
      </c>
      <c r="AG58" s="13">
        <v>44890</v>
      </c>
      <c r="AH58" s="11">
        <v>25</v>
      </c>
      <c r="AI58" s="11">
        <v>11</v>
      </c>
      <c r="AJ58" s="11">
        <v>2022</v>
      </c>
      <c r="AK58" s="13" t="s">
        <v>800</v>
      </c>
      <c r="AL58" s="11" t="s">
        <v>17</v>
      </c>
      <c r="AM58" s="11" t="s">
        <v>20</v>
      </c>
      <c r="AN58" s="11" t="s">
        <v>588</v>
      </c>
      <c r="AO58" s="11" t="s">
        <v>11</v>
      </c>
      <c r="AP58" s="11" t="s">
        <v>588</v>
      </c>
      <c r="AQ58" s="11" t="s">
        <v>588</v>
      </c>
      <c r="AR58" s="11" t="s">
        <v>588</v>
      </c>
      <c r="AS58" s="11" t="s">
        <v>588</v>
      </c>
      <c r="AT58" s="11" t="s">
        <v>588</v>
      </c>
      <c r="AU58" s="7" t="s">
        <v>588</v>
      </c>
      <c r="AV58" s="13" t="s">
        <v>588</v>
      </c>
      <c r="AW58" s="11" t="s">
        <v>588</v>
      </c>
      <c r="AX58" s="11" t="s">
        <v>588</v>
      </c>
      <c r="AY58" s="11" t="s">
        <v>588</v>
      </c>
      <c r="AZ58" s="11" t="s">
        <v>588</v>
      </c>
      <c r="BA58" s="7" t="s">
        <v>588</v>
      </c>
      <c r="BB58" s="11" t="s">
        <v>588</v>
      </c>
      <c r="BC58" s="11" t="s">
        <v>588</v>
      </c>
      <c r="BD58" s="11" t="s">
        <v>588</v>
      </c>
      <c r="BE58" s="11" t="s">
        <v>588</v>
      </c>
      <c r="BF58" s="11" t="s">
        <v>588</v>
      </c>
      <c r="BG58" s="7" t="s">
        <v>588</v>
      </c>
      <c r="BH58" s="11" t="s">
        <v>588</v>
      </c>
      <c r="BI58" s="11" t="s">
        <v>588</v>
      </c>
      <c r="BJ58" s="11" t="s">
        <v>588</v>
      </c>
      <c r="BK58" s="11" t="s">
        <v>588</v>
      </c>
      <c r="BL58" s="11" t="s">
        <v>588</v>
      </c>
      <c r="BM58" s="11" t="s">
        <v>588</v>
      </c>
      <c r="BN58" s="11" t="s">
        <v>588</v>
      </c>
      <c r="BO58" s="11" t="s">
        <v>588</v>
      </c>
      <c r="BP58" s="11" t="s">
        <v>588</v>
      </c>
      <c r="BQ58" s="11" t="s">
        <v>588</v>
      </c>
      <c r="BR58" s="11" t="s">
        <v>588</v>
      </c>
      <c r="BS58" s="11" t="s">
        <v>41</v>
      </c>
      <c r="BT58" s="11" t="s">
        <v>588</v>
      </c>
      <c r="BU58" s="11" t="s">
        <v>42</v>
      </c>
      <c r="BV58" s="11" t="s">
        <v>588</v>
      </c>
      <c r="BW58" s="11" t="s">
        <v>588</v>
      </c>
      <c r="BX58" s="11" t="s">
        <v>588</v>
      </c>
      <c r="BY58" s="11" t="s">
        <v>588</v>
      </c>
      <c r="BZ58" s="11" t="s">
        <v>588</v>
      </c>
      <c r="CA58" s="17" t="s">
        <v>588</v>
      </c>
      <c r="CB58" s="11" t="s">
        <v>588</v>
      </c>
      <c r="CC58" s="11" t="s">
        <v>588</v>
      </c>
      <c r="CD58" s="11" t="s">
        <v>588</v>
      </c>
      <c r="CE58" s="11" t="s">
        <v>588</v>
      </c>
      <c r="CF58" s="11" t="s">
        <v>588</v>
      </c>
      <c r="CG58" s="11" t="s">
        <v>588</v>
      </c>
      <c r="CH58" s="11" t="s">
        <v>588</v>
      </c>
      <c r="CI58" s="11" t="s">
        <v>588</v>
      </c>
      <c r="CJ58" s="11" t="s">
        <v>588</v>
      </c>
      <c r="CK58" s="11" t="s">
        <v>588</v>
      </c>
      <c r="CL58" s="11" t="s">
        <v>588</v>
      </c>
      <c r="CM58" s="11" t="s">
        <v>588</v>
      </c>
      <c r="CN58" s="11" t="s">
        <v>588</v>
      </c>
      <c r="CO58" s="11" t="s">
        <v>588</v>
      </c>
      <c r="CP58" s="11" t="s">
        <v>588</v>
      </c>
      <c r="CQ58" s="11" t="s">
        <v>588</v>
      </c>
      <c r="CR58" s="11" t="s">
        <v>588</v>
      </c>
      <c r="CS58" s="11" t="s">
        <v>588</v>
      </c>
      <c r="CT58" s="11" t="s">
        <v>588</v>
      </c>
    </row>
    <row r="59" spans="1:98" x14ac:dyDescent="0.25">
      <c r="A59" s="11">
        <v>202223</v>
      </c>
      <c r="B59" s="11" t="s">
        <v>365</v>
      </c>
      <c r="C59" s="11" t="s">
        <v>365</v>
      </c>
      <c r="D59" s="11" t="s">
        <v>367</v>
      </c>
      <c r="E59" s="11" t="s">
        <v>16</v>
      </c>
      <c r="F59" s="11">
        <v>2</v>
      </c>
      <c r="G59" s="11" t="s">
        <v>506</v>
      </c>
      <c r="H59" s="11" t="s">
        <v>893</v>
      </c>
      <c r="I59" s="13">
        <v>44897</v>
      </c>
      <c r="J59" s="11">
        <v>2</v>
      </c>
      <c r="K59" s="11">
        <v>12</v>
      </c>
      <c r="L59" s="11">
        <v>2022</v>
      </c>
      <c r="M59" s="11" t="s">
        <v>825</v>
      </c>
      <c r="N59" s="11" t="s">
        <v>7</v>
      </c>
      <c r="O59" s="11" t="s">
        <v>10</v>
      </c>
      <c r="P59" s="11">
        <v>-38.594302999999996</v>
      </c>
      <c r="Q59" s="11">
        <v>145.522322</v>
      </c>
      <c r="R59" s="11" t="s">
        <v>588</v>
      </c>
      <c r="S59" s="11" t="s">
        <v>588</v>
      </c>
      <c r="T59" s="11">
        <v>2</v>
      </c>
      <c r="U59" s="11">
        <v>2</v>
      </c>
      <c r="V59" s="11" t="s">
        <v>588</v>
      </c>
      <c r="W59" s="11" t="s">
        <v>588</v>
      </c>
      <c r="X59" s="11">
        <v>4</v>
      </c>
      <c r="Y59" s="11">
        <v>4</v>
      </c>
      <c r="Z59" s="11" t="s">
        <v>41</v>
      </c>
      <c r="AA59" s="13">
        <v>44901</v>
      </c>
      <c r="AB59" s="11">
        <v>6</v>
      </c>
      <c r="AC59" s="11">
        <v>12</v>
      </c>
      <c r="AD59" s="11">
        <v>2022</v>
      </c>
      <c r="AE59" s="13" t="s">
        <v>780</v>
      </c>
      <c r="AF59" s="11" t="s">
        <v>7</v>
      </c>
      <c r="AG59" s="13">
        <v>44914</v>
      </c>
      <c r="AH59" s="11">
        <v>19</v>
      </c>
      <c r="AI59" s="11">
        <v>12</v>
      </c>
      <c r="AJ59" s="11">
        <v>2022</v>
      </c>
      <c r="AK59" s="13" t="s">
        <v>802</v>
      </c>
      <c r="AL59" s="11" t="s">
        <v>7</v>
      </c>
      <c r="AM59" s="11" t="s">
        <v>20</v>
      </c>
      <c r="AN59" s="11" t="s">
        <v>588</v>
      </c>
      <c r="AO59" s="11" t="s">
        <v>20</v>
      </c>
      <c r="AP59" s="11" t="s">
        <v>588</v>
      </c>
      <c r="AQ59" s="11" t="s">
        <v>588</v>
      </c>
      <c r="AR59" s="11" t="s">
        <v>588</v>
      </c>
      <c r="AS59" s="11" t="s">
        <v>588</v>
      </c>
      <c r="AT59" s="11" t="s">
        <v>588</v>
      </c>
      <c r="AU59" s="7" t="s">
        <v>588</v>
      </c>
      <c r="AV59" s="13" t="s">
        <v>588</v>
      </c>
      <c r="AW59" s="11" t="s">
        <v>588</v>
      </c>
      <c r="AX59" s="11" t="s">
        <v>588</v>
      </c>
      <c r="AY59" s="11" t="s">
        <v>588</v>
      </c>
      <c r="AZ59" s="11" t="s">
        <v>588</v>
      </c>
      <c r="BA59" s="7" t="s">
        <v>588</v>
      </c>
      <c r="BB59" s="11" t="s">
        <v>588</v>
      </c>
      <c r="BC59" s="11" t="s">
        <v>588</v>
      </c>
      <c r="BD59" s="11" t="s">
        <v>588</v>
      </c>
      <c r="BE59" s="11" t="s">
        <v>588</v>
      </c>
      <c r="BF59" s="11" t="s">
        <v>588</v>
      </c>
      <c r="BG59" s="7" t="s">
        <v>588</v>
      </c>
      <c r="BH59" s="11" t="s">
        <v>588</v>
      </c>
      <c r="BI59" s="11" t="s">
        <v>588</v>
      </c>
      <c r="BJ59" s="11" t="s">
        <v>588</v>
      </c>
      <c r="BK59" s="11" t="s">
        <v>588</v>
      </c>
      <c r="BL59" s="11" t="s">
        <v>588</v>
      </c>
      <c r="BM59" s="11" t="s">
        <v>588</v>
      </c>
      <c r="BN59" s="11" t="s">
        <v>588</v>
      </c>
      <c r="BO59" s="11" t="s">
        <v>588</v>
      </c>
      <c r="BP59" s="11" t="s">
        <v>588</v>
      </c>
      <c r="BQ59" s="11" t="s">
        <v>588</v>
      </c>
      <c r="BR59" s="11" t="s">
        <v>588</v>
      </c>
      <c r="BS59" s="11" t="s">
        <v>8</v>
      </c>
      <c r="BT59" s="11" t="s">
        <v>9</v>
      </c>
      <c r="BU59" s="11" t="s">
        <v>9</v>
      </c>
      <c r="BV59" s="11" t="s">
        <v>588</v>
      </c>
      <c r="BW59" s="11" t="s">
        <v>588</v>
      </c>
      <c r="BX59" s="11" t="s">
        <v>588</v>
      </c>
      <c r="BY59" s="11" t="s">
        <v>588</v>
      </c>
      <c r="BZ59" s="11" t="s">
        <v>588</v>
      </c>
      <c r="CA59" s="17" t="s">
        <v>588</v>
      </c>
      <c r="CB59" s="11" t="s">
        <v>588</v>
      </c>
      <c r="CC59" s="11" t="s">
        <v>588</v>
      </c>
      <c r="CD59" s="11" t="s">
        <v>588</v>
      </c>
      <c r="CE59" s="11" t="s">
        <v>588</v>
      </c>
      <c r="CF59" s="11" t="s">
        <v>588</v>
      </c>
      <c r="CG59" s="11" t="s">
        <v>588</v>
      </c>
      <c r="CH59" s="11" t="s">
        <v>588</v>
      </c>
      <c r="CI59" s="11" t="s">
        <v>588</v>
      </c>
      <c r="CJ59" s="11" t="s">
        <v>588</v>
      </c>
      <c r="CK59" s="11" t="s">
        <v>588</v>
      </c>
      <c r="CL59" s="11" t="s">
        <v>588</v>
      </c>
      <c r="CM59" s="11" t="s">
        <v>588</v>
      </c>
      <c r="CN59" s="11" t="s">
        <v>588</v>
      </c>
      <c r="CO59" s="11" t="s">
        <v>588</v>
      </c>
      <c r="CP59" s="11" t="s">
        <v>588</v>
      </c>
      <c r="CQ59" s="11" t="s">
        <v>588</v>
      </c>
      <c r="CR59" s="11" t="s">
        <v>588</v>
      </c>
      <c r="CS59" s="11" t="s">
        <v>588</v>
      </c>
      <c r="CT59" s="11" t="s">
        <v>588</v>
      </c>
    </row>
    <row r="60" spans="1:98" x14ac:dyDescent="0.25">
      <c r="A60" s="11">
        <v>202223</v>
      </c>
      <c r="B60" s="11" t="s">
        <v>365</v>
      </c>
      <c r="C60" s="11" t="s">
        <v>365</v>
      </c>
      <c r="D60" s="11" t="s">
        <v>367</v>
      </c>
      <c r="E60" s="11" t="s">
        <v>16</v>
      </c>
      <c r="F60" s="11">
        <v>3</v>
      </c>
      <c r="G60" s="11" t="s">
        <v>507</v>
      </c>
      <c r="H60" s="11" t="s">
        <v>894</v>
      </c>
      <c r="I60" s="13">
        <v>44914</v>
      </c>
      <c r="J60" s="11">
        <v>19</v>
      </c>
      <c r="K60" s="11">
        <v>12</v>
      </c>
      <c r="L60" s="11">
        <v>2022</v>
      </c>
      <c r="M60" s="11" t="s">
        <v>802</v>
      </c>
      <c r="N60" s="11" t="s">
        <v>7</v>
      </c>
      <c r="O60" s="11" t="s">
        <v>10</v>
      </c>
      <c r="P60" s="11">
        <v>-38.594189999999998</v>
      </c>
      <c r="Q60" s="11">
        <v>145.52232799999999</v>
      </c>
      <c r="R60" s="11" t="s">
        <v>588</v>
      </c>
      <c r="S60" s="11" t="s">
        <v>588</v>
      </c>
      <c r="T60" s="11">
        <v>1</v>
      </c>
      <c r="U60" s="11">
        <v>1</v>
      </c>
      <c r="V60" s="11" t="s">
        <v>588</v>
      </c>
      <c r="W60" s="11" t="s">
        <v>588</v>
      </c>
      <c r="X60" s="11">
        <v>5</v>
      </c>
      <c r="Y60" s="11">
        <v>4</v>
      </c>
      <c r="Z60" s="11" t="s">
        <v>41</v>
      </c>
      <c r="AA60" s="13">
        <v>44925</v>
      </c>
      <c r="AB60" s="11">
        <v>30</v>
      </c>
      <c r="AC60" s="11">
        <v>12</v>
      </c>
      <c r="AD60" s="11">
        <v>2022</v>
      </c>
      <c r="AE60" s="13" t="s">
        <v>787</v>
      </c>
      <c r="AF60" s="11" t="s">
        <v>7</v>
      </c>
      <c r="AG60" s="13">
        <v>44928</v>
      </c>
      <c r="AH60" s="11">
        <v>2</v>
      </c>
      <c r="AI60" s="11">
        <v>1</v>
      </c>
      <c r="AJ60" s="11">
        <v>2023</v>
      </c>
      <c r="AK60" s="13" t="s">
        <v>881</v>
      </c>
      <c r="AL60" s="11" t="s">
        <v>12</v>
      </c>
      <c r="AM60" s="11" t="s">
        <v>20</v>
      </c>
      <c r="AN60" s="11" t="s">
        <v>588</v>
      </c>
      <c r="AO60" s="11" t="s">
        <v>48</v>
      </c>
      <c r="AP60" s="11" t="s">
        <v>588</v>
      </c>
      <c r="AQ60" s="11" t="s">
        <v>588</v>
      </c>
      <c r="AR60" s="11" t="s">
        <v>588</v>
      </c>
      <c r="AS60" s="11" t="s">
        <v>588</v>
      </c>
      <c r="AT60" s="11" t="s">
        <v>588</v>
      </c>
      <c r="AU60" s="7" t="s">
        <v>588</v>
      </c>
      <c r="AV60" s="13" t="s">
        <v>588</v>
      </c>
      <c r="AW60" s="11" t="s">
        <v>588</v>
      </c>
      <c r="AX60" s="11" t="s">
        <v>588</v>
      </c>
      <c r="AY60" s="11" t="s">
        <v>588</v>
      </c>
      <c r="AZ60" s="11" t="s">
        <v>588</v>
      </c>
      <c r="BA60" s="7" t="s">
        <v>588</v>
      </c>
      <c r="BB60" s="11" t="s">
        <v>588</v>
      </c>
      <c r="BC60" s="11" t="s">
        <v>588</v>
      </c>
      <c r="BD60" s="11" t="s">
        <v>588</v>
      </c>
      <c r="BE60" s="11" t="s">
        <v>588</v>
      </c>
      <c r="BF60" s="11" t="s">
        <v>588</v>
      </c>
      <c r="BG60" s="7" t="s">
        <v>588</v>
      </c>
      <c r="BH60" s="11" t="s">
        <v>588</v>
      </c>
      <c r="BI60" s="11" t="s">
        <v>588</v>
      </c>
      <c r="BJ60" s="11" t="s">
        <v>588</v>
      </c>
      <c r="BK60" s="11" t="s">
        <v>588</v>
      </c>
      <c r="BL60" s="11" t="s">
        <v>588</v>
      </c>
      <c r="BM60" s="11" t="s">
        <v>588</v>
      </c>
      <c r="BN60" s="11" t="s">
        <v>588</v>
      </c>
      <c r="BO60" s="11" t="s">
        <v>588</v>
      </c>
      <c r="BP60" s="11" t="s">
        <v>588</v>
      </c>
      <c r="BQ60" s="11" t="s">
        <v>588</v>
      </c>
      <c r="BR60" s="11" t="s">
        <v>588</v>
      </c>
      <c r="BS60" s="11" t="s">
        <v>8</v>
      </c>
      <c r="BT60" s="11" t="s">
        <v>9</v>
      </c>
      <c r="BU60" s="11" t="s">
        <v>9</v>
      </c>
      <c r="BV60" s="11" t="s">
        <v>588</v>
      </c>
      <c r="BW60" s="11" t="s">
        <v>588</v>
      </c>
      <c r="BX60" s="11" t="s">
        <v>588</v>
      </c>
      <c r="BY60" s="11" t="s">
        <v>588</v>
      </c>
      <c r="BZ60" s="11" t="s">
        <v>588</v>
      </c>
      <c r="CA60" s="17" t="s">
        <v>588</v>
      </c>
      <c r="CB60" s="11" t="s">
        <v>588</v>
      </c>
      <c r="CC60" s="11" t="s">
        <v>588</v>
      </c>
      <c r="CD60" s="11" t="s">
        <v>588</v>
      </c>
      <c r="CE60" s="11" t="s">
        <v>588</v>
      </c>
      <c r="CF60" s="11" t="s">
        <v>588</v>
      </c>
      <c r="CG60" s="11" t="s">
        <v>588</v>
      </c>
      <c r="CH60" s="11" t="s">
        <v>588</v>
      </c>
      <c r="CI60" s="11" t="s">
        <v>588</v>
      </c>
      <c r="CJ60" s="11" t="s">
        <v>588</v>
      </c>
      <c r="CK60" s="11" t="s">
        <v>588</v>
      </c>
      <c r="CL60" s="11" t="s">
        <v>588</v>
      </c>
      <c r="CM60" s="11" t="s">
        <v>588</v>
      </c>
      <c r="CN60" s="11" t="s">
        <v>588</v>
      </c>
      <c r="CO60" s="11" t="s">
        <v>588</v>
      </c>
      <c r="CP60" s="11" t="s">
        <v>588</v>
      </c>
      <c r="CQ60" s="11" t="s">
        <v>588</v>
      </c>
      <c r="CR60" s="11" t="s">
        <v>588</v>
      </c>
      <c r="CS60" s="11" t="s">
        <v>588</v>
      </c>
      <c r="CT60" s="11" t="s">
        <v>588</v>
      </c>
    </row>
    <row r="61" spans="1:98" x14ac:dyDescent="0.25">
      <c r="A61" s="11">
        <v>202223</v>
      </c>
      <c r="B61" s="11" t="s">
        <v>365</v>
      </c>
      <c r="C61" s="11" t="s">
        <v>365</v>
      </c>
      <c r="D61" s="11" t="s">
        <v>367</v>
      </c>
      <c r="E61" s="11" t="s">
        <v>16</v>
      </c>
      <c r="F61" s="11">
        <v>4</v>
      </c>
      <c r="G61" s="11" t="s">
        <v>508</v>
      </c>
      <c r="H61" s="11" t="s">
        <v>895</v>
      </c>
      <c r="I61" s="13">
        <v>44942</v>
      </c>
      <c r="J61" s="11">
        <v>16</v>
      </c>
      <c r="K61" s="11">
        <v>1</v>
      </c>
      <c r="L61" s="11">
        <v>2023</v>
      </c>
      <c r="M61" s="11" t="s">
        <v>816</v>
      </c>
      <c r="N61" s="11" t="s">
        <v>12</v>
      </c>
      <c r="O61" s="11" t="s">
        <v>10</v>
      </c>
      <c r="P61" s="11">
        <v>-38.593483999999997</v>
      </c>
      <c r="Q61" s="11">
        <v>145.52165099999999</v>
      </c>
      <c r="R61" s="11" t="s">
        <v>588</v>
      </c>
      <c r="S61" s="11" t="s">
        <v>588</v>
      </c>
      <c r="T61" s="11">
        <v>3</v>
      </c>
      <c r="U61" s="11">
        <v>3</v>
      </c>
      <c r="V61" s="11" t="s">
        <v>588</v>
      </c>
      <c r="W61" s="11" t="s">
        <v>588</v>
      </c>
      <c r="X61" s="11">
        <v>9</v>
      </c>
      <c r="Y61" s="11">
        <v>8</v>
      </c>
      <c r="Z61" s="11" t="s">
        <v>8</v>
      </c>
      <c r="AA61" s="13">
        <v>44967</v>
      </c>
      <c r="AB61" s="11">
        <v>10</v>
      </c>
      <c r="AC61" s="11">
        <v>2</v>
      </c>
      <c r="AD61" s="11">
        <v>2023</v>
      </c>
      <c r="AE61" s="13" t="s">
        <v>896</v>
      </c>
      <c r="AF61" s="11" t="s">
        <v>588</v>
      </c>
      <c r="AG61" s="11" t="s">
        <v>588</v>
      </c>
      <c r="AH61" s="11" t="s">
        <v>588</v>
      </c>
      <c r="AI61" s="11" t="s">
        <v>588</v>
      </c>
      <c r="AJ61" s="11" t="s">
        <v>588</v>
      </c>
      <c r="AK61" s="13" t="s">
        <v>588</v>
      </c>
      <c r="AL61" s="11" t="s">
        <v>588</v>
      </c>
      <c r="AM61" s="11" t="s">
        <v>588</v>
      </c>
      <c r="AN61" s="11" t="s">
        <v>588</v>
      </c>
      <c r="AO61" s="11" t="s">
        <v>588</v>
      </c>
      <c r="AP61" s="13">
        <v>44975</v>
      </c>
      <c r="AQ61" s="11" t="s">
        <v>21</v>
      </c>
      <c r="AR61" s="11" t="s">
        <v>195</v>
      </c>
      <c r="AS61" s="11">
        <v>3</v>
      </c>
      <c r="AT61" s="11">
        <v>3</v>
      </c>
      <c r="AU61" s="7" t="s">
        <v>588</v>
      </c>
      <c r="AV61" s="13" t="s">
        <v>588</v>
      </c>
      <c r="AW61" s="11" t="s">
        <v>588</v>
      </c>
      <c r="AX61" s="11" t="s">
        <v>588</v>
      </c>
      <c r="AY61" s="11" t="s">
        <v>588</v>
      </c>
      <c r="AZ61" s="11" t="s">
        <v>588</v>
      </c>
      <c r="BA61" s="7" t="s">
        <v>588</v>
      </c>
      <c r="BB61" s="11" t="s">
        <v>588</v>
      </c>
      <c r="BC61" s="11" t="s">
        <v>588</v>
      </c>
      <c r="BD61" s="11" t="s">
        <v>588</v>
      </c>
      <c r="BE61" s="11" t="s">
        <v>588</v>
      </c>
      <c r="BF61" s="11" t="s">
        <v>588</v>
      </c>
      <c r="BG61" s="7" t="s">
        <v>588</v>
      </c>
      <c r="BH61" s="11" t="s">
        <v>588</v>
      </c>
      <c r="BI61" s="11" t="s">
        <v>588</v>
      </c>
      <c r="BJ61" s="11" t="s">
        <v>588</v>
      </c>
      <c r="BK61" s="11" t="s">
        <v>588</v>
      </c>
      <c r="BL61" s="11" t="s">
        <v>588</v>
      </c>
      <c r="BM61" s="11">
        <v>12</v>
      </c>
      <c r="BN61" s="11">
        <v>11</v>
      </c>
      <c r="BO61" s="11" t="s">
        <v>8</v>
      </c>
      <c r="BP61" s="11">
        <v>3</v>
      </c>
      <c r="BQ61" s="13">
        <v>45005</v>
      </c>
      <c r="BR61" s="11" t="s">
        <v>22</v>
      </c>
      <c r="BS61" s="11" t="s">
        <v>8</v>
      </c>
      <c r="BT61" s="11" t="s">
        <v>9</v>
      </c>
      <c r="BU61" s="11" t="s">
        <v>9</v>
      </c>
      <c r="BV61" s="11" t="s">
        <v>8</v>
      </c>
      <c r="BW61" s="11" t="s">
        <v>9</v>
      </c>
      <c r="BX61" s="11" t="s">
        <v>9</v>
      </c>
      <c r="BY61" s="11" t="s">
        <v>588</v>
      </c>
      <c r="BZ61" s="17" t="s">
        <v>225</v>
      </c>
      <c r="CA61" s="17" t="s">
        <v>588</v>
      </c>
      <c r="CB61" s="11" t="s">
        <v>588</v>
      </c>
      <c r="CC61" s="11" t="s">
        <v>588</v>
      </c>
      <c r="CD61" s="11" t="s">
        <v>588</v>
      </c>
      <c r="CE61" s="11" t="s">
        <v>588</v>
      </c>
      <c r="CF61" s="11" t="s">
        <v>588</v>
      </c>
      <c r="CG61" s="11" t="s">
        <v>588</v>
      </c>
      <c r="CH61" s="11" t="s">
        <v>588</v>
      </c>
      <c r="CI61" s="11" t="s">
        <v>588</v>
      </c>
      <c r="CJ61" s="11" t="s">
        <v>588</v>
      </c>
      <c r="CK61" s="11" t="s">
        <v>588</v>
      </c>
      <c r="CL61" s="11" t="s">
        <v>588</v>
      </c>
      <c r="CM61" s="11" t="s">
        <v>588</v>
      </c>
      <c r="CN61" s="11" t="s">
        <v>588</v>
      </c>
      <c r="CO61" s="11" t="s">
        <v>588</v>
      </c>
      <c r="CP61" s="11" t="s">
        <v>588</v>
      </c>
      <c r="CQ61" s="11" t="s">
        <v>588</v>
      </c>
      <c r="CR61" s="11" t="s">
        <v>588</v>
      </c>
      <c r="CS61" s="11" t="s">
        <v>588</v>
      </c>
      <c r="CT61" s="11" t="s">
        <v>588</v>
      </c>
    </row>
    <row r="62" spans="1:98" x14ac:dyDescent="0.25">
      <c r="A62" s="11">
        <v>202223</v>
      </c>
      <c r="B62" s="11" t="s">
        <v>43</v>
      </c>
      <c r="C62" s="11" t="s">
        <v>43</v>
      </c>
      <c r="D62" s="11" t="s">
        <v>108</v>
      </c>
      <c r="E62" s="11" t="s">
        <v>109</v>
      </c>
      <c r="F62" s="11">
        <v>1</v>
      </c>
      <c r="G62" s="11" t="s">
        <v>897</v>
      </c>
      <c r="H62" s="11" t="s">
        <v>897</v>
      </c>
      <c r="I62" s="13">
        <v>44896</v>
      </c>
      <c r="J62" s="11">
        <v>1</v>
      </c>
      <c r="K62" s="11">
        <v>12</v>
      </c>
      <c r="L62" s="11">
        <v>2022</v>
      </c>
      <c r="M62" s="11" t="s">
        <v>807</v>
      </c>
      <c r="N62" s="11" t="s">
        <v>7</v>
      </c>
      <c r="O62" s="11" t="s">
        <v>51</v>
      </c>
      <c r="P62" s="11">
        <v>-38.667999999999999</v>
      </c>
      <c r="Q62" s="11">
        <v>145.589</v>
      </c>
      <c r="R62" s="11" t="s">
        <v>588</v>
      </c>
      <c r="S62" s="11" t="s">
        <v>588</v>
      </c>
      <c r="T62" s="11">
        <v>2</v>
      </c>
      <c r="U62" s="11">
        <v>3</v>
      </c>
      <c r="V62" s="11" t="s">
        <v>588</v>
      </c>
      <c r="W62" s="11" t="s">
        <v>588</v>
      </c>
      <c r="X62" s="11">
        <v>4</v>
      </c>
      <c r="Y62" s="11">
        <v>4</v>
      </c>
      <c r="Z62" s="11" t="s">
        <v>41</v>
      </c>
      <c r="AA62" s="13">
        <v>44906</v>
      </c>
      <c r="AB62" s="11">
        <v>11</v>
      </c>
      <c r="AC62" s="11">
        <v>12</v>
      </c>
      <c r="AD62" s="11">
        <v>2022</v>
      </c>
      <c r="AE62" s="13" t="s">
        <v>898</v>
      </c>
      <c r="AF62" s="11" t="s">
        <v>7</v>
      </c>
      <c r="AG62" s="13">
        <v>44914</v>
      </c>
      <c r="AH62" s="11">
        <v>19</v>
      </c>
      <c r="AI62" s="11">
        <v>12</v>
      </c>
      <c r="AJ62" s="11">
        <v>2022</v>
      </c>
      <c r="AK62" s="13" t="s">
        <v>802</v>
      </c>
      <c r="AL62" s="11" t="s">
        <v>7</v>
      </c>
      <c r="AM62" s="11" t="s">
        <v>20</v>
      </c>
      <c r="AN62" s="11" t="s">
        <v>588</v>
      </c>
      <c r="AO62" s="11" t="s">
        <v>20</v>
      </c>
      <c r="AP62" s="11" t="s">
        <v>588</v>
      </c>
      <c r="AQ62" s="11" t="s">
        <v>588</v>
      </c>
      <c r="AR62" s="11" t="s">
        <v>588</v>
      </c>
      <c r="AS62" s="11" t="s">
        <v>588</v>
      </c>
      <c r="AT62" s="11" t="s">
        <v>588</v>
      </c>
      <c r="AU62" s="7" t="s">
        <v>588</v>
      </c>
      <c r="AV62" s="11" t="s">
        <v>588</v>
      </c>
      <c r="AW62" s="11" t="s">
        <v>588</v>
      </c>
      <c r="AX62" s="11" t="s">
        <v>588</v>
      </c>
      <c r="AY62" s="11" t="s">
        <v>588</v>
      </c>
      <c r="AZ62" s="11" t="s">
        <v>588</v>
      </c>
      <c r="BA62" s="7" t="s">
        <v>588</v>
      </c>
      <c r="BB62" s="11" t="s">
        <v>588</v>
      </c>
      <c r="BC62" s="11" t="s">
        <v>588</v>
      </c>
      <c r="BD62" s="11" t="s">
        <v>588</v>
      </c>
      <c r="BE62" s="11" t="s">
        <v>588</v>
      </c>
      <c r="BF62" s="11" t="s">
        <v>588</v>
      </c>
      <c r="BG62" s="7" t="s">
        <v>588</v>
      </c>
      <c r="BH62" s="11" t="s">
        <v>588</v>
      </c>
      <c r="BI62" s="11" t="s">
        <v>588</v>
      </c>
      <c r="BJ62" s="11" t="s">
        <v>588</v>
      </c>
      <c r="BK62" s="11" t="s">
        <v>588</v>
      </c>
      <c r="BL62" s="11" t="s">
        <v>588</v>
      </c>
      <c r="BM62" s="11" t="s">
        <v>588</v>
      </c>
      <c r="BN62" s="11" t="s">
        <v>588</v>
      </c>
      <c r="BO62" s="11" t="s">
        <v>588</v>
      </c>
      <c r="BP62" s="11" t="s">
        <v>588</v>
      </c>
      <c r="BQ62" s="11" t="s">
        <v>588</v>
      </c>
      <c r="BR62" s="11" t="s">
        <v>588</v>
      </c>
      <c r="BS62" s="11" t="s">
        <v>41</v>
      </c>
      <c r="BT62" s="11" t="s">
        <v>588</v>
      </c>
      <c r="BU62" s="11" t="s">
        <v>42</v>
      </c>
      <c r="BV62" s="11" t="s">
        <v>8</v>
      </c>
      <c r="BW62" s="11" t="s">
        <v>588</v>
      </c>
      <c r="BX62" s="11" t="s">
        <v>588</v>
      </c>
      <c r="BY62" s="11" t="s">
        <v>588</v>
      </c>
      <c r="BZ62" s="11" t="s">
        <v>588</v>
      </c>
      <c r="CA62" s="17" t="s">
        <v>588</v>
      </c>
      <c r="CB62" s="11" t="s">
        <v>588</v>
      </c>
      <c r="CC62" s="11" t="s">
        <v>588</v>
      </c>
      <c r="CD62" s="11" t="s">
        <v>588</v>
      </c>
      <c r="CE62" s="11" t="s">
        <v>588</v>
      </c>
      <c r="CF62" s="11" t="s">
        <v>588</v>
      </c>
      <c r="CG62" s="11" t="s">
        <v>588</v>
      </c>
      <c r="CH62" s="11" t="s">
        <v>588</v>
      </c>
      <c r="CI62" s="11" t="s">
        <v>588</v>
      </c>
      <c r="CJ62" s="11" t="s">
        <v>588</v>
      </c>
      <c r="CK62" s="11" t="s">
        <v>588</v>
      </c>
      <c r="CL62" s="11" t="s">
        <v>588</v>
      </c>
      <c r="CM62" s="11" t="s">
        <v>588</v>
      </c>
      <c r="CN62" s="11" t="s">
        <v>588</v>
      </c>
      <c r="CO62" s="11" t="s">
        <v>588</v>
      </c>
      <c r="CP62" s="11" t="s">
        <v>588</v>
      </c>
      <c r="CQ62" s="11" t="s">
        <v>588</v>
      </c>
      <c r="CR62" s="11" t="s">
        <v>588</v>
      </c>
      <c r="CS62" s="11" t="s">
        <v>588</v>
      </c>
      <c r="CT62" s="11" t="s">
        <v>588</v>
      </c>
    </row>
    <row r="63" spans="1:98" x14ac:dyDescent="0.25">
      <c r="A63" s="11">
        <v>202223</v>
      </c>
      <c r="B63" s="11" t="s">
        <v>43</v>
      </c>
      <c r="C63" s="11" t="s">
        <v>43</v>
      </c>
      <c r="D63" s="11" t="s">
        <v>108</v>
      </c>
      <c r="E63" s="11" t="s">
        <v>109</v>
      </c>
      <c r="F63" s="11">
        <v>2</v>
      </c>
      <c r="G63" s="11" t="s">
        <v>899</v>
      </c>
      <c r="H63" s="11" t="s">
        <v>899</v>
      </c>
      <c r="I63" s="13">
        <v>44943</v>
      </c>
      <c r="J63" s="11">
        <v>17</v>
      </c>
      <c r="K63" s="11">
        <v>1</v>
      </c>
      <c r="L63" s="11">
        <v>2023</v>
      </c>
      <c r="M63" s="11" t="s">
        <v>858</v>
      </c>
      <c r="N63" s="11" t="s">
        <v>12</v>
      </c>
      <c r="O63" s="11" t="s">
        <v>10</v>
      </c>
      <c r="P63" s="11" t="s">
        <v>588</v>
      </c>
      <c r="Q63" s="11" t="s">
        <v>588</v>
      </c>
      <c r="R63" s="11">
        <v>-38.668241000000002</v>
      </c>
      <c r="S63" s="11">
        <v>145.58920000000001</v>
      </c>
      <c r="T63" s="11">
        <v>2</v>
      </c>
      <c r="U63" s="11">
        <v>2</v>
      </c>
      <c r="V63" s="11" t="s">
        <v>588</v>
      </c>
      <c r="W63" s="11" t="s">
        <v>588</v>
      </c>
      <c r="X63" s="11">
        <v>12</v>
      </c>
      <c r="Y63" s="11">
        <v>11</v>
      </c>
      <c r="Z63" s="11" t="s">
        <v>8</v>
      </c>
      <c r="AA63" s="13">
        <v>44962</v>
      </c>
      <c r="AB63" s="11">
        <v>5</v>
      </c>
      <c r="AC63" s="11">
        <v>2</v>
      </c>
      <c r="AD63" s="11">
        <v>2023</v>
      </c>
      <c r="AE63" s="13" t="s">
        <v>900</v>
      </c>
      <c r="AF63" s="11" t="s">
        <v>588</v>
      </c>
      <c r="AG63" s="11" t="s">
        <v>588</v>
      </c>
      <c r="AH63" s="11" t="s">
        <v>588</v>
      </c>
      <c r="AI63" s="11" t="s">
        <v>588</v>
      </c>
      <c r="AJ63" s="11" t="s">
        <v>588</v>
      </c>
      <c r="AK63" s="13" t="s">
        <v>588</v>
      </c>
      <c r="AL63" s="11" t="s">
        <v>588</v>
      </c>
      <c r="AM63" s="11" t="s">
        <v>588</v>
      </c>
      <c r="AN63" s="11" t="s">
        <v>588</v>
      </c>
      <c r="AO63" s="11" t="s">
        <v>588</v>
      </c>
      <c r="AP63" s="13">
        <v>44965</v>
      </c>
      <c r="AQ63" s="11" t="s">
        <v>21</v>
      </c>
      <c r="AR63" s="11" t="s">
        <v>195</v>
      </c>
      <c r="AS63" s="11">
        <v>2</v>
      </c>
      <c r="AT63" s="11">
        <v>2</v>
      </c>
      <c r="AU63" s="7">
        <v>44965</v>
      </c>
      <c r="AV63" s="13">
        <v>44967</v>
      </c>
      <c r="AW63" s="11" t="s">
        <v>21</v>
      </c>
      <c r="AX63" s="11" t="s">
        <v>20</v>
      </c>
      <c r="AY63" s="11" t="s">
        <v>588</v>
      </c>
      <c r="AZ63" s="11" t="s">
        <v>20</v>
      </c>
      <c r="BA63" s="7" t="s">
        <v>588</v>
      </c>
      <c r="BB63" s="11" t="s">
        <v>588</v>
      </c>
      <c r="BC63" s="11" t="s">
        <v>588</v>
      </c>
      <c r="BD63" s="11" t="s">
        <v>588</v>
      </c>
      <c r="BE63" s="11" t="s">
        <v>588</v>
      </c>
      <c r="BF63" s="11" t="s">
        <v>588</v>
      </c>
      <c r="BG63" s="7" t="s">
        <v>588</v>
      </c>
      <c r="BH63" s="11" t="s">
        <v>588</v>
      </c>
      <c r="BI63" s="11" t="s">
        <v>588</v>
      </c>
      <c r="BJ63" s="11" t="s">
        <v>588</v>
      </c>
      <c r="BK63" s="11" t="s">
        <v>588</v>
      </c>
      <c r="BL63" s="11" t="s">
        <v>588</v>
      </c>
      <c r="BM63" s="11">
        <v>17</v>
      </c>
      <c r="BN63" s="11">
        <v>16</v>
      </c>
      <c r="BO63" s="11" t="s">
        <v>8</v>
      </c>
      <c r="BP63" s="11">
        <v>1</v>
      </c>
      <c r="BQ63" s="13">
        <v>44998</v>
      </c>
      <c r="BR63" s="11" t="s">
        <v>22</v>
      </c>
      <c r="BS63" s="11" t="s">
        <v>8</v>
      </c>
      <c r="BT63" s="11" t="s">
        <v>9</v>
      </c>
      <c r="BU63" s="11" t="s">
        <v>9</v>
      </c>
      <c r="BV63" s="11" t="s">
        <v>8</v>
      </c>
      <c r="BW63" s="11" t="s">
        <v>96</v>
      </c>
      <c r="BX63" s="11" t="s">
        <v>96</v>
      </c>
      <c r="BY63" s="11" t="s">
        <v>588</v>
      </c>
      <c r="BZ63" s="17" t="s">
        <v>225</v>
      </c>
      <c r="CA63" s="17" t="s">
        <v>588</v>
      </c>
      <c r="CB63" s="11" t="s">
        <v>588</v>
      </c>
      <c r="CC63" s="11" t="s">
        <v>588</v>
      </c>
      <c r="CD63" s="11" t="s">
        <v>588</v>
      </c>
      <c r="CE63" s="11" t="s">
        <v>588</v>
      </c>
      <c r="CF63" s="11" t="s">
        <v>588</v>
      </c>
      <c r="CG63" s="11" t="s">
        <v>588</v>
      </c>
      <c r="CH63" s="11" t="s">
        <v>588</v>
      </c>
      <c r="CI63" s="11" t="s">
        <v>588</v>
      </c>
      <c r="CJ63" s="11" t="s">
        <v>588</v>
      </c>
      <c r="CK63" s="11" t="s">
        <v>588</v>
      </c>
      <c r="CL63" s="11" t="s">
        <v>588</v>
      </c>
      <c r="CM63" s="11" t="s">
        <v>588</v>
      </c>
      <c r="CN63" s="11" t="s">
        <v>588</v>
      </c>
      <c r="CO63" s="11" t="s">
        <v>588</v>
      </c>
      <c r="CP63" s="11" t="s">
        <v>588</v>
      </c>
      <c r="CQ63" s="11" t="s">
        <v>588</v>
      </c>
      <c r="CR63" s="11" t="s">
        <v>588</v>
      </c>
      <c r="CS63" s="11" t="s">
        <v>588</v>
      </c>
      <c r="CT63" s="11" t="s">
        <v>588</v>
      </c>
    </row>
    <row r="64" spans="1:98" x14ac:dyDescent="0.25">
      <c r="A64" s="11">
        <v>202223</v>
      </c>
      <c r="B64" s="11" t="s">
        <v>111</v>
      </c>
      <c r="C64" s="11" t="s">
        <v>54</v>
      </c>
      <c r="D64" s="11" t="s">
        <v>99</v>
      </c>
      <c r="E64" s="11" t="s">
        <v>16</v>
      </c>
      <c r="F64" s="11">
        <v>1</v>
      </c>
      <c r="G64" s="11" t="s">
        <v>226</v>
      </c>
      <c r="H64" s="11" t="s">
        <v>910</v>
      </c>
      <c r="I64" s="13">
        <v>44925</v>
      </c>
      <c r="J64" s="11">
        <v>30</v>
      </c>
      <c r="K64" s="11">
        <v>12</v>
      </c>
      <c r="L64" s="11">
        <v>2022</v>
      </c>
      <c r="M64" s="11" t="s">
        <v>787</v>
      </c>
      <c r="N64" s="11" t="s">
        <v>7</v>
      </c>
      <c r="O64" s="11" t="s">
        <v>51</v>
      </c>
      <c r="P64" s="11" t="s">
        <v>588</v>
      </c>
      <c r="Q64" s="11" t="s">
        <v>588</v>
      </c>
      <c r="R64" s="11">
        <v>-38.672763000000003</v>
      </c>
      <c r="S64" s="11">
        <v>145.599054</v>
      </c>
      <c r="T64" s="11">
        <v>3</v>
      </c>
      <c r="U64" s="11">
        <v>3</v>
      </c>
      <c r="V64" s="13">
        <v>44915</v>
      </c>
      <c r="W64" s="11" t="s">
        <v>219</v>
      </c>
      <c r="X64" s="11">
        <v>12</v>
      </c>
      <c r="Y64" s="11">
        <v>11</v>
      </c>
      <c r="Z64" s="11" t="s">
        <v>8</v>
      </c>
      <c r="AA64" s="13">
        <v>44941</v>
      </c>
      <c r="AB64" s="11">
        <v>15</v>
      </c>
      <c r="AC64" s="11">
        <v>1</v>
      </c>
      <c r="AD64" s="11">
        <v>2023</v>
      </c>
      <c r="AE64" s="13" t="s">
        <v>788</v>
      </c>
      <c r="AF64" s="11" t="s">
        <v>588</v>
      </c>
      <c r="AG64" s="11" t="s">
        <v>588</v>
      </c>
      <c r="AH64" s="11" t="s">
        <v>588</v>
      </c>
      <c r="AI64" s="11" t="s">
        <v>588</v>
      </c>
      <c r="AJ64" s="11" t="s">
        <v>588</v>
      </c>
      <c r="AK64" s="13" t="s">
        <v>588</v>
      </c>
      <c r="AL64" s="11" t="s">
        <v>588</v>
      </c>
      <c r="AM64" s="11" t="s">
        <v>588</v>
      </c>
      <c r="AN64" s="11" t="s">
        <v>588</v>
      </c>
      <c r="AO64" s="11" t="s">
        <v>588</v>
      </c>
      <c r="AP64" s="13">
        <v>44943</v>
      </c>
      <c r="AQ64" s="11" t="s">
        <v>12</v>
      </c>
      <c r="AR64" s="11" t="s">
        <v>195</v>
      </c>
      <c r="AS64" s="11">
        <v>1</v>
      </c>
      <c r="AT64" s="11">
        <v>3</v>
      </c>
      <c r="AU64" s="7" t="s">
        <v>588</v>
      </c>
      <c r="AV64" s="11" t="s">
        <v>588</v>
      </c>
      <c r="AW64" s="11" t="s">
        <v>588</v>
      </c>
      <c r="AX64" s="11" t="s">
        <v>588</v>
      </c>
      <c r="AY64" s="11" t="s">
        <v>588</v>
      </c>
      <c r="AZ64" s="11" t="s">
        <v>588</v>
      </c>
      <c r="BA64" s="7" t="s">
        <v>588</v>
      </c>
      <c r="BB64" s="11" t="s">
        <v>588</v>
      </c>
      <c r="BC64" s="11" t="s">
        <v>588</v>
      </c>
      <c r="BD64" s="11" t="s">
        <v>588</v>
      </c>
      <c r="BE64" s="11" t="s">
        <v>588</v>
      </c>
      <c r="BF64" s="11" t="s">
        <v>588</v>
      </c>
      <c r="BG64" s="7" t="s">
        <v>588</v>
      </c>
      <c r="BH64" s="11" t="s">
        <v>588</v>
      </c>
      <c r="BI64" s="11" t="s">
        <v>588</v>
      </c>
      <c r="BJ64" s="11" t="s">
        <v>588</v>
      </c>
      <c r="BK64" s="11" t="s">
        <v>588</v>
      </c>
      <c r="BL64" s="11" t="s">
        <v>588</v>
      </c>
      <c r="BM64" s="11">
        <v>31</v>
      </c>
      <c r="BN64" s="11">
        <v>30</v>
      </c>
      <c r="BO64" s="11" t="s">
        <v>8</v>
      </c>
      <c r="BP64" s="11">
        <v>1</v>
      </c>
      <c r="BQ64" s="13">
        <v>44988</v>
      </c>
      <c r="BR64" s="11" t="s">
        <v>22</v>
      </c>
      <c r="BS64" s="11" t="s">
        <v>8</v>
      </c>
      <c r="BT64" s="11" t="s">
        <v>9</v>
      </c>
      <c r="BU64" s="11" t="s">
        <v>9</v>
      </c>
      <c r="BV64" s="11" t="s">
        <v>8</v>
      </c>
      <c r="BW64" s="11" t="s">
        <v>227</v>
      </c>
      <c r="BX64" s="11" t="s">
        <v>227</v>
      </c>
      <c r="BY64" s="11" t="s">
        <v>228</v>
      </c>
      <c r="BZ64" s="17" t="s">
        <v>225</v>
      </c>
      <c r="CA64" s="17" t="s">
        <v>588</v>
      </c>
      <c r="CB64" s="11" t="s">
        <v>588</v>
      </c>
      <c r="CC64" s="11" t="s">
        <v>588</v>
      </c>
      <c r="CD64" s="11" t="s">
        <v>588</v>
      </c>
      <c r="CE64" s="11" t="s">
        <v>588</v>
      </c>
      <c r="CF64" s="11" t="s">
        <v>588</v>
      </c>
      <c r="CG64" s="11" t="s">
        <v>588</v>
      </c>
      <c r="CH64" s="11" t="s">
        <v>588</v>
      </c>
      <c r="CI64" s="11" t="s">
        <v>588</v>
      </c>
      <c r="CJ64" s="11" t="s">
        <v>588</v>
      </c>
      <c r="CK64" s="11" t="s">
        <v>588</v>
      </c>
      <c r="CL64" s="11" t="s">
        <v>588</v>
      </c>
      <c r="CM64" s="11" t="s">
        <v>588</v>
      </c>
      <c r="CN64" s="11" t="s">
        <v>588</v>
      </c>
      <c r="CO64" s="11" t="s">
        <v>588</v>
      </c>
      <c r="CP64" s="11" t="s">
        <v>588</v>
      </c>
      <c r="CQ64" s="11" t="s">
        <v>588</v>
      </c>
      <c r="CR64" s="11" t="s">
        <v>588</v>
      </c>
      <c r="CS64" s="11" t="s">
        <v>588</v>
      </c>
      <c r="CT64" s="11" t="s">
        <v>588</v>
      </c>
    </row>
    <row r="65" spans="1:98" x14ac:dyDescent="0.25">
      <c r="A65" s="11">
        <v>202223</v>
      </c>
      <c r="B65" s="11" t="s">
        <v>56</v>
      </c>
      <c r="C65" s="11" t="s">
        <v>56</v>
      </c>
      <c r="D65" s="11" t="s">
        <v>102</v>
      </c>
      <c r="E65" s="11" t="s">
        <v>16</v>
      </c>
      <c r="F65" s="11">
        <v>1</v>
      </c>
      <c r="G65" s="11" t="s">
        <v>901</v>
      </c>
      <c r="H65" s="11" t="s">
        <v>901</v>
      </c>
      <c r="I65" s="13">
        <v>44883</v>
      </c>
      <c r="J65" s="11">
        <v>18</v>
      </c>
      <c r="K65" s="11">
        <v>11</v>
      </c>
      <c r="L65" s="11">
        <v>2022</v>
      </c>
      <c r="M65" s="11" t="s">
        <v>775</v>
      </c>
      <c r="N65" s="11" t="s">
        <v>17</v>
      </c>
      <c r="O65" s="11" t="s">
        <v>10</v>
      </c>
      <c r="P65" s="11">
        <v>-38.658349999999999</v>
      </c>
      <c r="Q65" s="11">
        <v>145.5795</v>
      </c>
      <c r="R65" s="11" t="s">
        <v>588</v>
      </c>
      <c r="S65" s="11" t="s">
        <v>588</v>
      </c>
      <c r="T65" s="11">
        <v>1</v>
      </c>
      <c r="U65" s="11">
        <v>3</v>
      </c>
      <c r="V65" s="11" t="s">
        <v>588</v>
      </c>
      <c r="W65" s="11" t="s">
        <v>588</v>
      </c>
      <c r="X65" s="11">
        <v>2</v>
      </c>
      <c r="Y65" s="11">
        <v>2</v>
      </c>
      <c r="Z65" s="11" t="s">
        <v>41</v>
      </c>
      <c r="AA65" s="13">
        <v>44883</v>
      </c>
      <c r="AB65" s="11">
        <v>18</v>
      </c>
      <c r="AC65" s="11">
        <v>11</v>
      </c>
      <c r="AD65" s="11">
        <v>2022</v>
      </c>
      <c r="AE65" s="13" t="s">
        <v>775</v>
      </c>
      <c r="AF65" s="11" t="s">
        <v>17</v>
      </c>
      <c r="AG65" s="13">
        <v>44888</v>
      </c>
      <c r="AH65" s="11">
        <v>23</v>
      </c>
      <c r="AI65" s="11">
        <v>11</v>
      </c>
      <c r="AJ65" s="11">
        <v>2022</v>
      </c>
      <c r="AK65" s="13" t="s">
        <v>799</v>
      </c>
      <c r="AL65" s="11" t="s">
        <v>17</v>
      </c>
      <c r="AM65" s="11" t="s">
        <v>20</v>
      </c>
      <c r="AN65" s="11" t="s">
        <v>588</v>
      </c>
      <c r="AO65" s="11" t="s">
        <v>20</v>
      </c>
      <c r="AP65" s="11" t="s">
        <v>588</v>
      </c>
      <c r="AQ65" s="11" t="s">
        <v>588</v>
      </c>
      <c r="AR65" s="11" t="s">
        <v>588</v>
      </c>
      <c r="AS65" s="11" t="s">
        <v>588</v>
      </c>
      <c r="AT65" s="11" t="s">
        <v>588</v>
      </c>
      <c r="AU65" s="7" t="s">
        <v>588</v>
      </c>
      <c r="AV65" s="11" t="s">
        <v>588</v>
      </c>
      <c r="AW65" s="11" t="s">
        <v>588</v>
      </c>
      <c r="AX65" s="11" t="s">
        <v>588</v>
      </c>
      <c r="AY65" s="11" t="s">
        <v>588</v>
      </c>
      <c r="AZ65" s="11" t="s">
        <v>588</v>
      </c>
      <c r="BA65" s="7" t="s">
        <v>588</v>
      </c>
      <c r="BB65" s="11" t="s">
        <v>588</v>
      </c>
      <c r="BC65" s="11" t="s">
        <v>588</v>
      </c>
      <c r="BD65" s="11" t="s">
        <v>588</v>
      </c>
      <c r="BE65" s="11" t="s">
        <v>588</v>
      </c>
      <c r="BF65" s="11" t="s">
        <v>588</v>
      </c>
      <c r="BG65" s="7" t="s">
        <v>588</v>
      </c>
      <c r="BH65" s="11" t="s">
        <v>588</v>
      </c>
      <c r="BI65" s="11" t="s">
        <v>588</v>
      </c>
      <c r="BJ65" s="11" t="s">
        <v>588</v>
      </c>
      <c r="BK65" s="11" t="s">
        <v>588</v>
      </c>
      <c r="BL65" s="11" t="s">
        <v>588</v>
      </c>
      <c r="BM65" s="11" t="s">
        <v>588</v>
      </c>
      <c r="BN65" s="11" t="s">
        <v>588</v>
      </c>
      <c r="BO65" s="11" t="s">
        <v>588</v>
      </c>
      <c r="BP65" s="11" t="s">
        <v>588</v>
      </c>
      <c r="BQ65" s="11" t="s">
        <v>588</v>
      </c>
      <c r="BR65" s="11" t="s">
        <v>588</v>
      </c>
      <c r="BS65" s="11" t="s">
        <v>8</v>
      </c>
      <c r="BT65" s="11" t="s">
        <v>18</v>
      </c>
      <c r="BU65" s="11" t="s">
        <v>18</v>
      </c>
      <c r="BV65" s="11" t="s">
        <v>8</v>
      </c>
      <c r="BW65" s="11" t="s">
        <v>588</v>
      </c>
      <c r="BX65" s="11" t="s">
        <v>588</v>
      </c>
      <c r="BY65" s="11" t="s">
        <v>588</v>
      </c>
      <c r="BZ65" s="11" t="s">
        <v>588</v>
      </c>
      <c r="CA65" s="17" t="s">
        <v>588</v>
      </c>
      <c r="CB65" s="11" t="s">
        <v>588</v>
      </c>
      <c r="CC65" s="11" t="s">
        <v>588</v>
      </c>
      <c r="CD65" s="11" t="s">
        <v>588</v>
      </c>
      <c r="CE65" s="11" t="s">
        <v>588</v>
      </c>
      <c r="CF65" s="11" t="s">
        <v>588</v>
      </c>
      <c r="CG65" s="11" t="s">
        <v>588</v>
      </c>
      <c r="CH65" s="11" t="s">
        <v>588</v>
      </c>
      <c r="CI65" s="11" t="s">
        <v>588</v>
      </c>
      <c r="CJ65" s="11" t="s">
        <v>588</v>
      </c>
      <c r="CK65" s="11" t="s">
        <v>588</v>
      </c>
      <c r="CL65" s="11" t="s">
        <v>588</v>
      </c>
      <c r="CM65" s="11" t="s">
        <v>588</v>
      </c>
      <c r="CN65" s="11" t="s">
        <v>588</v>
      </c>
      <c r="CO65" s="11" t="s">
        <v>588</v>
      </c>
      <c r="CP65" s="11" t="s">
        <v>588</v>
      </c>
      <c r="CQ65" s="11" t="s">
        <v>588</v>
      </c>
      <c r="CR65" s="11" t="s">
        <v>588</v>
      </c>
      <c r="CS65" s="11" t="s">
        <v>588</v>
      </c>
      <c r="CT65" s="11" t="s">
        <v>588</v>
      </c>
    </row>
    <row r="66" spans="1:98" x14ac:dyDescent="0.25">
      <c r="A66" s="11">
        <v>202223</v>
      </c>
      <c r="B66" s="11" t="s">
        <v>56</v>
      </c>
      <c r="C66" s="11" t="s">
        <v>56</v>
      </c>
      <c r="D66" s="11" t="s">
        <v>102</v>
      </c>
      <c r="E66" s="11" t="s">
        <v>16</v>
      </c>
      <c r="F66" s="11">
        <v>2</v>
      </c>
      <c r="G66" s="11" t="s">
        <v>902</v>
      </c>
      <c r="H66" s="11" t="s">
        <v>902</v>
      </c>
      <c r="I66" s="13">
        <v>44956</v>
      </c>
      <c r="J66" s="11">
        <v>30</v>
      </c>
      <c r="K66" s="11">
        <v>1</v>
      </c>
      <c r="L66" s="11">
        <v>2023</v>
      </c>
      <c r="M66" s="11" t="s">
        <v>812</v>
      </c>
      <c r="N66" s="11" t="s">
        <v>12</v>
      </c>
      <c r="O66" s="11" t="s">
        <v>51</v>
      </c>
      <c r="P66" s="11">
        <v>-38.658242999999999</v>
      </c>
      <c r="Q66" s="11">
        <v>145.579183</v>
      </c>
      <c r="R66" s="11" t="s">
        <v>588</v>
      </c>
      <c r="S66" s="11" t="s">
        <v>588</v>
      </c>
      <c r="T66" s="11">
        <v>3</v>
      </c>
      <c r="U66" s="11">
        <v>3</v>
      </c>
      <c r="V66" s="11" t="s">
        <v>588</v>
      </c>
      <c r="W66" s="11" t="s">
        <v>588</v>
      </c>
      <c r="X66" s="11">
        <v>4</v>
      </c>
      <c r="Y66" s="11">
        <v>4</v>
      </c>
      <c r="Z66" s="11" t="s">
        <v>41</v>
      </c>
      <c r="AA66" s="13">
        <v>44970</v>
      </c>
      <c r="AB66" s="11">
        <v>13</v>
      </c>
      <c r="AC66" s="11">
        <v>2</v>
      </c>
      <c r="AD66" s="11">
        <v>2023</v>
      </c>
      <c r="AE66" s="13" t="s">
        <v>888</v>
      </c>
      <c r="AF66" s="11" t="s">
        <v>21</v>
      </c>
      <c r="AG66" s="13">
        <v>44977</v>
      </c>
      <c r="AH66" s="11">
        <v>20</v>
      </c>
      <c r="AI66" s="11">
        <v>2</v>
      </c>
      <c r="AJ66" s="11">
        <v>2023</v>
      </c>
      <c r="AK66" s="13" t="s">
        <v>903</v>
      </c>
      <c r="AL66" s="11" t="s">
        <v>21</v>
      </c>
      <c r="AM66" s="11" t="s">
        <v>20</v>
      </c>
      <c r="AN66" s="11" t="s">
        <v>588</v>
      </c>
      <c r="AO66" s="11" t="s">
        <v>20</v>
      </c>
      <c r="AP66" s="11" t="s">
        <v>588</v>
      </c>
      <c r="AQ66" s="11" t="s">
        <v>588</v>
      </c>
      <c r="AR66" s="11" t="s">
        <v>588</v>
      </c>
      <c r="AS66" s="11" t="s">
        <v>588</v>
      </c>
      <c r="AT66" s="11" t="s">
        <v>588</v>
      </c>
      <c r="AU66" s="7" t="s">
        <v>588</v>
      </c>
      <c r="AV66" s="11" t="s">
        <v>588</v>
      </c>
      <c r="AW66" s="11" t="s">
        <v>588</v>
      </c>
      <c r="AX66" s="11" t="s">
        <v>588</v>
      </c>
      <c r="AY66" s="11" t="s">
        <v>588</v>
      </c>
      <c r="AZ66" s="11" t="s">
        <v>588</v>
      </c>
      <c r="BA66" s="7" t="s">
        <v>588</v>
      </c>
      <c r="BB66" s="11" t="s">
        <v>588</v>
      </c>
      <c r="BC66" s="11" t="s">
        <v>588</v>
      </c>
      <c r="BD66" s="11" t="s">
        <v>588</v>
      </c>
      <c r="BE66" s="11" t="s">
        <v>588</v>
      </c>
      <c r="BF66" s="11" t="s">
        <v>588</v>
      </c>
      <c r="BG66" s="7" t="s">
        <v>588</v>
      </c>
      <c r="BH66" s="11" t="s">
        <v>588</v>
      </c>
      <c r="BI66" s="11" t="s">
        <v>588</v>
      </c>
      <c r="BJ66" s="11" t="s">
        <v>588</v>
      </c>
      <c r="BK66" s="11" t="s">
        <v>588</v>
      </c>
      <c r="BL66" s="11" t="s">
        <v>588</v>
      </c>
      <c r="BM66" s="11" t="s">
        <v>588</v>
      </c>
      <c r="BN66" s="11" t="s">
        <v>588</v>
      </c>
      <c r="BO66" s="11" t="s">
        <v>588</v>
      </c>
      <c r="BP66" s="11" t="s">
        <v>588</v>
      </c>
      <c r="BQ66" s="11" t="s">
        <v>588</v>
      </c>
      <c r="BR66" s="11" t="s">
        <v>588</v>
      </c>
      <c r="BS66" s="11" t="s">
        <v>8</v>
      </c>
      <c r="BT66" s="11" t="s">
        <v>9</v>
      </c>
      <c r="BU66" s="11" t="s">
        <v>9</v>
      </c>
      <c r="BV66" s="11" t="s">
        <v>8</v>
      </c>
      <c r="BW66" s="11" t="s">
        <v>588</v>
      </c>
      <c r="BX66" s="11" t="s">
        <v>588</v>
      </c>
      <c r="BY66" s="11" t="s">
        <v>588</v>
      </c>
      <c r="BZ66" s="11" t="s">
        <v>588</v>
      </c>
      <c r="CA66" s="17" t="s">
        <v>588</v>
      </c>
      <c r="CB66" s="11" t="s">
        <v>588</v>
      </c>
      <c r="CC66" s="11" t="s">
        <v>588</v>
      </c>
      <c r="CD66" s="11" t="s">
        <v>588</v>
      </c>
      <c r="CE66" s="11" t="s">
        <v>588</v>
      </c>
      <c r="CF66" s="11" t="s">
        <v>588</v>
      </c>
      <c r="CG66" s="11" t="s">
        <v>588</v>
      </c>
      <c r="CH66" s="11" t="s">
        <v>588</v>
      </c>
      <c r="CI66" s="11" t="s">
        <v>588</v>
      </c>
      <c r="CJ66" s="11" t="s">
        <v>588</v>
      </c>
      <c r="CK66" s="11" t="s">
        <v>588</v>
      </c>
      <c r="CL66" s="11" t="s">
        <v>588</v>
      </c>
      <c r="CM66" s="11" t="s">
        <v>588</v>
      </c>
      <c r="CN66" s="11" t="s">
        <v>588</v>
      </c>
      <c r="CO66" s="11" t="s">
        <v>588</v>
      </c>
      <c r="CP66" s="11" t="s">
        <v>588</v>
      </c>
      <c r="CQ66" s="11" t="s">
        <v>588</v>
      </c>
      <c r="CR66" s="11" t="s">
        <v>588</v>
      </c>
      <c r="CS66" s="11" t="s">
        <v>588</v>
      </c>
      <c r="CT66" s="11" t="s">
        <v>588</v>
      </c>
    </row>
    <row r="67" spans="1:98" x14ac:dyDescent="0.25">
      <c r="A67" s="11">
        <v>202223</v>
      </c>
      <c r="B67" s="11" t="s">
        <v>56</v>
      </c>
      <c r="C67" s="11" t="s">
        <v>56</v>
      </c>
      <c r="D67" s="11" t="s">
        <v>102</v>
      </c>
      <c r="E67" s="11" t="s">
        <v>16</v>
      </c>
      <c r="F67" s="11">
        <v>3</v>
      </c>
      <c r="G67" s="11" t="s">
        <v>904</v>
      </c>
      <c r="H67" s="11" t="s">
        <v>904</v>
      </c>
      <c r="I67" s="13">
        <v>44991</v>
      </c>
      <c r="J67" s="11">
        <v>6</v>
      </c>
      <c r="K67" s="11">
        <v>3</v>
      </c>
      <c r="L67" s="11">
        <v>2023</v>
      </c>
      <c r="M67" s="11" t="s">
        <v>818</v>
      </c>
      <c r="N67" s="11" t="s">
        <v>22</v>
      </c>
      <c r="O67" s="11" t="s">
        <v>51</v>
      </c>
      <c r="P67" s="11">
        <v>-38.658372</v>
      </c>
      <c r="Q67" s="11">
        <v>145.57935599999999</v>
      </c>
      <c r="R67" s="11" t="s">
        <v>588</v>
      </c>
      <c r="S67" s="11" t="s">
        <v>588</v>
      </c>
      <c r="T67" s="11">
        <v>1</v>
      </c>
      <c r="U67" s="11">
        <v>3</v>
      </c>
      <c r="V67" s="11" t="s">
        <v>588</v>
      </c>
      <c r="W67" s="11" t="s">
        <v>588</v>
      </c>
      <c r="X67" s="11">
        <v>2</v>
      </c>
      <c r="Y67" s="11">
        <v>2</v>
      </c>
      <c r="Z67" s="11" t="s">
        <v>41</v>
      </c>
      <c r="AA67" s="13">
        <v>44991</v>
      </c>
      <c r="AB67" s="11">
        <v>6</v>
      </c>
      <c r="AC67" s="11">
        <v>3</v>
      </c>
      <c r="AD67" s="11">
        <v>2023</v>
      </c>
      <c r="AE67" s="13" t="s">
        <v>818</v>
      </c>
      <c r="AF67" s="11" t="s">
        <v>22</v>
      </c>
      <c r="AG67" s="13">
        <v>44995</v>
      </c>
      <c r="AH67" s="11">
        <v>10</v>
      </c>
      <c r="AI67" s="11">
        <v>3</v>
      </c>
      <c r="AJ67" s="11">
        <v>2023</v>
      </c>
      <c r="AK67" s="13" t="s">
        <v>767</v>
      </c>
      <c r="AL67" s="11" t="s">
        <v>22</v>
      </c>
      <c r="AM67" s="11" t="s">
        <v>20</v>
      </c>
      <c r="AN67" s="11" t="s">
        <v>588</v>
      </c>
      <c r="AO67" s="11" t="s">
        <v>20</v>
      </c>
      <c r="AP67" s="11" t="s">
        <v>588</v>
      </c>
      <c r="AQ67" s="11" t="s">
        <v>588</v>
      </c>
      <c r="AR67" s="11" t="s">
        <v>588</v>
      </c>
      <c r="AS67" s="11" t="s">
        <v>588</v>
      </c>
      <c r="AT67" s="11" t="s">
        <v>588</v>
      </c>
      <c r="AU67" s="7" t="s">
        <v>588</v>
      </c>
      <c r="AV67" s="11" t="s">
        <v>588</v>
      </c>
      <c r="AW67" s="11" t="s">
        <v>588</v>
      </c>
      <c r="AX67" s="11" t="s">
        <v>588</v>
      </c>
      <c r="AY67" s="11" t="s">
        <v>588</v>
      </c>
      <c r="AZ67" s="11" t="s">
        <v>588</v>
      </c>
      <c r="BA67" s="7" t="s">
        <v>588</v>
      </c>
      <c r="BB67" s="11" t="s">
        <v>588</v>
      </c>
      <c r="BC67" s="11" t="s">
        <v>588</v>
      </c>
      <c r="BD67" s="11" t="s">
        <v>588</v>
      </c>
      <c r="BE67" s="11" t="s">
        <v>588</v>
      </c>
      <c r="BF67" s="11" t="s">
        <v>588</v>
      </c>
      <c r="BG67" s="7" t="s">
        <v>588</v>
      </c>
      <c r="BH67" s="11" t="s">
        <v>588</v>
      </c>
      <c r="BI67" s="11" t="s">
        <v>588</v>
      </c>
      <c r="BJ67" s="11" t="s">
        <v>588</v>
      </c>
      <c r="BK67" s="11" t="s">
        <v>588</v>
      </c>
      <c r="BL67" s="11" t="s">
        <v>588</v>
      </c>
      <c r="BM67" s="11" t="s">
        <v>588</v>
      </c>
      <c r="BN67" s="11" t="s">
        <v>588</v>
      </c>
      <c r="BO67" s="11" t="s">
        <v>588</v>
      </c>
      <c r="BP67" s="11" t="s">
        <v>588</v>
      </c>
      <c r="BQ67" s="11" t="s">
        <v>588</v>
      </c>
      <c r="BR67" s="11" t="s">
        <v>588</v>
      </c>
      <c r="BS67" s="11" t="s">
        <v>8</v>
      </c>
      <c r="BT67" s="11" t="s">
        <v>9</v>
      </c>
      <c r="BU67" s="11" t="s">
        <v>9</v>
      </c>
      <c r="BV67" s="11" t="s">
        <v>8</v>
      </c>
      <c r="BW67" s="11" t="s">
        <v>588</v>
      </c>
      <c r="BX67" s="11" t="s">
        <v>588</v>
      </c>
      <c r="BY67" s="11" t="s">
        <v>588</v>
      </c>
      <c r="BZ67" s="11" t="s">
        <v>588</v>
      </c>
      <c r="CA67" s="17" t="s">
        <v>588</v>
      </c>
      <c r="CB67" s="11" t="s">
        <v>588</v>
      </c>
      <c r="CC67" s="11" t="s">
        <v>588</v>
      </c>
      <c r="CD67" s="11" t="s">
        <v>588</v>
      </c>
      <c r="CE67" s="11" t="s">
        <v>588</v>
      </c>
      <c r="CF67" s="11" t="s">
        <v>588</v>
      </c>
      <c r="CG67" s="11" t="s">
        <v>588</v>
      </c>
      <c r="CH67" s="11" t="s">
        <v>588</v>
      </c>
      <c r="CI67" s="11" t="s">
        <v>588</v>
      </c>
      <c r="CJ67" s="11" t="s">
        <v>588</v>
      </c>
      <c r="CK67" s="11" t="s">
        <v>588</v>
      </c>
      <c r="CL67" s="11" t="s">
        <v>588</v>
      </c>
      <c r="CM67" s="11" t="s">
        <v>588</v>
      </c>
      <c r="CN67" s="11" t="s">
        <v>588</v>
      </c>
      <c r="CO67" s="11" t="s">
        <v>588</v>
      </c>
      <c r="CP67" s="11" t="s">
        <v>588</v>
      </c>
      <c r="CQ67" s="11" t="s">
        <v>588</v>
      </c>
      <c r="CR67" s="11" t="s">
        <v>588</v>
      </c>
      <c r="CS67" s="11" t="s">
        <v>588</v>
      </c>
      <c r="CT67" s="11" t="s">
        <v>588</v>
      </c>
    </row>
  </sheetData>
  <autoFilter ref="A1:CA67" xr:uid="{31863B9E-0521-4841-8AA4-8B694418989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26EB-474F-4A4E-BDF8-B2776B746EEA}">
  <dimension ref="A1:BX57"/>
  <sheetViews>
    <sheetView zoomScale="80" zoomScaleNormal="80" workbookViewId="0">
      <pane xSplit="9" ySplit="1" topLeftCell="BR35" activePane="bottomRight" state="frozen"/>
      <selection pane="topRight" activeCell="J1" sqref="J1"/>
      <selection pane="bottomLeft" activeCell="A2" sqref="A2"/>
      <selection pane="bottomRight" activeCell="BU43" sqref="BU43"/>
    </sheetView>
  </sheetViews>
  <sheetFormatPr defaultRowHeight="15" x14ac:dyDescent="0.25"/>
  <cols>
    <col min="1" max="1" width="7.5703125" style="11" bestFit="1" customWidth="1"/>
    <col min="2" max="2" width="13.85546875" style="11" customWidth="1"/>
    <col min="3" max="3" width="32.5703125" style="11" customWidth="1"/>
    <col min="4" max="5" width="9.28515625" style="11" customWidth="1"/>
    <col min="6" max="6" width="9.5703125" style="11" customWidth="1"/>
    <col min="7" max="7" width="15.7109375" style="11" customWidth="1"/>
    <col min="8" max="8" width="40.28515625" style="11" customWidth="1"/>
    <col min="9" max="9" width="16.28515625" style="11" customWidth="1"/>
    <col min="10" max="10" width="7.42578125" style="11" bestFit="1" customWidth="1"/>
    <col min="11" max="11" width="9.5703125" style="11" bestFit="1" customWidth="1"/>
    <col min="12" max="12" width="8" style="11" bestFit="1" customWidth="1"/>
    <col min="13" max="13" width="23.5703125" style="11" bestFit="1" customWidth="1"/>
    <col min="14" max="14" width="13.42578125" style="11" customWidth="1"/>
    <col min="15" max="15" width="15.28515625" style="11" customWidth="1"/>
    <col min="16" max="16" width="11.5703125" style="11" bestFit="1" customWidth="1"/>
    <col min="17" max="17" width="13" style="23" bestFit="1" customWidth="1"/>
    <col min="18" max="18" width="15.85546875" style="23" customWidth="1"/>
    <col min="19" max="19" width="16.5703125" style="23" customWidth="1"/>
    <col min="20" max="20" width="11.140625" style="23" customWidth="1"/>
    <col min="21" max="21" width="9.140625" style="11"/>
    <col min="22" max="22" width="13.7109375" style="11" customWidth="1"/>
    <col min="23" max="23" width="14.7109375" style="11" customWidth="1"/>
    <col min="24" max="24" width="17" style="11" customWidth="1"/>
    <col min="25" max="25" width="17.85546875" style="11" customWidth="1"/>
    <col min="26" max="26" width="9.140625" style="11"/>
    <col min="27" max="27" width="18.42578125" style="11" customWidth="1"/>
    <col min="28" max="28" width="8.42578125" style="11" bestFit="1" customWidth="1"/>
    <col min="29" max="29" width="9.5703125" style="11" bestFit="1" customWidth="1"/>
    <col min="30" max="30" width="8.42578125" style="11" bestFit="1" customWidth="1"/>
    <col min="31" max="31" width="27" style="11" bestFit="1" customWidth="1"/>
    <col min="32" max="32" width="13.5703125" style="11" customWidth="1"/>
    <col min="33" max="33" width="23.28515625" style="11" customWidth="1"/>
    <col min="34" max="34" width="8.42578125" style="11" bestFit="1" customWidth="1"/>
    <col min="35" max="35" width="9.5703125" style="11" bestFit="1" customWidth="1"/>
    <col min="36" max="36" width="8.42578125" style="11" bestFit="1" customWidth="1"/>
    <col min="37" max="37" width="25.5703125" style="11" bestFit="1" customWidth="1"/>
    <col min="38" max="38" width="11.5703125" style="11" customWidth="1"/>
    <col min="39" max="39" width="10.28515625" style="11" customWidth="1"/>
    <col min="40" max="40" width="10.7109375" style="11" customWidth="1"/>
    <col min="41" max="41" width="16" style="11" customWidth="1"/>
    <col min="42" max="42" width="17.42578125" style="11" customWidth="1"/>
    <col min="43" max="43" width="12.140625" style="11" customWidth="1"/>
    <col min="44" max="44" width="8.7109375" style="11" customWidth="1"/>
    <col min="45" max="46" width="9.140625" style="11"/>
    <col min="47" max="47" width="17.140625" style="11" customWidth="1"/>
    <col min="48" max="48" width="10.5703125" style="11" customWidth="1"/>
    <col min="49" max="49" width="9.140625" style="11"/>
    <col min="50" max="50" width="13.28515625" style="11" customWidth="1"/>
    <col min="51" max="51" width="11" style="11" customWidth="1"/>
    <col min="52" max="64" width="17.85546875" style="11" customWidth="1"/>
    <col min="65" max="65" width="15.140625" style="11" customWidth="1"/>
    <col min="66" max="66" width="15.28515625" style="11" bestFit="1" customWidth="1"/>
    <col min="67" max="67" width="14.140625" style="11" customWidth="1"/>
    <col min="68" max="68" width="18.42578125" style="11" customWidth="1"/>
    <col min="69" max="69" width="4.42578125" style="11" customWidth="1"/>
    <col min="70" max="70" width="41.85546875" style="11" bestFit="1" customWidth="1"/>
    <col min="71" max="71" width="9.140625" style="11"/>
    <col min="72" max="72" width="4" style="11" customWidth="1"/>
    <col min="73" max="73" width="58.85546875" style="11" bestFit="1" customWidth="1"/>
    <col min="74" max="16384" width="9.140625" style="11"/>
  </cols>
  <sheetData>
    <row r="1" spans="1:76" x14ac:dyDescent="0.25">
      <c r="A1" s="10" t="s">
        <v>0</v>
      </c>
      <c r="B1" s="12" t="s">
        <v>139</v>
      </c>
      <c r="C1" s="9" t="s">
        <v>231</v>
      </c>
      <c r="D1" s="12" t="s">
        <v>1</v>
      </c>
      <c r="E1" s="12" t="s">
        <v>2</v>
      </c>
      <c r="F1" s="9" t="s">
        <v>118</v>
      </c>
      <c r="G1" s="10" t="s">
        <v>141</v>
      </c>
      <c r="H1" s="9" t="s">
        <v>593</v>
      </c>
      <c r="I1" s="12" t="s">
        <v>142</v>
      </c>
      <c r="J1" s="12" t="s">
        <v>589</v>
      </c>
      <c r="K1" s="12" t="s">
        <v>590</v>
      </c>
      <c r="L1" s="12" t="s">
        <v>591</v>
      </c>
      <c r="M1" s="9" t="s">
        <v>592</v>
      </c>
      <c r="N1" s="20" t="s">
        <v>143</v>
      </c>
      <c r="O1" s="12" t="s">
        <v>3</v>
      </c>
      <c r="P1" s="2" t="s">
        <v>212</v>
      </c>
      <c r="Q1" s="2" t="s">
        <v>213</v>
      </c>
      <c r="R1" s="21" t="s">
        <v>144</v>
      </c>
      <c r="S1" s="22" t="s">
        <v>145</v>
      </c>
      <c r="T1" s="20" t="s">
        <v>146</v>
      </c>
      <c r="U1" s="20" t="s">
        <v>147</v>
      </c>
      <c r="V1" s="20" t="s">
        <v>148</v>
      </c>
      <c r="W1" s="20" t="s">
        <v>149</v>
      </c>
      <c r="X1" s="20" t="s">
        <v>150</v>
      </c>
      <c r="Y1" s="20" t="s">
        <v>151</v>
      </c>
      <c r="Z1" s="20" t="s">
        <v>152</v>
      </c>
      <c r="AA1" s="20" t="s">
        <v>153</v>
      </c>
      <c r="AB1" s="12" t="s">
        <v>589</v>
      </c>
      <c r="AC1" s="12" t="s">
        <v>590</v>
      </c>
      <c r="AD1" s="12" t="s">
        <v>591</v>
      </c>
      <c r="AE1" s="9" t="s">
        <v>594</v>
      </c>
      <c r="AF1" s="20" t="s">
        <v>154</v>
      </c>
      <c r="AG1" s="20" t="s">
        <v>155</v>
      </c>
      <c r="AH1" s="12" t="s">
        <v>589</v>
      </c>
      <c r="AI1" s="12" t="s">
        <v>590</v>
      </c>
      <c r="AJ1" s="12" t="s">
        <v>591</v>
      </c>
      <c r="AK1" s="9" t="s">
        <v>595</v>
      </c>
      <c r="AL1" s="20" t="s">
        <v>156</v>
      </c>
      <c r="AM1" s="20" t="s">
        <v>157</v>
      </c>
      <c r="AN1" s="20" t="s">
        <v>158</v>
      </c>
      <c r="AO1" s="20" t="s">
        <v>159</v>
      </c>
      <c r="AP1" s="20" t="s">
        <v>160</v>
      </c>
      <c r="AQ1" s="20" t="s">
        <v>161</v>
      </c>
      <c r="AR1" s="20" t="s">
        <v>162</v>
      </c>
      <c r="AS1" s="12" t="s">
        <v>163</v>
      </c>
      <c r="AT1" s="20" t="s">
        <v>164</v>
      </c>
      <c r="AU1" s="20" t="s">
        <v>166</v>
      </c>
      <c r="AV1" s="20" t="s">
        <v>167</v>
      </c>
      <c r="AW1" s="20" t="s">
        <v>168</v>
      </c>
      <c r="AX1" s="20" t="s">
        <v>169</v>
      </c>
      <c r="AY1" s="20" t="s">
        <v>170</v>
      </c>
      <c r="AZ1" s="20" t="s">
        <v>172</v>
      </c>
      <c r="BA1" s="20" t="s">
        <v>173</v>
      </c>
      <c r="BB1" s="20" t="s">
        <v>174</v>
      </c>
      <c r="BC1" s="20" t="s">
        <v>175</v>
      </c>
      <c r="BD1" s="20" t="s">
        <v>176</v>
      </c>
      <c r="BE1" s="20" t="s">
        <v>178</v>
      </c>
      <c r="BF1" s="20" t="s">
        <v>179</v>
      </c>
      <c r="BG1" s="20" t="s">
        <v>180</v>
      </c>
      <c r="BH1" s="20" t="s">
        <v>181</v>
      </c>
      <c r="BI1" s="20" t="s">
        <v>182</v>
      </c>
      <c r="BJ1" s="20" t="s">
        <v>183</v>
      </c>
      <c r="BK1" s="20" t="s">
        <v>184</v>
      </c>
      <c r="BL1" s="20" t="s">
        <v>185</v>
      </c>
      <c r="BM1" s="20" t="s">
        <v>4</v>
      </c>
      <c r="BN1" s="20" t="s">
        <v>186</v>
      </c>
      <c r="BO1" s="12" t="s">
        <v>187</v>
      </c>
      <c r="BP1" s="12" t="s">
        <v>188</v>
      </c>
      <c r="BQ1" s="12" t="s">
        <v>189</v>
      </c>
      <c r="BR1" s="14" t="s">
        <v>596</v>
      </c>
      <c r="BS1" s="20" t="s">
        <v>190</v>
      </c>
      <c r="BT1" s="20" t="s">
        <v>191</v>
      </c>
      <c r="BU1" s="14" t="s">
        <v>597</v>
      </c>
      <c r="BV1" s="20" t="s">
        <v>192</v>
      </c>
      <c r="BW1" s="20" t="s">
        <v>193</v>
      </c>
      <c r="BX1" s="20" t="s">
        <v>193</v>
      </c>
    </row>
    <row r="2" spans="1:76" x14ac:dyDescent="0.25">
      <c r="A2" s="11">
        <v>202122</v>
      </c>
      <c r="B2" s="11" t="s">
        <v>509</v>
      </c>
      <c r="C2" s="11" t="s">
        <v>509</v>
      </c>
      <c r="D2" s="11" t="s">
        <v>243</v>
      </c>
      <c r="E2" s="11" t="s">
        <v>244</v>
      </c>
      <c r="F2" s="11">
        <v>1</v>
      </c>
      <c r="G2" s="11" t="s">
        <v>510</v>
      </c>
      <c r="H2" s="11" t="s">
        <v>911</v>
      </c>
      <c r="I2" s="13">
        <v>44585</v>
      </c>
      <c r="J2" s="11">
        <f t="shared" ref="J2:J57" si="0">DAY(I2)</f>
        <v>24</v>
      </c>
      <c r="K2" s="11">
        <f t="shared" ref="K2:K57" si="1">MONTH(I2)</f>
        <v>1</v>
      </c>
      <c r="L2" s="11">
        <f t="shared" ref="L2:L57" si="2">YEAR(I2)</f>
        <v>2022</v>
      </c>
      <c r="M2" s="11" t="str">
        <f t="shared" ref="M2:M57" si="3">CONCATENATE(TEXT(J2,"00"),TEXT(K2,"00"),TEXT(L2,"0000"))</f>
        <v>24012022</v>
      </c>
      <c r="N2" s="11" t="s">
        <v>12</v>
      </c>
      <c r="O2" s="11" t="s">
        <v>10</v>
      </c>
      <c r="P2" s="23">
        <v>-38.616084999999998</v>
      </c>
      <c r="Q2" s="23">
        <v>145.54178999999999</v>
      </c>
      <c r="R2" s="11" t="s">
        <v>588</v>
      </c>
      <c r="S2" s="11" t="s">
        <v>588</v>
      </c>
      <c r="T2" s="11">
        <v>1</v>
      </c>
      <c r="U2" s="11">
        <v>3</v>
      </c>
      <c r="V2" s="13" t="s">
        <v>588</v>
      </c>
      <c r="W2" s="11" t="s">
        <v>588</v>
      </c>
      <c r="X2" s="11">
        <v>2</v>
      </c>
      <c r="Y2" s="11">
        <v>2</v>
      </c>
      <c r="Z2" s="11" t="s">
        <v>41</v>
      </c>
      <c r="AA2" s="13">
        <v>44585</v>
      </c>
      <c r="AB2" s="11">
        <f t="shared" ref="AB2:AB57" si="4">DAY(AA2)</f>
        <v>24</v>
      </c>
      <c r="AC2" s="11">
        <f t="shared" ref="AC2:AC57" si="5">MONTH(AA2)</f>
        <v>1</v>
      </c>
      <c r="AD2" s="11">
        <f t="shared" ref="AD2:AD57" si="6">YEAR(AA2)</f>
        <v>2022</v>
      </c>
      <c r="AE2" s="13" t="str">
        <f t="shared" ref="AE2:AE57" si="7">CONCATENATE(TEXT(AB2,"00"),TEXT(AC2,"00"),TEXT(AD2,"0000"))</f>
        <v>24012022</v>
      </c>
      <c r="AF2" s="11" t="s">
        <v>12</v>
      </c>
      <c r="AG2" s="13">
        <v>44592</v>
      </c>
      <c r="AH2" s="11">
        <v>31</v>
      </c>
      <c r="AI2" s="11">
        <v>1</v>
      </c>
      <c r="AJ2" s="11">
        <v>2022</v>
      </c>
      <c r="AK2" s="13" t="s">
        <v>967</v>
      </c>
      <c r="AL2" s="11" t="s">
        <v>12</v>
      </c>
      <c r="AM2" s="11" t="s">
        <v>20</v>
      </c>
      <c r="AN2" s="11" t="s">
        <v>588</v>
      </c>
      <c r="AO2" s="11" t="s">
        <v>11</v>
      </c>
      <c r="AP2" s="11" t="s">
        <v>588</v>
      </c>
      <c r="AQ2" s="11" t="s">
        <v>588</v>
      </c>
      <c r="AR2" s="11" t="s">
        <v>588</v>
      </c>
      <c r="AS2" s="11" t="s">
        <v>588</v>
      </c>
      <c r="AT2" s="11" t="s">
        <v>588</v>
      </c>
      <c r="AU2" s="11" t="s">
        <v>588</v>
      </c>
      <c r="AV2" s="11" t="s">
        <v>588</v>
      </c>
      <c r="AW2" s="11" t="s">
        <v>588</v>
      </c>
      <c r="AX2" s="11" t="s">
        <v>588</v>
      </c>
      <c r="AY2" s="11" t="s">
        <v>588</v>
      </c>
      <c r="AZ2" s="11" t="s">
        <v>588</v>
      </c>
      <c r="BA2" s="11" t="s">
        <v>588</v>
      </c>
      <c r="BB2" s="11" t="s">
        <v>588</v>
      </c>
      <c r="BC2" s="11" t="s">
        <v>588</v>
      </c>
      <c r="BD2" s="11" t="s">
        <v>588</v>
      </c>
      <c r="BE2" s="11" t="s">
        <v>588</v>
      </c>
      <c r="BF2" s="11" t="s">
        <v>588</v>
      </c>
      <c r="BG2" s="11" t="s">
        <v>588</v>
      </c>
      <c r="BH2" s="11" t="s">
        <v>588</v>
      </c>
      <c r="BI2" s="11" t="s">
        <v>588</v>
      </c>
      <c r="BJ2" s="11" t="s">
        <v>588</v>
      </c>
      <c r="BK2" s="11" t="s">
        <v>588</v>
      </c>
      <c r="BL2" s="11" t="s">
        <v>588</v>
      </c>
      <c r="BM2" s="11" t="s">
        <v>588</v>
      </c>
      <c r="BN2" s="11" t="s">
        <v>588</v>
      </c>
      <c r="BO2" s="11" t="s">
        <v>588</v>
      </c>
      <c r="BP2" s="11" t="s">
        <v>41</v>
      </c>
      <c r="BQ2" s="11" t="s">
        <v>588</v>
      </c>
      <c r="BR2" s="11" t="s">
        <v>42</v>
      </c>
      <c r="BS2" s="11" t="s">
        <v>588</v>
      </c>
      <c r="BT2" s="11" t="s">
        <v>588</v>
      </c>
      <c r="BU2" s="11" t="s">
        <v>588</v>
      </c>
      <c r="BV2" s="11" t="s">
        <v>588</v>
      </c>
      <c r="BW2" s="11" t="s">
        <v>588</v>
      </c>
      <c r="BX2" s="11" t="s">
        <v>588</v>
      </c>
    </row>
    <row r="3" spans="1:76" x14ac:dyDescent="0.25">
      <c r="A3" s="11">
        <v>202122</v>
      </c>
      <c r="B3" s="11" t="s">
        <v>247</v>
      </c>
      <c r="C3" s="11" t="s">
        <v>247</v>
      </c>
      <c r="D3" s="11" t="s">
        <v>248</v>
      </c>
      <c r="E3" s="11" t="s">
        <v>249</v>
      </c>
      <c r="F3" s="11">
        <v>1</v>
      </c>
      <c r="G3" s="11" t="s">
        <v>511</v>
      </c>
      <c r="H3" s="11" t="s">
        <v>912</v>
      </c>
      <c r="I3" s="13">
        <v>44564</v>
      </c>
      <c r="J3" s="11">
        <f t="shared" si="0"/>
        <v>3</v>
      </c>
      <c r="K3" s="11">
        <f t="shared" si="1"/>
        <v>1</v>
      </c>
      <c r="L3" s="11">
        <f t="shared" si="2"/>
        <v>2022</v>
      </c>
      <c r="M3" s="11" t="str">
        <f t="shared" si="3"/>
        <v>03012022</v>
      </c>
      <c r="N3" s="11" t="s">
        <v>12</v>
      </c>
      <c r="O3" s="11" t="s">
        <v>36</v>
      </c>
      <c r="P3" s="23">
        <v>-38.607002000000001</v>
      </c>
      <c r="Q3" s="23">
        <v>145.533918</v>
      </c>
      <c r="R3" s="11" t="s">
        <v>588</v>
      </c>
      <c r="S3" s="11" t="s">
        <v>588</v>
      </c>
      <c r="T3" s="11">
        <v>2</v>
      </c>
      <c r="U3" s="11">
        <v>2</v>
      </c>
      <c r="V3" s="13" t="s">
        <v>588</v>
      </c>
      <c r="W3" s="11" t="s">
        <v>588</v>
      </c>
      <c r="X3" s="11">
        <v>4</v>
      </c>
      <c r="Y3" s="11">
        <v>4</v>
      </c>
      <c r="Z3" s="11" t="s">
        <v>41</v>
      </c>
      <c r="AA3" s="13">
        <v>44578</v>
      </c>
      <c r="AB3" s="11">
        <f t="shared" si="4"/>
        <v>17</v>
      </c>
      <c r="AC3" s="11">
        <f t="shared" si="5"/>
        <v>1</v>
      </c>
      <c r="AD3" s="11">
        <f t="shared" si="6"/>
        <v>2022</v>
      </c>
      <c r="AE3" s="13" t="str">
        <f t="shared" si="7"/>
        <v>17012022</v>
      </c>
      <c r="AF3" s="11" t="s">
        <v>12</v>
      </c>
      <c r="AG3" s="13">
        <v>44592</v>
      </c>
      <c r="AH3" s="11">
        <v>31</v>
      </c>
      <c r="AI3" s="11">
        <v>1</v>
      </c>
      <c r="AJ3" s="11">
        <v>2022</v>
      </c>
      <c r="AK3" s="13" t="s">
        <v>967</v>
      </c>
      <c r="AL3" s="11" t="s">
        <v>12</v>
      </c>
      <c r="AM3" s="11" t="s">
        <v>20</v>
      </c>
      <c r="AN3" s="11" t="s">
        <v>588</v>
      </c>
      <c r="AO3" s="11" t="s">
        <v>20</v>
      </c>
      <c r="AP3" s="11" t="s">
        <v>588</v>
      </c>
      <c r="AQ3" s="11" t="s">
        <v>588</v>
      </c>
      <c r="AR3" s="11" t="s">
        <v>588</v>
      </c>
      <c r="AS3" s="11" t="s">
        <v>588</v>
      </c>
      <c r="AT3" s="11" t="s">
        <v>588</v>
      </c>
      <c r="AU3" s="11" t="s">
        <v>588</v>
      </c>
      <c r="AV3" s="11" t="s">
        <v>588</v>
      </c>
      <c r="AW3" s="11" t="s">
        <v>588</v>
      </c>
      <c r="AX3" s="11" t="s">
        <v>588</v>
      </c>
      <c r="AY3" s="11" t="s">
        <v>588</v>
      </c>
      <c r="AZ3" s="11" t="s">
        <v>588</v>
      </c>
      <c r="BA3" s="11" t="s">
        <v>588</v>
      </c>
      <c r="BB3" s="11" t="s">
        <v>588</v>
      </c>
      <c r="BC3" s="11" t="s">
        <v>588</v>
      </c>
      <c r="BD3" s="11" t="s">
        <v>588</v>
      </c>
      <c r="BE3" s="11" t="s">
        <v>588</v>
      </c>
      <c r="BF3" s="11" t="s">
        <v>588</v>
      </c>
      <c r="BG3" s="11" t="s">
        <v>588</v>
      </c>
      <c r="BH3" s="11" t="s">
        <v>588</v>
      </c>
      <c r="BI3" s="11" t="s">
        <v>588</v>
      </c>
      <c r="BJ3" s="11" t="s">
        <v>588</v>
      </c>
      <c r="BK3" s="11" t="s">
        <v>588</v>
      </c>
      <c r="BL3" s="11" t="s">
        <v>588</v>
      </c>
      <c r="BM3" s="11" t="s">
        <v>588</v>
      </c>
      <c r="BN3" s="11" t="s">
        <v>588</v>
      </c>
      <c r="BO3" s="11" t="s">
        <v>588</v>
      </c>
      <c r="BP3" s="11" t="s">
        <v>41</v>
      </c>
      <c r="BQ3" s="11" t="s">
        <v>588</v>
      </c>
      <c r="BR3" s="11" t="s">
        <v>42</v>
      </c>
      <c r="BS3" s="11" t="s">
        <v>588</v>
      </c>
      <c r="BT3" s="11" t="s">
        <v>588</v>
      </c>
      <c r="BU3" s="11" t="s">
        <v>588</v>
      </c>
      <c r="BV3" s="11" t="s">
        <v>512</v>
      </c>
      <c r="BW3" s="11" t="s">
        <v>588</v>
      </c>
      <c r="BX3" s="11" t="s">
        <v>588</v>
      </c>
    </row>
    <row r="4" spans="1:76" x14ac:dyDescent="0.25">
      <c r="A4" s="11">
        <v>202122</v>
      </c>
      <c r="B4" s="11" t="s">
        <v>57</v>
      </c>
      <c r="C4" s="11" t="s">
        <v>57</v>
      </c>
      <c r="D4" s="11" t="s">
        <v>84</v>
      </c>
      <c r="E4" s="11" t="s">
        <v>16</v>
      </c>
      <c r="F4" s="11">
        <v>1</v>
      </c>
      <c r="G4" s="11" t="str">
        <f t="shared" ref="G4:G14" si="8">CONCATENATE(A4,"_",B4,"_",F4)</f>
        <v>202122_Cape Paterson - 2nd Surf Beach_1</v>
      </c>
      <c r="H4" s="11" t="s">
        <v>913</v>
      </c>
      <c r="I4" s="13">
        <v>44553</v>
      </c>
      <c r="J4" s="11">
        <f t="shared" si="0"/>
        <v>23</v>
      </c>
      <c r="K4" s="11">
        <f t="shared" si="1"/>
        <v>12</v>
      </c>
      <c r="L4" s="11">
        <f t="shared" si="2"/>
        <v>2021</v>
      </c>
      <c r="M4" s="11" t="str">
        <f t="shared" si="3"/>
        <v>23122021</v>
      </c>
      <c r="N4" s="11" t="s">
        <v>7</v>
      </c>
      <c r="O4" s="11" t="s">
        <v>36</v>
      </c>
      <c r="P4" s="23" t="s">
        <v>588</v>
      </c>
      <c r="Q4" s="23" t="s">
        <v>588</v>
      </c>
      <c r="R4" s="23">
        <v>-38.675387999999998</v>
      </c>
      <c r="S4" s="23">
        <v>145.602982</v>
      </c>
      <c r="T4" s="11">
        <v>2</v>
      </c>
      <c r="U4" s="11">
        <v>2</v>
      </c>
      <c r="V4" s="13" t="s">
        <v>588</v>
      </c>
      <c r="W4" s="11" t="s">
        <v>588</v>
      </c>
      <c r="X4" s="11">
        <v>22</v>
      </c>
      <c r="Y4" s="11">
        <v>19</v>
      </c>
      <c r="Z4" s="11" t="s">
        <v>8</v>
      </c>
      <c r="AA4" s="13">
        <v>44583</v>
      </c>
      <c r="AB4" s="11">
        <f t="shared" si="4"/>
        <v>22</v>
      </c>
      <c r="AC4" s="11">
        <f t="shared" si="5"/>
        <v>1</v>
      </c>
      <c r="AD4" s="11">
        <f t="shared" si="6"/>
        <v>2022</v>
      </c>
      <c r="AE4" s="13" t="str">
        <f t="shared" si="7"/>
        <v>22012022</v>
      </c>
      <c r="AF4" s="11" t="s">
        <v>12</v>
      </c>
      <c r="AG4" s="13" t="s">
        <v>588</v>
      </c>
      <c r="AH4" s="11" t="s">
        <v>588</v>
      </c>
      <c r="AI4" s="11" t="s">
        <v>588</v>
      </c>
      <c r="AJ4" s="11" t="s">
        <v>588</v>
      </c>
      <c r="AK4" s="13" t="s">
        <v>588</v>
      </c>
      <c r="AL4" s="11" t="s">
        <v>588</v>
      </c>
      <c r="AM4" s="13" t="s">
        <v>588</v>
      </c>
      <c r="AN4" s="11" t="s">
        <v>588</v>
      </c>
      <c r="AO4" s="13" t="s">
        <v>588</v>
      </c>
      <c r="AP4" s="13">
        <v>44584</v>
      </c>
      <c r="AQ4" s="11" t="s">
        <v>12</v>
      </c>
      <c r="AR4" s="11" t="s">
        <v>195</v>
      </c>
      <c r="AS4" s="11">
        <v>2</v>
      </c>
      <c r="AT4" s="11">
        <v>2</v>
      </c>
      <c r="AU4" s="13">
        <v>44592</v>
      </c>
      <c r="AV4" s="11" t="s">
        <v>12</v>
      </c>
      <c r="AW4" s="11" t="s">
        <v>20</v>
      </c>
      <c r="AX4" s="11" t="s">
        <v>588</v>
      </c>
      <c r="AY4" s="11" t="s">
        <v>20</v>
      </c>
      <c r="AZ4" s="13">
        <v>44600</v>
      </c>
      <c r="BA4" s="11" t="s">
        <v>21</v>
      </c>
      <c r="BB4" s="11" t="s">
        <v>20</v>
      </c>
      <c r="BC4" s="11" t="s">
        <v>588</v>
      </c>
      <c r="BD4" s="11" t="s">
        <v>20</v>
      </c>
      <c r="BE4" s="11" t="s">
        <v>588</v>
      </c>
      <c r="BF4" s="11" t="s">
        <v>588</v>
      </c>
      <c r="BG4" s="11" t="s">
        <v>588</v>
      </c>
      <c r="BH4" s="11" t="s">
        <v>588</v>
      </c>
      <c r="BI4" s="11" t="s">
        <v>588</v>
      </c>
      <c r="BJ4" s="11">
        <v>22</v>
      </c>
      <c r="BK4" s="11">
        <v>15</v>
      </c>
      <c r="BL4" s="11" t="s">
        <v>41</v>
      </c>
      <c r="BM4" s="11" t="s">
        <v>588</v>
      </c>
      <c r="BN4" s="11" t="s">
        <v>588</v>
      </c>
      <c r="BO4" s="11" t="s">
        <v>588</v>
      </c>
      <c r="BP4" s="11" t="s">
        <v>8</v>
      </c>
      <c r="BQ4" s="11" t="s">
        <v>9</v>
      </c>
      <c r="BR4" s="11" t="s">
        <v>9</v>
      </c>
      <c r="BS4" s="11" t="s">
        <v>8</v>
      </c>
      <c r="BT4" s="11" t="s">
        <v>97</v>
      </c>
      <c r="BU4" s="11" t="s">
        <v>97</v>
      </c>
      <c r="BV4" s="11" t="s">
        <v>588</v>
      </c>
      <c r="BW4" s="11" t="s">
        <v>588</v>
      </c>
      <c r="BX4" s="11" t="s">
        <v>588</v>
      </c>
    </row>
    <row r="5" spans="1:76" x14ac:dyDescent="0.25">
      <c r="A5" s="11">
        <v>202122</v>
      </c>
      <c r="B5" s="11" t="s">
        <v>23</v>
      </c>
      <c r="C5" s="11" t="s">
        <v>23</v>
      </c>
      <c r="D5" s="11" t="s">
        <v>61</v>
      </c>
      <c r="E5" s="11" t="s">
        <v>16</v>
      </c>
      <c r="F5" s="11">
        <v>1</v>
      </c>
      <c r="G5" s="11" t="str">
        <f t="shared" si="8"/>
        <v>202122_Cape Paterson - Pea Creek Estuary &amp; Undertow Bay_1</v>
      </c>
      <c r="H5" s="11" t="s">
        <v>914</v>
      </c>
      <c r="I5" s="13">
        <v>44458</v>
      </c>
      <c r="J5" s="11">
        <f t="shared" si="0"/>
        <v>19</v>
      </c>
      <c r="K5" s="11">
        <f t="shared" si="1"/>
        <v>9</v>
      </c>
      <c r="L5" s="11">
        <f t="shared" si="2"/>
        <v>2021</v>
      </c>
      <c r="M5" s="11" t="str">
        <f t="shared" si="3"/>
        <v>19092021</v>
      </c>
      <c r="N5" s="11" t="s">
        <v>28</v>
      </c>
      <c r="O5" s="11" t="s">
        <v>19</v>
      </c>
      <c r="P5" s="23" t="s">
        <v>588</v>
      </c>
      <c r="Q5" s="23" t="s">
        <v>588</v>
      </c>
      <c r="R5" s="23">
        <v>-38.673841000000003</v>
      </c>
      <c r="S5" s="23">
        <v>145.62131500000001</v>
      </c>
      <c r="T5" s="11">
        <v>3</v>
      </c>
      <c r="U5" s="11">
        <v>3</v>
      </c>
      <c r="V5" s="13" t="s">
        <v>588</v>
      </c>
      <c r="W5" s="11" t="s">
        <v>588</v>
      </c>
      <c r="X5" s="11">
        <v>9</v>
      </c>
      <c r="Y5" s="11">
        <v>9</v>
      </c>
      <c r="Z5" s="11" t="s">
        <v>41</v>
      </c>
      <c r="AA5" s="13">
        <v>44476</v>
      </c>
      <c r="AB5" s="11">
        <f t="shared" si="4"/>
        <v>7</v>
      </c>
      <c r="AC5" s="11">
        <f t="shared" si="5"/>
        <v>10</v>
      </c>
      <c r="AD5" s="11">
        <f t="shared" si="6"/>
        <v>2021</v>
      </c>
      <c r="AE5" s="13" t="str">
        <f t="shared" si="7"/>
        <v>07102021</v>
      </c>
      <c r="AF5" s="11" t="s">
        <v>29</v>
      </c>
      <c r="AG5" s="13">
        <v>44480</v>
      </c>
      <c r="AH5" s="11">
        <v>11</v>
      </c>
      <c r="AI5" s="11">
        <v>10</v>
      </c>
      <c r="AJ5" s="11">
        <v>2021</v>
      </c>
      <c r="AK5" s="13" t="s">
        <v>968</v>
      </c>
      <c r="AL5" s="11" t="s">
        <v>29</v>
      </c>
      <c r="AM5" s="11" t="s">
        <v>20</v>
      </c>
      <c r="AN5" s="11" t="s">
        <v>588</v>
      </c>
      <c r="AO5" s="11" t="s">
        <v>32</v>
      </c>
      <c r="AP5" s="11" t="s">
        <v>588</v>
      </c>
      <c r="AQ5" s="11" t="s">
        <v>588</v>
      </c>
      <c r="AR5" s="11" t="s">
        <v>588</v>
      </c>
      <c r="AS5" s="11" t="s">
        <v>588</v>
      </c>
      <c r="AT5" s="11" t="s">
        <v>588</v>
      </c>
      <c r="AU5" s="11" t="s">
        <v>588</v>
      </c>
      <c r="AV5" s="11" t="s">
        <v>588</v>
      </c>
      <c r="AW5" s="11" t="s">
        <v>588</v>
      </c>
      <c r="AX5" s="11" t="s">
        <v>588</v>
      </c>
      <c r="AY5" s="11" t="s">
        <v>588</v>
      </c>
      <c r="AZ5" s="11" t="s">
        <v>588</v>
      </c>
      <c r="BA5" s="11" t="s">
        <v>588</v>
      </c>
      <c r="BB5" s="11" t="s">
        <v>588</v>
      </c>
      <c r="BC5" s="11" t="s">
        <v>588</v>
      </c>
      <c r="BD5" s="11" t="s">
        <v>588</v>
      </c>
      <c r="BE5" s="11" t="s">
        <v>588</v>
      </c>
      <c r="BF5" s="11" t="s">
        <v>588</v>
      </c>
      <c r="BG5" s="11" t="s">
        <v>588</v>
      </c>
      <c r="BH5" s="11" t="s">
        <v>588</v>
      </c>
      <c r="BI5" s="11" t="s">
        <v>588</v>
      </c>
      <c r="BJ5" s="11" t="s">
        <v>588</v>
      </c>
      <c r="BK5" s="11" t="s">
        <v>588</v>
      </c>
      <c r="BL5" s="11" t="s">
        <v>588</v>
      </c>
      <c r="BM5" s="11" t="s">
        <v>588</v>
      </c>
      <c r="BN5" s="11" t="s">
        <v>588</v>
      </c>
      <c r="BO5" s="11" t="s">
        <v>588</v>
      </c>
      <c r="BP5" s="11" t="s">
        <v>8</v>
      </c>
      <c r="BQ5" s="11" t="s">
        <v>9</v>
      </c>
      <c r="BR5" s="11" t="s">
        <v>9</v>
      </c>
      <c r="BS5" s="11" t="s">
        <v>588</v>
      </c>
      <c r="BT5" s="11" t="s">
        <v>588</v>
      </c>
      <c r="BU5" s="11" t="s">
        <v>588</v>
      </c>
      <c r="BV5" s="11" t="s">
        <v>588</v>
      </c>
      <c r="BW5" s="11" t="s">
        <v>588</v>
      </c>
      <c r="BX5" s="11" t="s">
        <v>588</v>
      </c>
    </row>
    <row r="6" spans="1:76" x14ac:dyDescent="0.25">
      <c r="A6" s="11">
        <v>202122</v>
      </c>
      <c r="B6" s="11" t="s">
        <v>23</v>
      </c>
      <c r="C6" s="11" t="s">
        <v>23</v>
      </c>
      <c r="D6" s="11" t="s">
        <v>61</v>
      </c>
      <c r="E6" s="11" t="s">
        <v>16</v>
      </c>
      <c r="F6" s="11">
        <v>2</v>
      </c>
      <c r="G6" s="11" t="str">
        <f t="shared" si="8"/>
        <v>202122_Cape Paterson - Pea Creek Estuary &amp; Undertow Bay_2</v>
      </c>
      <c r="H6" s="11" t="s">
        <v>915</v>
      </c>
      <c r="I6" s="13">
        <v>44497</v>
      </c>
      <c r="J6" s="11">
        <f t="shared" si="0"/>
        <v>28</v>
      </c>
      <c r="K6" s="11">
        <f t="shared" si="1"/>
        <v>10</v>
      </c>
      <c r="L6" s="11">
        <f t="shared" si="2"/>
        <v>2021</v>
      </c>
      <c r="M6" s="11" t="str">
        <f t="shared" si="3"/>
        <v>28102021</v>
      </c>
      <c r="N6" s="11" t="s">
        <v>29</v>
      </c>
      <c r="O6" s="11" t="s">
        <v>19</v>
      </c>
      <c r="P6" s="23" t="s">
        <v>588</v>
      </c>
      <c r="Q6" s="23" t="s">
        <v>588</v>
      </c>
      <c r="R6" s="23">
        <v>-38.673788000000002</v>
      </c>
      <c r="S6" s="23">
        <v>145.62137000000001</v>
      </c>
      <c r="T6" s="11">
        <v>3</v>
      </c>
      <c r="U6" s="11">
        <v>3</v>
      </c>
      <c r="V6" s="13" t="s">
        <v>588</v>
      </c>
      <c r="W6" s="11" t="s">
        <v>588</v>
      </c>
      <c r="X6" s="11">
        <v>5</v>
      </c>
      <c r="Y6" s="11">
        <v>5</v>
      </c>
      <c r="Z6" s="11" t="s">
        <v>41</v>
      </c>
      <c r="AA6" s="13">
        <v>44505</v>
      </c>
      <c r="AB6" s="11">
        <f t="shared" si="4"/>
        <v>5</v>
      </c>
      <c r="AC6" s="11">
        <f t="shared" si="5"/>
        <v>11</v>
      </c>
      <c r="AD6" s="11">
        <f t="shared" si="6"/>
        <v>2021</v>
      </c>
      <c r="AE6" s="13" t="str">
        <f t="shared" si="7"/>
        <v>05112021</v>
      </c>
      <c r="AF6" s="11" t="s">
        <v>17</v>
      </c>
      <c r="AG6" s="13">
        <v>44506</v>
      </c>
      <c r="AH6" s="11">
        <v>6</v>
      </c>
      <c r="AI6" s="11">
        <v>11</v>
      </c>
      <c r="AJ6" s="11">
        <v>2021</v>
      </c>
      <c r="AK6" s="13" t="s">
        <v>969</v>
      </c>
      <c r="AL6" s="11" t="s">
        <v>17</v>
      </c>
      <c r="AM6" s="11" t="s">
        <v>20</v>
      </c>
      <c r="AN6" s="11" t="s">
        <v>588</v>
      </c>
      <c r="AO6" s="11" t="s">
        <v>48</v>
      </c>
      <c r="AP6" s="11" t="s">
        <v>588</v>
      </c>
      <c r="AQ6" s="11" t="s">
        <v>588</v>
      </c>
      <c r="AR6" s="11" t="s">
        <v>588</v>
      </c>
      <c r="AS6" s="11" t="s">
        <v>588</v>
      </c>
      <c r="AT6" s="11" t="s">
        <v>588</v>
      </c>
      <c r="AU6" s="11" t="s">
        <v>588</v>
      </c>
      <c r="AV6" s="11" t="s">
        <v>588</v>
      </c>
      <c r="AW6" s="11" t="s">
        <v>588</v>
      </c>
      <c r="AX6" s="11" t="s">
        <v>588</v>
      </c>
      <c r="AY6" s="11" t="s">
        <v>588</v>
      </c>
      <c r="AZ6" s="11" t="s">
        <v>588</v>
      </c>
      <c r="BA6" s="11" t="s">
        <v>588</v>
      </c>
      <c r="BB6" s="11" t="s">
        <v>588</v>
      </c>
      <c r="BC6" s="11" t="s">
        <v>588</v>
      </c>
      <c r="BD6" s="11" t="s">
        <v>588</v>
      </c>
      <c r="BE6" s="11" t="s">
        <v>588</v>
      </c>
      <c r="BF6" s="11" t="s">
        <v>588</v>
      </c>
      <c r="BG6" s="11" t="s">
        <v>588</v>
      </c>
      <c r="BH6" s="11" t="s">
        <v>588</v>
      </c>
      <c r="BI6" s="11" t="s">
        <v>588</v>
      </c>
      <c r="BJ6" s="11" t="s">
        <v>588</v>
      </c>
      <c r="BK6" s="11" t="s">
        <v>588</v>
      </c>
      <c r="BL6" s="11" t="s">
        <v>588</v>
      </c>
      <c r="BM6" s="11" t="s">
        <v>588</v>
      </c>
      <c r="BN6" s="11" t="s">
        <v>588</v>
      </c>
      <c r="BO6" s="11" t="s">
        <v>588</v>
      </c>
      <c r="BP6" s="11" t="s">
        <v>8</v>
      </c>
      <c r="BQ6" s="11" t="s">
        <v>9</v>
      </c>
      <c r="BR6" s="11" t="s">
        <v>9</v>
      </c>
      <c r="BS6" s="11" t="s">
        <v>588</v>
      </c>
      <c r="BT6" s="11" t="s">
        <v>588</v>
      </c>
      <c r="BU6" s="11" t="s">
        <v>588</v>
      </c>
      <c r="BV6" s="11" t="s">
        <v>588</v>
      </c>
      <c r="BW6" s="11" t="s">
        <v>588</v>
      </c>
      <c r="BX6" s="11" t="s">
        <v>588</v>
      </c>
    </row>
    <row r="7" spans="1:76" x14ac:dyDescent="0.25">
      <c r="A7" s="11">
        <v>202122</v>
      </c>
      <c r="B7" s="11" t="s">
        <v>23</v>
      </c>
      <c r="C7" s="11" t="s">
        <v>23</v>
      </c>
      <c r="D7" s="11" t="s">
        <v>61</v>
      </c>
      <c r="E7" s="11" t="s">
        <v>16</v>
      </c>
      <c r="F7" s="11">
        <v>3</v>
      </c>
      <c r="G7" s="11" t="str">
        <f t="shared" si="8"/>
        <v>202122_Cape Paterson - Pea Creek Estuary &amp; Undertow Bay_3</v>
      </c>
      <c r="H7" s="11" t="s">
        <v>916</v>
      </c>
      <c r="I7" s="13">
        <v>44517</v>
      </c>
      <c r="J7" s="11">
        <f t="shared" si="0"/>
        <v>17</v>
      </c>
      <c r="K7" s="11">
        <f t="shared" si="1"/>
        <v>11</v>
      </c>
      <c r="L7" s="11">
        <f t="shared" si="2"/>
        <v>2021</v>
      </c>
      <c r="M7" s="11" t="str">
        <f t="shared" si="3"/>
        <v>17112021</v>
      </c>
      <c r="N7" s="11" t="s">
        <v>17</v>
      </c>
      <c r="O7" s="11" t="s">
        <v>19</v>
      </c>
      <c r="P7" s="23" t="s">
        <v>588</v>
      </c>
      <c r="Q7" s="23" t="s">
        <v>588</v>
      </c>
      <c r="R7" s="23">
        <v>-38.673972999999997</v>
      </c>
      <c r="S7" s="23">
        <v>145.621239</v>
      </c>
      <c r="T7" s="11">
        <v>3</v>
      </c>
      <c r="U7" s="11">
        <v>3</v>
      </c>
      <c r="V7" s="13" t="s">
        <v>588</v>
      </c>
      <c r="W7" s="11" t="s">
        <v>588</v>
      </c>
      <c r="X7" s="11">
        <v>4</v>
      </c>
      <c r="Y7" s="11">
        <v>4</v>
      </c>
      <c r="Z7" s="11" t="s">
        <v>41</v>
      </c>
      <c r="AA7" s="13">
        <v>44520</v>
      </c>
      <c r="AB7" s="11">
        <f t="shared" si="4"/>
        <v>20</v>
      </c>
      <c r="AC7" s="11">
        <f t="shared" si="5"/>
        <v>11</v>
      </c>
      <c r="AD7" s="11">
        <f t="shared" si="6"/>
        <v>2021</v>
      </c>
      <c r="AE7" s="13" t="str">
        <f t="shared" si="7"/>
        <v>20112021</v>
      </c>
      <c r="AF7" s="11" t="s">
        <v>17</v>
      </c>
      <c r="AG7" s="13">
        <v>44521</v>
      </c>
      <c r="AH7" s="11">
        <v>21</v>
      </c>
      <c r="AI7" s="11">
        <v>11</v>
      </c>
      <c r="AJ7" s="11">
        <v>2021</v>
      </c>
      <c r="AK7" s="13" t="s">
        <v>970</v>
      </c>
      <c r="AL7" s="11" t="s">
        <v>17</v>
      </c>
      <c r="AM7" s="11" t="s">
        <v>20</v>
      </c>
      <c r="AN7" s="11" t="s">
        <v>588</v>
      </c>
      <c r="AO7" s="11" t="s">
        <v>20</v>
      </c>
      <c r="AP7" s="11" t="s">
        <v>588</v>
      </c>
      <c r="AQ7" s="11" t="s">
        <v>588</v>
      </c>
      <c r="AR7" s="11" t="s">
        <v>588</v>
      </c>
      <c r="AS7" s="11" t="s">
        <v>588</v>
      </c>
      <c r="AT7" s="11" t="s">
        <v>588</v>
      </c>
      <c r="AU7" s="11" t="s">
        <v>588</v>
      </c>
      <c r="AV7" s="11" t="s">
        <v>588</v>
      </c>
      <c r="AW7" s="11" t="s">
        <v>588</v>
      </c>
      <c r="AX7" s="11" t="s">
        <v>588</v>
      </c>
      <c r="AY7" s="11" t="s">
        <v>588</v>
      </c>
      <c r="AZ7" s="11" t="s">
        <v>588</v>
      </c>
      <c r="BA7" s="11" t="s">
        <v>588</v>
      </c>
      <c r="BB7" s="11" t="s">
        <v>588</v>
      </c>
      <c r="BC7" s="11" t="s">
        <v>588</v>
      </c>
      <c r="BD7" s="11" t="s">
        <v>588</v>
      </c>
      <c r="BE7" s="11" t="s">
        <v>588</v>
      </c>
      <c r="BF7" s="11" t="s">
        <v>588</v>
      </c>
      <c r="BG7" s="11" t="s">
        <v>588</v>
      </c>
      <c r="BH7" s="11" t="s">
        <v>588</v>
      </c>
      <c r="BI7" s="11" t="s">
        <v>588</v>
      </c>
      <c r="BJ7" s="11" t="s">
        <v>588</v>
      </c>
      <c r="BK7" s="11" t="s">
        <v>588</v>
      </c>
      <c r="BL7" s="11" t="s">
        <v>588</v>
      </c>
      <c r="BM7" s="11" t="s">
        <v>588</v>
      </c>
      <c r="BN7" s="11" t="s">
        <v>588</v>
      </c>
      <c r="BO7" s="11" t="s">
        <v>588</v>
      </c>
      <c r="BP7" s="11" t="s">
        <v>8</v>
      </c>
      <c r="BQ7" s="11" t="s">
        <v>9</v>
      </c>
      <c r="BR7" s="11" t="s">
        <v>9</v>
      </c>
      <c r="BS7" s="11" t="s">
        <v>588</v>
      </c>
      <c r="BT7" s="11" t="s">
        <v>588</v>
      </c>
      <c r="BU7" s="11" t="s">
        <v>588</v>
      </c>
      <c r="BV7" s="11" t="s">
        <v>588</v>
      </c>
      <c r="BW7" s="11" t="s">
        <v>588</v>
      </c>
      <c r="BX7" s="11" t="s">
        <v>588</v>
      </c>
    </row>
    <row r="8" spans="1:76" x14ac:dyDescent="0.25">
      <c r="A8" s="11">
        <v>202122</v>
      </c>
      <c r="B8" s="11" t="s">
        <v>23</v>
      </c>
      <c r="C8" s="11" t="s">
        <v>23</v>
      </c>
      <c r="D8" s="11" t="s">
        <v>61</v>
      </c>
      <c r="E8" s="11" t="s">
        <v>16</v>
      </c>
      <c r="F8" s="11">
        <v>4</v>
      </c>
      <c r="G8" s="11" t="str">
        <f t="shared" si="8"/>
        <v>202122_Cape Paterson - Pea Creek Estuary &amp; Undertow Bay_4</v>
      </c>
      <c r="H8" s="11" t="s">
        <v>917</v>
      </c>
      <c r="I8" s="13">
        <v>44533</v>
      </c>
      <c r="J8" s="11">
        <f t="shared" si="0"/>
        <v>3</v>
      </c>
      <c r="K8" s="11">
        <f t="shared" si="1"/>
        <v>12</v>
      </c>
      <c r="L8" s="11">
        <f t="shared" si="2"/>
        <v>2021</v>
      </c>
      <c r="M8" s="11" t="str">
        <f t="shared" si="3"/>
        <v>03122021</v>
      </c>
      <c r="N8" s="11" t="s">
        <v>7</v>
      </c>
      <c r="O8" s="11" t="s">
        <v>19</v>
      </c>
      <c r="P8" s="23" t="s">
        <v>588</v>
      </c>
      <c r="Q8" s="23" t="s">
        <v>588</v>
      </c>
      <c r="R8" s="23">
        <v>-38.673861000000002</v>
      </c>
      <c r="S8" s="23">
        <v>145.62147999999999</v>
      </c>
      <c r="T8" s="11">
        <v>3</v>
      </c>
      <c r="U8" s="11">
        <v>3</v>
      </c>
      <c r="V8" s="13" t="s">
        <v>588</v>
      </c>
      <c r="W8" s="11" t="s">
        <v>588</v>
      </c>
      <c r="X8" s="11">
        <v>4</v>
      </c>
      <c r="Y8" s="11">
        <v>3</v>
      </c>
      <c r="Z8" s="11" t="s">
        <v>41</v>
      </c>
      <c r="AA8" s="13">
        <v>44541</v>
      </c>
      <c r="AB8" s="11">
        <f t="shared" si="4"/>
        <v>11</v>
      </c>
      <c r="AC8" s="11">
        <f t="shared" si="5"/>
        <v>12</v>
      </c>
      <c r="AD8" s="11">
        <f t="shared" si="6"/>
        <v>2021</v>
      </c>
      <c r="AE8" s="13" t="str">
        <f t="shared" si="7"/>
        <v>11122021</v>
      </c>
      <c r="AF8" s="11" t="s">
        <v>7</v>
      </c>
      <c r="AG8" s="13">
        <v>44541</v>
      </c>
      <c r="AH8" s="11">
        <v>11</v>
      </c>
      <c r="AI8" s="11">
        <v>12</v>
      </c>
      <c r="AJ8" s="11">
        <v>2021</v>
      </c>
      <c r="AK8" s="13" t="s">
        <v>971</v>
      </c>
      <c r="AL8" s="11" t="s">
        <v>7</v>
      </c>
      <c r="AM8" s="11" t="s">
        <v>20</v>
      </c>
      <c r="AN8" s="11" t="s">
        <v>588</v>
      </c>
      <c r="AO8" s="11" t="s">
        <v>20</v>
      </c>
      <c r="AP8" s="11" t="s">
        <v>588</v>
      </c>
      <c r="AQ8" s="11" t="s">
        <v>588</v>
      </c>
      <c r="AR8" s="11" t="s">
        <v>588</v>
      </c>
      <c r="AS8" s="11" t="s">
        <v>588</v>
      </c>
      <c r="AT8" s="11" t="s">
        <v>588</v>
      </c>
      <c r="AU8" s="11" t="s">
        <v>588</v>
      </c>
      <c r="AV8" s="11" t="s">
        <v>588</v>
      </c>
      <c r="AW8" s="11" t="s">
        <v>588</v>
      </c>
      <c r="AX8" s="11" t="s">
        <v>588</v>
      </c>
      <c r="AY8" s="11" t="s">
        <v>588</v>
      </c>
      <c r="AZ8" s="11" t="s">
        <v>588</v>
      </c>
      <c r="BA8" s="11" t="s">
        <v>588</v>
      </c>
      <c r="BB8" s="11" t="s">
        <v>588</v>
      </c>
      <c r="BC8" s="11" t="s">
        <v>588</v>
      </c>
      <c r="BD8" s="11" t="s">
        <v>588</v>
      </c>
      <c r="BE8" s="11" t="s">
        <v>588</v>
      </c>
      <c r="BF8" s="11" t="s">
        <v>588</v>
      </c>
      <c r="BG8" s="11" t="s">
        <v>588</v>
      </c>
      <c r="BH8" s="11" t="s">
        <v>588</v>
      </c>
      <c r="BI8" s="11" t="s">
        <v>588</v>
      </c>
      <c r="BJ8" s="11" t="s">
        <v>588</v>
      </c>
      <c r="BK8" s="11" t="s">
        <v>588</v>
      </c>
      <c r="BL8" s="11" t="s">
        <v>588</v>
      </c>
      <c r="BM8" s="11" t="s">
        <v>588</v>
      </c>
      <c r="BN8" s="11" t="s">
        <v>588</v>
      </c>
      <c r="BO8" s="11" t="s">
        <v>588</v>
      </c>
      <c r="BP8" s="11" t="s">
        <v>8</v>
      </c>
      <c r="BQ8" s="11" t="s">
        <v>9</v>
      </c>
      <c r="BR8" s="11" t="s">
        <v>9</v>
      </c>
      <c r="BS8" s="11" t="s">
        <v>588</v>
      </c>
      <c r="BT8" s="11" t="s">
        <v>588</v>
      </c>
      <c r="BU8" s="11" t="s">
        <v>588</v>
      </c>
      <c r="BV8" s="11" t="s">
        <v>214</v>
      </c>
      <c r="BW8" s="11" t="s">
        <v>588</v>
      </c>
      <c r="BX8" s="11" t="s">
        <v>588</v>
      </c>
    </row>
    <row r="9" spans="1:76" x14ac:dyDescent="0.25">
      <c r="A9" s="11">
        <v>202122</v>
      </c>
      <c r="B9" s="11" t="s">
        <v>23</v>
      </c>
      <c r="C9" s="11" t="s">
        <v>23</v>
      </c>
      <c r="D9" s="11" t="s">
        <v>61</v>
      </c>
      <c r="E9" s="11" t="s">
        <v>16</v>
      </c>
      <c r="F9" s="11">
        <v>5</v>
      </c>
      <c r="G9" s="11" t="str">
        <f t="shared" si="8"/>
        <v>202122_Cape Paterson - Pea Creek Estuary &amp; Undertow Bay_5</v>
      </c>
      <c r="H9" s="11" t="s">
        <v>918</v>
      </c>
      <c r="I9" s="13">
        <v>44559</v>
      </c>
      <c r="J9" s="11">
        <f t="shared" si="0"/>
        <v>29</v>
      </c>
      <c r="K9" s="11">
        <f t="shared" si="1"/>
        <v>12</v>
      </c>
      <c r="L9" s="11">
        <f t="shared" si="2"/>
        <v>2021</v>
      </c>
      <c r="M9" s="11" t="str">
        <f t="shared" si="3"/>
        <v>29122021</v>
      </c>
      <c r="N9" s="11" t="s">
        <v>7</v>
      </c>
      <c r="O9" s="11" t="s">
        <v>19</v>
      </c>
      <c r="P9" s="23" t="s">
        <v>588</v>
      </c>
      <c r="Q9" s="23" t="s">
        <v>588</v>
      </c>
      <c r="R9" s="23">
        <v>-38.674019999999999</v>
      </c>
      <c r="S9" s="23">
        <v>145.621353</v>
      </c>
      <c r="T9" s="11">
        <v>2</v>
      </c>
      <c r="U9" s="11">
        <v>3</v>
      </c>
      <c r="V9" s="13" t="s">
        <v>588</v>
      </c>
      <c r="W9" s="11" t="s">
        <v>588</v>
      </c>
      <c r="X9" s="11">
        <v>5</v>
      </c>
      <c r="Y9" s="11">
        <v>5</v>
      </c>
      <c r="Z9" s="11" t="s">
        <v>41</v>
      </c>
      <c r="AA9" s="13">
        <v>44573</v>
      </c>
      <c r="AB9" s="11">
        <f t="shared" si="4"/>
        <v>12</v>
      </c>
      <c r="AC9" s="11">
        <f t="shared" si="5"/>
        <v>1</v>
      </c>
      <c r="AD9" s="11">
        <f t="shared" si="6"/>
        <v>2022</v>
      </c>
      <c r="AE9" s="13" t="str">
        <f t="shared" si="7"/>
        <v>12012022</v>
      </c>
      <c r="AF9" s="11" t="s">
        <v>12</v>
      </c>
      <c r="AG9" s="13">
        <v>44576</v>
      </c>
      <c r="AH9" s="11">
        <v>15</v>
      </c>
      <c r="AI9" s="11">
        <v>1</v>
      </c>
      <c r="AJ9" s="11">
        <v>2022</v>
      </c>
      <c r="AK9" s="13" t="s">
        <v>972</v>
      </c>
      <c r="AL9" s="11" t="s">
        <v>12</v>
      </c>
      <c r="AM9" s="11" t="s">
        <v>20</v>
      </c>
      <c r="AN9" s="11" t="s">
        <v>588</v>
      </c>
      <c r="AO9" s="11" t="s">
        <v>32</v>
      </c>
      <c r="AP9" s="11" t="s">
        <v>588</v>
      </c>
      <c r="AQ9" s="11" t="s">
        <v>588</v>
      </c>
      <c r="AR9" s="11" t="s">
        <v>588</v>
      </c>
      <c r="AS9" s="11" t="s">
        <v>588</v>
      </c>
      <c r="AT9" s="11" t="s">
        <v>588</v>
      </c>
      <c r="AU9" s="11" t="s">
        <v>588</v>
      </c>
      <c r="AV9" s="11" t="s">
        <v>588</v>
      </c>
      <c r="AW9" s="11" t="s">
        <v>588</v>
      </c>
      <c r="AX9" s="11" t="s">
        <v>588</v>
      </c>
      <c r="AY9" s="11" t="s">
        <v>588</v>
      </c>
      <c r="AZ9" s="11" t="s">
        <v>588</v>
      </c>
      <c r="BA9" s="11" t="s">
        <v>588</v>
      </c>
      <c r="BB9" s="11" t="s">
        <v>588</v>
      </c>
      <c r="BC9" s="11" t="s">
        <v>588</v>
      </c>
      <c r="BD9" s="11" t="s">
        <v>588</v>
      </c>
      <c r="BE9" s="11" t="s">
        <v>588</v>
      </c>
      <c r="BF9" s="11" t="s">
        <v>588</v>
      </c>
      <c r="BG9" s="11" t="s">
        <v>588</v>
      </c>
      <c r="BH9" s="11" t="s">
        <v>588</v>
      </c>
      <c r="BI9" s="11" t="s">
        <v>588</v>
      </c>
      <c r="BJ9" s="11" t="s">
        <v>588</v>
      </c>
      <c r="BK9" s="11" t="s">
        <v>588</v>
      </c>
      <c r="BL9" s="11" t="s">
        <v>588</v>
      </c>
      <c r="BM9" s="11" t="s">
        <v>588</v>
      </c>
      <c r="BN9" s="11" t="s">
        <v>588</v>
      </c>
      <c r="BO9" s="11" t="s">
        <v>588</v>
      </c>
      <c r="BP9" s="11" t="s">
        <v>8</v>
      </c>
      <c r="BQ9" s="11" t="s">
        <v>9</v>
      </c>
      <c r="BR9" s="11" t="s">
        <v>9</v>
      </c>
      <c r="BS9" s="11" t="s">
        <v>588</v>
      </c>
      <c r="BT9" s="11" t="s">
        <v>588</v>
      </c>
      <c r="BU9" s="11" t="s">
        <v>588</v>
      </c>
      <c r="BV9" s="11" t="s">
        <v>588</v>
      </c>
      <c r="BW9" s="11" t="s">
        <v>588</v>
      </c>
      <c r="BX9" s="11" t="s">
        <v>588</v>
      </c>
    </row>
    <row r="10" spans="1:76" x14ac:dyDescent="0.25">
      <c r="A10" s="11">
        <v>202122</v>
      </c>
      <c r="B10" s="11" t="s">
        <v>23</v>
      </c>
      <c r="C10" s="11" t="s">
        <v>23</v>
      </c>
      <c r="D10" s="11" t="s">
        <v>61</v>
      </c>
      <c r="E10" s="11" t="s">
        <v>16</v>
      </c>
      <c r="F10" s="11">
        <v>6</v>
      </c>
      <c r="G10" s="11" t="str">
        <f t="shared" si="8"/>
        <v>202122_Cape Paterson - Pea Creek Estuary &amp; Undertow Bay_6</v>
      </c>
      <c r="H10" s="11" t="s">
        <v>919</v>
      </c>
      <c r="I10" s="13">
        <v>44585</v>
      </c>
      <c r="J10" s="11">
        <f t="shared" si="0"/>
        <v>24</v>
      </c>
      <c r="K10" s="11">
        <f t="shared" si="1"/>
        <v>1</v>
      </c>
      <c r="L10" s="11">
        <f t="shared" si="2"/>
        <v>2022</v>
      </c>
      <c r="M10" s="11" t="str">
        <f t="shared" si="3"/>
        <v>24012022</v>
      </c>
      <c r="N10" s="11" t="s">
        <v>12</v>
      </c>
      <c r="O10" s="11" t="s">
        <v>19</v>
      </c>
      <c r="P10" s="23" t="s">
        <v>588</v>
      </c>
      <c r="Q10" s="23" t="s">
        <v>588</v>
      </c>
      <c r="R10" s="23">
        <v>-38.673768000000003</v>
      </c>
      <c r="S10" s="23">
        <v>145.621408</v>
      </c>
      <c r="T10" s="11">
        <v>2</v>
      </c>
      <c r="U10" s="11">
        <v>3</v>
      </c>
      <c r="V10" s="13" t="s">
        <v>588</v>
      </c>
      <c r="W10" s="11" t="s">
        <v>588</v>
      </c>
      <c r="X10" s="11">
        <v>4</v>
      </c>
      <c r="Y10" s="11">
        <v>4</v>
      </c>
      <c r="Z10" s="11" t="s">
        <v>41</v>
      </c>
      <c r="AA10" s="13">
        <v>44588</v>
      </c>
      <c r="AB10" s="11">
        <f t="shared" si="4"/>
        <v>27</v>
      </c>
      <c r="AC10" s="11">
        <f t="shared" si="5"/>
        <v>1</v>
      </c>
      <c r="AD10" s="11">
        <f t="shared" si="6"/>
        <v>2022</v>
      </c>
      <c r="AE10" s="13" t="str">
        <f t="shared" si="7"/>
        <v>27012022</v>
      </c>
      <c r="AF10" s="11" t="s">
        <v>12</v>
      </c>
      <c r="AG10" s="13">
        <v>44590</v>
      </c>
      <c r="AH10" s="11">
        <v>29</v>
      </c>
      <c r="AI10" s="11">
        <v>1</v>
      </c>
      <c r="AJ10" s="11">
        <v>2022</v>
      </c>
      <c r="AK10" s="13" t="s">
        <v>973</v>
      </c>
      <c r="AL10" s="11" t="s">
        <v>12</v>
      </c>
      <c r="AM10" s="11" t="s">
        <v>20</v>
      </c>
      <c r="AN10" s="11" t="s">
        <v>588</v>
      </c>
      <c r="AO10" s="11" t="s">
        <v>32</v>
      </c>
      <c r="AP10" s="11" t="s">
        <v>588</v>
      </c>
      <c r="AQ10" s="11" t="s">
        <v>588</v>
      </c>
      <c r="AR10" s="11" t="s">
        <v>588</v>
      </c>
      <c r="AS10" s="11" t="s">
        <v>588</v>
      </c>
      <c r="AT10" s="11" t="s">
        <v>588</v>
      </c>
      <c r="AU10" s="11" t="s">
        <v>588</v>
      </c>
      <c r="AV10" s="11" t="s">
        <v>588</v>
      </c>
      <c r="AW10" s="11" t="s">
        <v>588</v>
      </c>
      <c r="AX10" s="11" t="s">
        <v>588</v>
      </c>
      <c r="AY10" s="11" t="s">
        <v>588</v>
      </c>
      <c r="AZ10" s="11" t="s">
        <v>588</v>
      </c>
      <c r="BA10" s="11" t="s">
        <v>588</v>
      </c>
      <c r="BB10" s="11" t="s">
        <v>588</v>
      </c>
      <c r="BC10" s="11" t="s">
        <v>588</v>
      </c>
      <c r="BD10" s="11" t="s">
        <v>588</v>
      </c>
      <c r="BE10" s="11" t="s">
        <v>588</v>
      </c>
      <c r="BF10" s="11" t="s">
        <v>588</v>
      </c>
      <c r="BG10" s="11" t="s">
        <v>588</v>
      </c>
      <c r="BH10" s="11" t="s">
        <v>588</v>
      </c>
      <c r="BI10" s="11" t="s">
        <v>588</v>
      </c>
      <c r="BJ10" s="11" t="s">
        <v>588</v>
      </c>
      <c r="BK10" s="11" t="s">
        <v>588</v>
      </c>
      <c r="BL10" s="11" t="s">
        <v>588</v>
      </c>
      <c r="BM10" s="11" t="s">
        <v>588</v>
      </c>
      <c r="BN10" s="11" t="s">
        <v>588</v>
      </c>
      <c r="BO10" s="11" t="s">
        <v>588</v>
      </c>
      <c r="BP10" s="11" t="s">
        <v>8</v>
      </c>
      <c r="BQ10" s="11" t="s">
        <v>9</v>
      </c>
      <c r="BR10" s="11" t="s">
        <v>9</v>
      </c>
      <c r="BS10" s="11" t="s">
        <v>588</v>
      </c>
      <c r="BT10" s="11" t="s">
        <v>588</v>
      </c>
      <c r="BU10" s="11" t="s">
        <v>588</v>
      </c>
      <c r="BV10" s="11" t="s">
        <v>588</v>
      </c>
      <c r="BW10" s="11" t="s">
        <v>588</v>
      </c>
      <c r="BX10" s="11" t="s">
        <v>588</v>
      </c>
    </row>
    <row r="11" spans="1:76" x14ac:dyDescent="0.25">
      <c r="A11" s="11">
        <v>202122</v>
      </c>
      <c r="B11" s="11" t="s">
        <v>103</v>
      </c>
      <c r="C11" s="11" t="s">
        <v>46</v>
      </c>
      <c r="D11" s="11" t="s">
        <v>5</v>
      </c>
      <c r="E11" s="11" t="s">
        <v>100</v>
      </c>
      <c r="F11" s="11">
        <v>1</v>
      </c>
      <c r="G11" s="11" t="str">
        <f t="shared" si="8"/>
        <v>202122_Coal Creek Estuary - 2nd Bay East_EA&amp;Mtl_1</v>
      </c>
      <c r="H11" s="11" t="s">
        <v>920</v>
      </c>
      <c r="I11" s="13">
        <v>44529</v>
      </c>
      <c r="J11" s="11">
        <f t="shared" si="0"/>
        <v>29</v>
      </c>
      <c r="K11" s="11">
        <f t="shared" si="1"/>
        <v>11</v>
      </c>
      <c r="L11" s="11">
        <f t="shared" si="2"/>
        <v>2021</v>
      </c>
      <c r="M11" s="11" t="str">
        <f t="shared" si="3"/>
        <v>29112021</v>
      </c>
      <c r="N11" s="11" t="s">
        <v>17</v>
      </c>
      <c r="O11" s="11" t="s">
        <v>10</v>
      </c>
      <c r="P11" s="23">
        <v>-38.663811000000003</v>
      </c>
      <c r="Q11" s="23">
        <v>145.58368999999999</v>
      </c>
      <c r="R11" s="23" t="s">
        <v>588</v>
      </c>
      <c r="S11" s="23" t="s">
        <v>588</v>
      </c>
      <c r="T11" s="11">
        <v>2</v>
      </c>
      <c r="U11" s="11">
        <v>2</v>
      </c>
      <c r="V11" s="13" t="s">
        <v>588</v>
      </c>
      <c r="W11" s="11" t="s">
        <v>588</v>
      </c>
      <c r="X11" s="11">
        <v>3</v>
      </c>
      <c r="Y11" s="11">
        <v>3</v>
      </c>
      <c r="Z11" s="11" t="s">
        <v>41</v>
      </c>
      <c r="AA11" s="13">
        <v>44533</v>
      </c>
      <c r="AB11" s="11">
        <f t="shared" si="4"/>
        <v>3</v>
      </c>
      <c r="AC11" s="11">
        <f t="shared" si="5"/>
        <v>12</v>
      </c>
      <c r="AD11" s="11">
        <f t="shared" si="6"/>
        <v>2021</v>
      </c>
      <c r="AE11" s="13" t="str">
        <f t="shared" si="7"/>
        <v>03122021</v>
      </c>
      <c r="AF11" s="11" t="s">
        <v>7</v>
      </c>
      <c r="AG11" s="13">
        <v>44543</v>
      </c>
      <c r="AH11" s="11">
        <v>13</v>
      </c>
      <c r="AI11" s="11">
        <v>12</v>
      </c>
      <c r="AJ11" s="11">
        <v>2021</v>
      </c>
      <c r="AK11" s="13" t="s">
        <v>974</v>
      </c>
      <c r="AL11" s="11" t="s">
        <v>7</v>
      </c>
      <c r="AM11" s="11" t="s">
        <v>20</v>
      </c>
      <c r="AN11" s="11" t="s">
        <v>588</v>
      </c>
      <c r="AO11" s="11" t="s">
        <v>20</v>
      </c>
      <c r="AP11" s="11" t="s">
        <v>588</v>
      </c>
      <c r="AQ11" s="11" t="s">
        <v>588</v>
      </c>
      <c r="AR11" s="11" t="s">
        <v>588</v>
      </c>
      <c r="AS11" s="11" t="s">
        <v>588</v>
      </c>
      <c r="AT11" s="11" t="s">
        <v>588</v>
      </c>
      <c r="AU11" s="11" t="s">
        <v>588</v>
      </c>
      <c r="AV11" s="11" t="s">
        <v>588</v>
      </c>
      <c r="AW11" s="11" t="s">
        <v>588</v>
      </c>
      <c r="AX11" s="11" t="s">
        <v>588</v>
      </c>
      <c r="AY11" s="11" t="s">
        <v>588</v>
      </c>
      <c r="AZ11" s="11" t="s">
        <v>588</v>
      </c>
      <c r="BA11" s="11" t="s">
        <v>588</v>
      </c>
      <c r="BB11" s="11" t="s">
        <v>588</v>
      </c>
      <c r="BC11" s="11" t="s">
        <v>588</v>
      </c>
      <c r="BD11" s="11" t="s">
        <v>588</v>
      </c>
      <c r="BE11" s="11" t="s">
        <v>588</v>
      </c>
      <c r="BF11" s="11" t="s">
        <v>588</v>
      </c>
      <c r="BG11" s="11" t="s">
        <v>588</v>
      </c>
      <c r="BH11" s="11" t="s">
        <v>588</v>
      </c>
      <c r="BI11" s="11" t="s">
        <v>588</v>
      </c>
      <c r="BJ11" s="11" t="s">
        <v>588</v>
      </c>
      <c r="BK11" s="11" t="s">
        <v>588</v>
      </c>
      <c r="BL11" s="11" t="s">
        <v>588</v>
      </c>
      <c r="BM11" s="11" t="s">
        <v>588</v>
      </c>
      <c r="BN11" s="11" t="s">
        <v>588</v>
      </c>
      <c r="BO11" s="11" t="s">
        <v>588</v>
      </c>
      <c r="BP11" s="11" t="s">
        <v>41</v>
      </c>
      <c r="BQ11" s="11" t="s">
        <v>588</v>
      </c>
      <c r="BR11" s="11" t="s">
        <v>42</v>
      </c>
      <c r="BS11" s="11" t="s">
        <v>588</v>
      </c>
      <c r="BT11" s="11" t="s">
        <v>588</v>
      </c>
      <c r="BU11" s="11" t="s">
        <v>588</v>
      </c>
      <c r="BV11" s="11" t="s">
        <v>588</v>
      </c>
      <c r="BW11" s="11" t="s">
        <v>588</v>
      </c>
      <c r="BX11" s="11" t="s">
        <v>588</v>
      </c>
    </row>
    <row r="12" spans="1:76" x14ac:dyDescent="0.25">
      <c r="A12" s="11">
        <v>202122</v>
      </c>
      <c r="B12" s="11" t="s">
        <v>103</v>
      </c>
      <c r="C12" s="11" t="s">
        <v>46</v>
      </c>
      <c r="D12" s="11" t="s">
        <v>5</v>
      </c>
      <c r="E12" s="11" t="s">
        <v>100</v>
      </c>
      <c r="F12" s="11">
        <v>2</v>
      </c>
      <c r="G12" s="11" t="str">
        <f t="shared" si="8"/>
        <v>202122_Coal Creek Estuary - 2nd Bay East_EA&amp;Mtl_2</v>
      </c>
      <c r="H12" s="11" t="s">
        <v>921</v>
      </c>
      <c r="I12" s="13">
        <v>44560</v>
      </c>
      <c r="J12" s="11">
        <f t="shared" si="0"/>
        <v>30</v>
      </c>
      <c r="K12" s="11">
        <f t="shared" si="1"/>
        <v>12</v>
      </c>
      <c r="L12" s="11">
        <f t="shared" si="2"/>
        <v>2021</v>
      </c>
      <c r="M12" s="11" t="str">
        <f t="shared" si="3"/>
        <v>30122021</v>
      </c>
      <c r="N12" s="11" t="s">
        <v>7</v>
      </c>
      <c r="O12" s="11" t="s">
        <v>10</v>
      </c>
      <c r="P12" s="23">
        <v>-38.664493</v>
      </c>
      <c r="Q12" s="23">
        <v>145.584328</v>
      </c>
      <c r="R12" s="23" t="s">
        <v>588</v>
      </c>
      <c r="S12" s="23" t="s">
        <v>588</v>
      </c>
      <c r="T12" s="11">
        <v>3</v>
      </c>
      <c r="U12" s="11">
        <v>3</v>
      </c>
      <c r="V12" s="13" t="s">
        <v>588</v>
      </c>
      <c r="W12" s="11" t="s">
        <v>588</v>
      </c>
      <c r="X12" s="11">
        <v>7</v>
      </c>
      <c r="Y12" s="11">
        <v>6</v>
      </c>
      <c r="Z12" s="11" t="s">
        <v>41</v>
      </c>
      <c r="AA12" s="13">
        <v>44578</v>
      </c>
      <c r="AB12" s="11">
        <f t="shared" si="4"/>
        <v>17</v>
      </c>
      <c r="AC12" s="11">
        <f t="shared" si="5"/>
        <v>1</v>
      </c>
      <c r="AD12" s="11">
        <f t="shared" si="6"/>
        <v>2022</v>
      </c>
      <c r="AE12" s="13" t="str">
        <f t="shared" si="7"/>
        <v>17012022</v>
      </c>
      <c r="AF12" s="11" t="s">
        <v>12</v>
      </c>
      <c r="AG12" s="13">
        <v>44592</v>
      </c>
      <c r="AH12" s="11">
        <v>31</v>
      </c>
      <c r="AI12" s="11">
        <v>1</v>
      </c>
      <c r="AJ12" s="11">
        <v>2022</v>
      </c>
      <c r="AK12" s="13" t="s">
        <v>967</v>
      </c>
      <c r="AL12" s="11" t="s">
        <v>12</v>
      </c>
      <c r="AM12" s="11" t="s">
        <v>20</v>
      </c>
      <c r="AN12" s="11" t="s">
        <v>588</v>
      </c>
      <c r="AO12" s="11" t="s">
        <v>20</v>
      </c>
      <c r="AP12" s="11" t="s">
        <v>588</v>
      </c>
      <c r="AQ12" s="11" t="s">
        <v>588</v>
      </c>
      <c r="AR12" s="11" t="s">
        <v>588</v>
      </c>
      <c r="AS12" s="11" t="s">
        <v>588</v>
      </c>
      <c r="AT12" s="11" t="s">
        <v>588</v>
      </c>
      <c r="AU12" s="11" t="s">
        <v>588</v>
      </c>
      <c r="AV12" s="11" t="s">
        <v>588</v>
      </c>
      <c r="AW12" s="11" t="s">
        <v>588</v>
      </c>
      <c r="AX12" s="11" t="s">
        <v>588</v>
      </c>
      <c r="AY12" s="11" t="s">
        <v>588</v>
      </c>
      <c r="AZ12" s="11" t="s">
        <v>588</v>
      </c>
      <c r="BA12" s="11" t="s">
        <v>588</v>
      </c>
      <c r="BB12" s="11" t="s">
        <v>588</v>
      </c>
      <c r="BC12" s="11" t="s">
        <v>588</v>
      </c>
      <c r="BD12" s="11" t="s">
        <v>588</v>
      </c>
      <c r="BE12" s="11" t="s">
        <v>588</v>
      </c>
      <c r="BF12" s="11" t="s">
        <v>588</v>
      </c>
      <c r="BG12" s="11" t="s">
        <v>588</v>
      </c>
      <c r="BH12" s="11" t="s">
        <v>588</v>
      </c>
      <c r="BI12" s="11" t="s">
        <v>588</v>
      </c>
      <c r="BJ12" s="11" t="s">
        <v>588</v>
      </c>
      <c r="BK12" s="11" t="s">
        <v>588</v>
      </c>
      <c r="BL12" s="11" t="s">
        <v>588</v>
      </c>
      <c r="BM12" s="11" t="s">
        <v>588</v>
      </c>
      <c r="BN12" s="11" t="s">
        <v>588</v>
      </c>
      <c r="BO12" s="11" t="s">
        <v>588</v>
      </c>
      <c r="BP12" s="11" t="s">
        <v>41</v>
      </c>
      <c r="BQ12" s="11" t="s">
        <v>588</v>
      </c>
      <c r="BR12" s="11" t="s">
        <v>42</v>
      </c>
      <c r="BS12" s="11" t="s">
        <v>588</v>
      </c>
      <c r="BT12" s="11" t="s">
        <v>588</v>
      </c>
      <c r="BU12" s="11" t="s">
        <v>588</v>
      </c>
      <c r="BV12" s="11" t="s">
        <v>588</v>
      </c>
      <c r="BW12" s="11" t="s">
        <v>588</v>
      </c>
      <c r="BX12" s="11" t="s">
        <v>588</v>
      </c>
    </row>
    <row r="13" spans="1:76" x14ac:dyDescent="0.25">
      <c r="A13" s="11">
        <v>202122</v>
      </c>
      <c r="B13" s="11" t="s">
        <v>104</v>
      </c>
      <c r="C13" s="11" t="s">
        <v>46</v>
      </c>
      <c r="D13" s="11" t="s">
        <v>100</v>
      </c>
      <c r="E13" s="11" t="s">
        <v>16</v>
      </c>
      <c r="F13" s="11">
        <v>3</v>
      </c>
      <c r="G13" s="11" t="str">
        <f t="shared" si="8"/>
        <v>202122_Coal Creek Estuary - 2nd Bay East_Mtl&amp;Unb_3</v>
      </c>
      <c r="H13" s="11" t="s">
        <v>922</v>
      </c>
      <c r="I13" s="13">
        <v>44613</v>
      </c>
      <c r="J13" s="11">
        <f t="shared" si="0"/>
        <v>21</v>
      </c>
      <c r="K13" s="11">
        <f t="shared" si="1"/>
        <v>2</v>
      </c>
      <c r="L13" s="11">
        <f t="shared" si="2"/>
        <v>2022</v>
      </c>
      <c r="M13" s="11" t="str">
        <f t="shared" si="3"/>
        <v>21022022</v>
      </c>
      <c r="N13" s="11" t="s">
        <v>21</v>
      </c>
      <c r="O13" s="11" t="s">
        <v>10</v>
      </c>
      <c r="P13" s="23">
        <v>-38.664194999999999</v>
      </c>
      <c r="Q13" s="23">
        <v>145.58392599999999</v>
      </c>
      <c r="R13" s="23" t="s">
        <v>588</v>
      </c>
      <c r="S13" s="23" t="s">
        <v>588</v>
      </c>
      <c r="T13" s="11">
        <v>3</v>
      </c>
      <c r="U13" s="11">
        <v>3</v>
      </c>
      <c r="V13" s="13" t="s">
        <v>588</v>
      </c>
      <c r="W13" s="11" t="s">
        <v>588</v>
      </c>
      <c r="X13" s="11">
        <v>2</v>
      </c>
      <c r="Y13" s="11">
        <v>2</v>
      </c>
      <c r="Z13" s="11" t="s">
        <v>41</v>
      </c>
      <c r="AA13" s="13">
        <v>44613</v>
      </c>
      <c r="AB13" s="11">
        <f t="shared" si="4"/>
        <v>21</v>
      </c>
      <c r="AC13" s="11">
        <f t="shared" si="5"/>
        <v>2</v>
      </c>
      <c r="AD13" s="11">
        <f t="shared" si="6"/>
        <v>2022</v>
      </c>
      <c r="AE13" s="13" t="str">
        <f t="shared" si="7"/>
        <v>21022022</v>
      </c>
      <c r="AF13" s="11" t="s">
        <v>21</v>
      </c>
      <c r="AG13" s="13">
        <v>44628</v>
      </c>
      <c r="AH13" s="11">
        <v>8</v>
      </c>
      <c r="AI13" s="11">
        <v>3</v>
      </c>
      <c r="AJ13" s="11">
        <v>2022</v>
      </c>
      <c r="AK13" s="13" t="s">
        <v>975</v>
      </c>
      <c r="AL13" s="11" t="s">
        <v>22</v>
      </c>
      <c r="AM13" s="11" t="s">
        <v>20</v>
      </c>
      <c r="AN13" s="11" t="s">
        <v>588</v>
      </c>
      <c r="AO13" s="11" t="s">
        <v>11</v>
      </c>
      <c r="AP13" s="11" t="s">
        <v>588</v>
      </c>
      <c r="AQ13" s="11" t="s">
        <v>588</v>
      </c>
      <c r="AR13" s="11" t="s">
        <v>588</v>
      </c>
      <c r="AS13" s="11" t="s">
        <v>588</v>
      </c>
      <c r="AT13" s="11" t="s">
        <v>588</v>
      </c>
      <c r="AU13" s="11" t="s">
        <v>588</v>
      </c>
      <c r="AV13" s="11" t="s">
        <v>588</v>
      </c>
      <c r="AW13" s="11" t="s">
        <v>588</v>
      </c>
      <c r="AX13" s="11" t="s">
        <v>588</v>
      </c>
      <c r="AY13" s="11" t="s">
        <v>588</v>
      </c>
      <c r="AZ13" s="11" t="s">
        <v>588</v>
      </c>
      <c r="BA13" s="11" t="s">
        <v>588</v>
      </c>
      <c r="BB13" s="11" t="s">
        <v>588</v>
      </c>
      <c r="BC13" s="11" t="s">
        <v>588</v>
      </c>
      <c r="BD13" s="11" t="s">
        <v>588</v>
      </c>
      <c r="BE13" s="11" t="s">
        <v>588</v>
      </c>
      <c r="BF13" s="11" t="s">
        <v>588</v>
      </c>
      <c r="BG13" s="11" t="s">
        <v>588</v>
      </c>
      <c r="BH13" s="11" t="s">
        <v>588</v>
      </c>
      <c r="BI13" s="11" t="s">
        <v>588</v>
      </c>
      <c r="BJ13" s="11" t="s">
        <v>588</v>
      </c>
      <c r="BK13" s="11" t="s">
        <v>588</v>
      </c>
      <c r="BL13" s="11" t="s">
        <v>588</v>
      </c>
      <c r="BM13" s="11" t="s">
        <v>588</v>
      </c>
      <c r="BN13" s="11" t="s">
        <v>588</v>
      </c>
      <c r="BO13" s="11" t="s">
        <v>588</v>
      </c>
      <c r="BP13" s="11" t="s">
        <v>8</v>
      </c>
      <c r="BQ13" s="11" t="s">
        <v>13</v>
      </c>
      <c r="BR13" s="11" t="s">
        <v>13</v>
      </c>
      <c r="BS13" s="11" t="s">
        <v>588</v>
      </c>
      <c r="BT13" s="11" t="s">
        <v>588</v>
      </c>
      <c r="BU13" s="11" t="s">
        <v>588</v>
      </c>
      <c r="BV13" s="11" t="s">
        <v>215</v>
      </c>
      <c r="BW13" s="11" t="s">
        <v>588</v>
      </c>
      <c r="BX13" s="11" t="s">
        <v>588</v>
      </c>
    </row>
    <row r="14" spans="1:76" x14ac:dyDescent="0.25">
      <c r="A14" s="11">
        <v>202122</v>
      </c>
      <c r="B14" s="11" t="s">
        <v>14</v>
      </c>
      <c r="C14" s="11" t="s">
        <v>14</v>
      </c>
      <c r="D14" s="11" t="s">
        <v>82</v>
      </c>
      <c r="E14" s="11" t="s">
        <v>16</v>
      </c>
      <c r="F14" s="11">
        <v>1</v>
      </c>
      <c r="G14" s="11" t="str">
        <f t="shared" si="8"/>
        <v>202122_Coal Creek Estuary Mouth - Harmers Haven_1</v>
      </c>
      <c r="H14" s="11" t="s">
        <v>923</v>
      </c>
      <c r="I14" s="13">
        <v>44558</v>
      </c>
      <c r="J14" s="11">
        <f t="shared" si="0"/>
        <v>28</v>
      </c>
      <c r="K14" s="11">
        <f t="shared" si="1"/>
        <v>12</v>
      </c>
      <c r="L14" s="11">
        <f t="shared" si="2"/>
        <v>2021</v>
      </c>
      <c r="M14" s="11" t="str">
        <f t="shared" si="3"/>
        <v>28122021</v>
      </c>
      <c r="N14" s="11" t="s">
        <v>7</v>
      </c>
      <c r="O14" s="11" t="s">
        <v>19</v>
      </c>
      <c r="P14" s="11" t="s">
        <v>588</v>
      </c>
      <c r="Q14" s="11" t="s">
        <v>588</v>
      </c>
      <c r="R14" s="23">
        <v>-38.659351999999998</v>
      </c>
      <c r="S14" s="23">
        <v>145.580612</v>
      </c>
      <c r="T14" s="11">
        <v>3</v>
      </c>
      <c r="U14" s="11">
        <v>3</v>
      </c>
      <c r="V14" s="13" t="s">
        <v>588</v>
      </c>
      <c r="W14" s="11" t="s">
        <v>588</v>
      </c>
      <c r="X14" s="11">
        <v>6</v>
      </c>
      <c r="Y14" s="11">
        <v>4</v>
      </c>
      <c r="Z14" s="11" t="s">
        <v>216</v>
      </c>
      <c r="AA14" s="13">
        <v>44571</v>
      </c>
      <c r="AB14" s="11">
        <f t="shared" si="4"/>
        <v>10</v>
      </c>
      <c r="AC14" s="11">
        <f t="shared" si="5"/>
        <v>1</v>
      </c>
      <c r="AD14" s="11">
        <f t="shared" si="6"/>
        <v>2022</v>
      </c>
      <c r="AE14" s="13" t="str">
        <f t="shared" si="7"/>
        <v>10012022</v>
      </c>
      <c r="AF14" s="11" t="s">
        <v>12</v>
      </c>
      <c r="AG14" s="11" t="s">
        <v>588</v>
      </c>
      <c r="AH14" s="11" t="s">
        <v>588</v>
      </c>
      <c r="AI14" s="11" t="s">
        <v>588</v>
      </c>
      <c r="AJ14" s="11" t="s">
        <v>588</v>
      </c>
      <c r="AK14" s="13" t="s">
        <v>588</v>
      </c>
      <c r="AL14" s="11" t="s">
        <v>588</v>
      </c>
      <c r="AM14" s="11" t="s">
        <v>588</v>
      </c>
      <c r="AN14" s="11" t="s">
        <v>588</v>
      </c>
      <c r="AO14" s="11" t="s">
        <v>588</v>
      </c>
      <c r="AP14" s="13">
        <v>44578</v>
      </c>
      <c r="AQ14" s="11" t="s">
        <v>12</v>
      </c>
      <c r="AR14" s="11" t="s">
        <v>195</v>
      </c>
      <c r="AS14" s="11">
        <v>2</v>
      </c>
      <c r="AT14" s="11">
        <v>2</v>
      </c>
      <c r="AU14" s="11" t="s">
        <v>588</v>
      </c>
      <c r="AV14" s="11" t="s">
        <v>588</v>
      </c>
      <c r="AW14" s="11" t="s">
        <v>588</v>
      </c>
      <c r="AX14" s="11" t="s">
        <v>588</v>
      </c>
      <c r="AY14" s="11" t="s">
        <v>588</v>
      </c>
      <c r="AZ14" s="11" t="s">
        <v>588</v>
      </c>
      <c r="BA14" s="11" t="s">
        <v>588</v>
      </c>
      <c r="BB14" s="11" t="s">
        <v>588</v>
      </c>
      <c r="BC14" s="11" t="s">
        <v>588</v>
      </c>
      <c r="BD14" s="11" t="s">
        <v>588</v>
      </c>
      <c r="BE14" s="11" t="s">
        <v>588</v>
      </c>
      <c r="BF14" s="11" t="s">
        <v>588</v>
      </c>
      <c r="BG14" s="11" t="s">
        <v>588</v>
      </c>
      <c r="BH14" s="11" t="s">
        <v>588</v>
      </c>
      <c r="BI14" s="11" t="s">
        <v>588</v>
      </c>
      <c r="BJ14" s="11">
        <v>9</v>
      </c>
      <c r="BK14" s="11">
        <v>9</v>
      </c>
      <c r="BL14" s="11" t="s">
        <v>8</v>
      </c>
      <c r="BM14" s="11">
        <v>2</v>
      </c>
      <c r="BN14" s="13">
        <v>44631</v>
      </c>
      <c r="BO14" s="11" t="s">
        <v>22</v>
      </c>
      <c r="BP14" s="11" t="s">
        <v>8</v>
      </c>
      <c r="BQ14" s="11" t="s">
        <v>9</v>
      </c>
      <c r="BR14" s="11" t="s">
        <v>9</v>
      </c>
      <c r="BS14" s="11" t="s">
        <v>8</v>
      </c>
      <c r="BT14" s="11" t="s">
        <v>96</v>
      </c>
      <c r="BU14" s="11" t="s">
        <v>96</v>
      </c>
      <c r="BV14" s="11" t="s">
        <v>217</v>
      </c>
      <c r="BW14" s="11" t="s">
        <v>588</v>
      </c>
      <c r="BX14" s="11" t="s">
        <v>588</v>
      </c>
    </row>
    <row r="15" spans="1:76" x14ac:dyDescent="0.25">
      <c r="A15" s="11">
        <v>202122</v>
      </c>
      <c r="B15" s="11" t="s">
        <v>269</v>
      </c>
      <c r="C15" s="11" t="s">
        <v>269</v>
      </c>
      <c r="D15" s="11" t="s">
        <v>270</v>
      </c>
      <c r="E15" s="11" t="s">
        <v>16</v>
      </c>
      <c r="F15" s="11">
        <v>1</v>
      </c>
      <c r="G15" s="11" t="s">
        <v>513</v>
      </c>
      <c r="H15" s="11" t="s">
        <v>924</v>
      </c>
      <c r="I15" s="13">
        <v>44550</v>
      </c>
      <c r="J15" s="11">
        <f t="shared" si="0"/>
        <v>20</v>
      </c>
      <c r="K15" s="11">
        <f t="shared" si="1"/>
        <v>12</v>
      </c>
      <c r="L15" s="11">
        <f t="shared" si="2"/>
        <v>2021</v>
      </c>
      <c r="M15" s="11" t="str">
        <f t="shared" si="3"/>
        <v>20122021</v>
      </c>
      <c r="N15" s="11" t="s">
        <v>7</v>
      </c>
      <c r="O15" s="11" t="s">
        <v>51</v>
      </c>
      <c r="P15" s="23">
        <v>-38.634610000000002</v>
      </c>
      <c r="Q15" s="23">
        <v>145.55184</v>
      </c>
      <c r="R15" s="23" t="s">
        <v>588</v>
      </c>
      <c r="S15" s="23" t="s">
        <v>588</v>
      </c>
      <c r="T15" s="11">
        <v>1</v>
      </c>
      <c r="U15" s="11">
        <v>3</v>
      </c>
      <c r="V15" s="13" t="s">
        <v>588</v>
      </c>
      <c r="W15" s="11" t="s">
        <v>588</v>
      </c>
      <c r="X15" s="11">
        <v>2</v>
      </c>
      <c r="Y15" s="11">
        <v>2</v>
      </c>
      <c r="Z15" s="11" t="s">
        <v>41</v>
      </c>
      <c r="AA15" s="13">
        <v>44550</v>
      </c>
      <c r="AB15" s="11">
        <f t="shared" si="4"/>
        <v>20</v>
      </c>
      <c r="AC15" s="11">
        <f t="shared" si="5"/>
        <v>12</v>
      </c>
      <c r="AD15" s="11">
        <f t="shared" si="6"/>
        <v>2021</v>
      </c>
      <c r="AE15" s="13" t="str">
        <f t="shared" si="7"/>
        <v>20122021</v>
      </c>
      <c r="AF15" s="11" t="s">
        <v>7</v>
      </c>
      <c r="AG15" s="13">
        <v>44569</v>
      </c>
      <c r="AH15" s="11">
        <v>8</v>
      </c>
      <c r="AI15" s="11">
        <v>1</v>
      </c>
      <c r="AJ15" s="11">
        <v>2022</v>
      </c>
      <c r="AK15" s="13" t="s">
        <v>976</v>
      </c>
      <c r="AL15" s="11" t="s">
        <v>12</v>
      </c>
      <c r="AM15" s="11" t="s">
        <v>20</v>
      </c>
      <c r="AN15" s="11" t="s">
        <v>588</v>
      </c>
      <c r="AO15" s="11" t="s">
        <v>32</v>
      </c>
      <c r="AP15" s="11" t="s">
        <v>588</v>
      </c>
      <c r="AQ15" s="11" t="s">
        <v>588</v>
      </c>
      <c r="AR15" s="11" t="s">
        <v>588</v>
      </c>
      <c r="AS15" s="11" t="s">
        <v>588</v>
      </c>
      <c r="AT15" s="11" t="s">
        <v>588</v>
      </c>
      <c r="AU15" s="11" t="s">
        <v>588</v>
      </c>
      <c r="AV15" s="11" t="s">
        <v>588</v>
      </c>
      <c r="AW15" s="11" t="s">
        <v>588</v>
      </c>
      <c r="AX15" s="11" t="s">
        <v>588</v>
      </c>
      <c r="AY15" s="11" t="s">
        <v>588</v>
      </c>
      <c r="AZ15" s="11" t="s">
        <v>588</v>
      </c>
      <c r="BA15" s="11" t="s">
        <v>588</v>
      </c>
      <c r="BB15" s="11" t="s">
        <v>588</v>
      </c>
      <c r="BC15" s="11" t="s">
        <v>588</v>
      </c>
      <c r="BD15" s="11" t="s">
        <v>588</v>
      </c>
      <c r="BE15" s="11" t="s">
        <v>588</v>
      </c>
      <c r="BF15" s="11" t="s">
        <v>588</v>
      </c>
      <c r="BG15" s="11" t="s">
        <v>588</v>
      </c>
      <c r="BH15" s="11" t="s">
        <v>588</v>
      </c>
      <c r="BI15" s="11" t="s">
        <v>588</v>
      </c>
      <c r="BJ15" s="11" t="s">
        <v>588</v>
      </c>
      <c r="BK15" s="11" t="s">
        <v>588</v>
      </c>
      <c r="BL15" s="11" t="s">
        <v>588</v>
      </c>
      <c r="BM15" s="11" t="s">
        <v>588</v>
      </c>
      <c r="BN15" s="11" t="s">
        <v>588</v>
      </c>
      <c r="BO15" s="11" t="s">
        <v>588</v>
      </c>
      <c r="BP15" s="11" t="s">
        <v>8</v>
      </c>
      <c r="BQ15" s="11" t="s">
        <v>9</v>
      </c>
      <c r="BR15" s="11" t="s">
        <v>9</v>
      </c>
      <c r="BS15" s="11" t="s">
        <v>588</v>
      </c>
      <c r="BT15" s="11" t="s">
        <v>588</v>
      </c>
      <c r="BU15" s="11" t="s">
        <v>588</v>
      </c>
      <c r="BV15" s="11" t="s">
        <v>588</v>
      </c>
      <c r="BW15" s="11" t="s">
        <v>588</v>
      </c>
      <c r="BX15" s="11" t="s">
        <v>588</v>
      </c>
    </row>
    <row r="16" spans="1:76" x14ac:dyDescent="0.25">
      <c r="A16" s="11">
        <v>202122</v>
      </c>
      <c r="B16" s="11" t="s">
        <v>269</v>
      </c>
      <c r="C16" s="11" t="s">
        <v>269</v>
      </c>
      <c r="D16" s="11" t="s">
        <v>270</v>
      </c>
      <c r="E16" s="11" t="s">
        <v>16</v>
      </c>
      <c r="F16" s="11">
        <v>2</v>
      </c>
      <c r="G16" s="11" t="s">
        <v>514</v>
      </c>
      <c r="H16" s="11" t="s">
        <v>925</v>
      </c>
      <c r="I16" s="13">
        <v>44585</v>
      </c>
      <c r="J16" s="11">
        <f t="shared" si="0"/>
        <v>24</v>
      </c>
      <c r="K16" s="11">
        <f t="shared" si="1"/>
        <v>1</v>
      </c>
      <c r="L16" s="11">
        <f t="shared" si="2"/>
        <v>2022</v>
      </c>
      <c r="M16" s="11" t="str">
        <f t="shared" si="3"/>
        <v>24012022</v>
      </c>
      <c r="N16" s="11" t="s">
        <v>12</v>
      </c>
      <c r="O16" s="11" t="s">
        <v>10</v>
      </c>
      <c r="P16" s="23">
        <v>-38.635626000000002</v>
      </c>
      <c r="Q16" s="23">
        <v>145.55225899999999</v>
      </c>
      <c r="R16" s="23" t="s">
        <v>588</v>
      </c>
      <c r="S16" s="23" t="s">
        <v>588</v>
      </c>
      <c r="T16" s="11">
        <v>2</v>
      </c>
      <c r="U16" s="11">
        <v>2</v>
      </c>
      <c r="V16" s="13" t="s">
        <v>588</v>
      </c>
      <c r="W16" s="11" t="s">
        <v>588</v>
      </c>
      <c r="X16" s="11">
        <v>3</v>
      </c>
      <c r="Y16" s="11">
        <v>3</v>
      </c>
      <c r="Z16" s="11" t="s">
        <v>41</v>
      </c>
      <c r="AA16" s="13">
        <v>44590</v>
      </c>
      <c r="AB16" s="11">
        <f t="shared" si="4"/>
        <v>29</v>
      </c>
      <c r="AC16" s="11">
        <f t="shared" si="5"/>
        <v>1</v>
      </c>
      <c r="AD16" s="11">
        <f t="shared" si="6"/>
        <v>2022</v>
      </c>
      <c r="AE16" s="13" t="str">
        <f t="shared" si="7"/>
        <v>29012022</v>
      </c>
      <c r="AF16" s="11" t="s">
        <v>12</v>
      </c>
      <c r="AG16" s="13">
        <v>44620</v>
      </c>
      <c r="AH16" s="11">
        <v>28</v>
      </c>
      <c r="AI16" s="11">
        <v>2</v>
      </c>
      <c r="AJ16" s="11">
        <v>2022</v>
      </c>
      <c r="AK16" s="13" t="s">
        <v>977</v>
      </c>
      <c r="AL16" s="11" t="s">
        <v>21</v>
      </c>
      <c r="AM16" s="11" t="s">
        <v>20</v>
      </c>
      <c r="AN16" s="11" t="s">
        <v>588</v>
      </c>
      <c r="AO16" s="11" t="s">
        <v>20</v>
      </c>
      <c r="AP16" s="11" t="s">
        <v>588</v>
      </c>
      <c r="AQ16" s="11" t="s">
        <v>588</v>
      </c>
      <c r="AR16" s="11" t="s">
        <v>588</v>
      </c>
      <c r="AS16" s="11" t="s">
        <v>588</v>
      </c>
      <c r="AT16" s="11" t="s">
        <v>588</v>
      </c>
      <c r="AU16" s="11" t="s">
        <v>588</v>
      </c>
      <c r="AV16" s="11" t="s">
        <v>588</v>
      </c>
      <c r="AW16" s="11" t="s">
        <v>588</v>
      </c>
      <c r="AX16" s="11" t="s">
        <v>588</v>
      </c>
      <c r="AY16" s="11" t="s">
        <v>588</v>
      </c>
      <c r="AZ16" s="11" t="s">
        <v>588</v>
      </c>
      <c r="BA16" s="11" t="s">
        <v>588</v>
      </c>
      <c r="BB16" s="11" t="s">
        <v>588</v>
      </c>
      <c r="BC16" s="11" t="s">
        <v>588</v>
      </c>
      <c r="BD16" s="11" t="s">
        <v>588</v>
      </c>
      <c r="BE16" s="11" t="s">
        <v>588</v>
      </c>
      <c r="BF16" s="11" t="s">
        <v>588</v>
      </c>
      <c r="BG16" s="11" t="s">
        <v>588</v>
      </c>
      <c r="BH16" s="11" t="s">
        <v>588</v>
      </c>
      <c r="BI16" s="11" t="s">
        <v>588</v>
      </c>
      <c r="BJ16" s="11" t="s">
        <v>588</v>
      </c>
      <c r="BK16" s="11" t="s">
        <v>588</v>
      </c>
      <c r="BL16" s="11" t="s">
        <v>588</v>
      </c>
      <c r="BM16" s="11" t="s">
        <v>588</v>
      </c>
      <c r="BN16" s="11" t="s">
        <v>588</v>
      </c>
      <c r="BO16" s="11" t="s">
        <v>588</v>
      </c>
      <c r="BP16" s="11" t="s">
        <v>8</v>
      </c>
      <c r="BQ16" s="11" t="s">
        <v>9</v>
      </c>
      <c r="BR16" s="11" t="s">
        <v>9</v>
      </c>
      <c r="BS16" s="11" t="s">
        <v>588</v>
      </c>
      <c r="BT16" s="11" t="s">
        <v>588</v>
      </c>
      <c r="BU16" s="11" t="s">
        <v>588</v>
      </c>
      <c r="BV16" s="11" t="s">
        <v>588</v>
      </c>
      <c r="BW16" s="11" t="s">
        <v>588</v>
      </c>
      <c r="BX16" s="11" t="s">
        <v>588</v>
      </c>
    </row>
    <row r="17" spans="1:76" x14ac:dyDescent="0.25">
      <c r="A17" s="11">
        <v>202122</v>
      </c>
      <c r="B17" s="11" t="s">
        <v>274</v>
      </c>
      <c r="C17" s="11" t="s">
        <v>274</v>
      </c>
      <c r="D17" s="11" t="s">
        <v>276</v>
      </c>
      <c r="E17" s="11" t="s">
        <v>515</v>
      </c>
      <c r="F17" s="11">
        <v>1</v>
      </c>
      <c r="G17" s="11" t="s">
        <v>516</v>
      </c>
      <c r="H17" s="11" t="s">
        <v>926</v>
      </c>
      <c r="I17" s="13">
        <v>44550</v>
      </c>
      <c r="J17" s="11">
        <f t="shared" si="0"/>
        <v>20</v>
      </c>
      <c r="K17" s="11">
        <f t="shared" si="1"/>
        <v>12</v>
      </c>
      <c r="L17" s="11">
        <f t="shared" si="2"/>
        <v>2021</v>
      </c>
      <c r="M17" s="11" t="str">
        <f t="shared" si="3"/>
        <v>20122021</v>
      </c>
      <c r="N17" s="11" t="s">
        <v>7</v>
      </c>
      <c r="O17" s="11" t="s">
        <v>51</v>
      </c>
      <c r="P17" s="23">
        <v>-38.637509999999999</v>
      </c>
      <c r="Q17" s="23">
        <v>145.55341000000001</v>
      </c>
      <c r="R17" s="23" t="s">
        <v>588</v>
      </c>
      <c r="S17" s="23" t="s">
        <v>588</v>
      </c>
      <c r="T17" s="11">
        <v>3</v>
      </c>
      <c r="U17" s="11">
        <v>3</v>
      </c>
      <c r="V17" s="13" t="s">
        <v>588</v>
      </c>
      <c r="W17" s="11" t="s">
        <v>588</v>
      </c>
      <c r="X17" s="11">
        <v>7</v>
      </c>
      <c r="Y17" s="11">
        <v>6</v>
      </c>
      <c r="Z17" s="11" t="s">
        <v>41</v>
      </c>
      <c r="AA17" s="13">
        <v>44569</v>
      </c>
      <c r="AB17" s="11">
        <f t="shared" si="4"/>
        <v>8</v>
      </c>
      <c r="AC17" s="11">
        <f t="shared" si="5"/>
        <v>1</v>
      </c>
      <c r="AD17" s="11">
        <f t="shared" si="6"/>
        <v>2022</v>
      </c>
      <c r="AE17" s="13" t="str">
        <f t="shared" si="7"/>
        <v>08012022</v>
      </c>
      <c r="AF17" s="11" t="s">
        <v>12</v>
      </c>
      <c r="AG17" s="13">
        <v>44585</v>
      </c>
      <c r="AH17" s="11">
        <v>24</v>
      </c>
      <c r="AI17" s="11">
        <v>1</v>
      </c>
      <c r="AJ17" s="11">
        <v>2022</v>
      </c>
      <c r="AK17" s="13" t="s">
        <v>978</v>
      </c>
      <c r="AL17" s="11" t="s">
        <v>12</v>
      </c>
      <c r="AM17" s="11" t="s">
        <v>20</v>
      </c>
      <c r="AN17" s="11" t="s">
        <v>588</v>
      </c>
      <c r="AO17" s="11" t="s">
        <v>20</v>
      </c>
      <c r="AP17" s="11" t="s">
        <v>588</v>
      </c>
      <c r="AQ17" s="11" t="s">
        <v>588</v>
      </c>
      <c r="AR17" s="11" t="s">
        <v>588</v>
      </c>
      <c r="AS17" s="11" t="s">
        <v>588</v>
      </c>
      <c r="AT17" s="11" t="s">
        <v>588</v>
      </c>
      <c r="AU17" s="11" t="s">
        <v>588</v>
      </c>
      <c r="AV17" s="11" t="s">
        <v>588</v>
      </c>
      <c r="AW17" s="11" t="s">
        <v>588</v>
      </c>
      <c r="AX17" s="11" t="s">
        <v>588</v>
      </c>
      <c r="AY17" s="11" t="s">
        <v>588</v>
      </c>
      <c r="AZ17" s="11" t="s">
        <v>588</v>
      </c>
      <c r="BA17" s="11" t="s">
        <v>588</v>
      </c>
      <c r="BB17" s="11" t="s">
        <v>588</v>
      </c>
      <c r="BC17" s="11" t="s">
        <v>588</v>
      </c>
      <c r="BD17" s="11" t="s">
        <v>588</v>
      </c>
      <c r="BE17" s="11" t="s">
        <v>588</v>
      </c>
      <c r="BF17" s="11" t="s">
        <v>588</v>
      </c>
      <c r="BG17" s="11" t="s">
        <v>588</v>
      </c>
      <c r="BH17" s="11" t="s">
        <v>588</v>
      </c>
      <c r="BI17" s="11" t="s">
        <v>588</v>
      </c>
      <c r="BJ17" s="11" t="s">
        <v>588</v>
      </c>
      <c r="BK17" s="11" t="s">
        <v>588</v>
      </c>
      <c r="BL17" s="11" t="s">
        <v>588</v>
      </c>
      <c r="BM17" s="11" t="s">
        <v>588</v>
      </c>
      <c r="BN17" s="11" t="s">
        <v>588</v>
      </c>
      <c r="BO17" s="11" t="s">
        <v>588</v>
      </c>
      <c r="BP17" s="11" t="s">
        <v>8</v>
      </c>
      <c r="BQ17" s="11" t="s">
        <v>9</v>
      </c>
      <c r="BR17" s="11" t="s">
        <v>9</v>
      </c>
      <c r="BS17" s="11" t="s">
        <v>588</v>
      </c>
      <c r="BT17" s="11" t="s">
        <v>588</v>
      </c>
      <c r="BU17" s="11" t="s">
        <v>588</v>
      </c>
      <c r="BV17" s="11" t="s">
        <v>588</v>
      </c>
      <c r="BW17" s="11" t="s">
        <v>588</v>
      </c>
      <c r="BX17" s="11" t="s">
        <v>588</v>
      </c>
    </row>
    <row r="18" spans="1:76" x14ac:dyDescent="0.25">
      <c r="A18" s="11">
        <v>202122</v>
      </c>
      <c r="B18" s="11" t="s">
        <v>274</v>
      </c>
      <c r="C18" s="11" t="s">
        <v>274</v>
      </c>
      <c r="D18" s="11" t="s">
        <v>276</v>
      </c>
      <c r="E18" s="11" t="s">
        <v>515</v>
      </c>
      <c r="F18" s="11">
        <v>2</v>
      </c>
      <c r="G18" s="11" t="s">
        <v>517</v>
      </c>
      <c r="H18" s="11" t="s">
        <v>927</v>
      </c>
      <c r="I18" s="13">
        <v>44601</v>
      </c>
      <c r="J18" s="11">
        <f t="shared" si="0"/>
        <v>9</v>
      </c>
      <c r="K18" s="11">
        <f t="shared" si="1"/>
        <v>2</v>
      </c>
      <c r="L18" s="11">
        <f t="shared" si="2"/>
        <v>2022</v>
      </c>
      <c r="M18" s="11" t="str">
        <f t="shared" si="3"/>
        <v>09022022</v>
      </c>
      <c r="N18" s="11" t="s">
        <v>21</v>
      </c>
      <c r="O18" s="11" t="s">
        <v>10</v>
      </c>
      <c r="P18" s="11" t="s">
        <v>588</v>
      </c>
      <c r="Q18" s="11" t="s">
        <v>588</v>
      </c>
      <c r="R18" s="23">
        <v>-38.640934000000001</v>
      </c>
      <c r="S18" s="23">
        <v>145.55595400000001</v>
      </c>
      <c r="T18" s="11">
        <v>1</v>
      </c>
      <c r="U18" s="11">
        <v>1</v>
      </c>
      <c r="V18" s="13" t="s">
        <v>588</v>
      </c>
      <c r="W18" s="11" t="s">
        <v>588</v>
      </c>
      <c r="X18" s="11">
        <v>2</v>
      </c>
      <c r="Y18" s="11">
        <v>2</v>
      </c>
      <c r="Z18" s="11" t="s">
        <v>41</v>
      </c>
      <c r="AA18" s="13">
        <v>44601</v>
      </c>
      <c r="AB18" s="11">
        <f t="shared" si="4"/>
        <v>9</v>
      </c>
      <c r="AC18" s="11">
        <f t="shared" si="5"/>
        <v>2</v>
      </c>
      <c r="AD18" s="11">
        <f t="shared" si="6"/>
        <v>2022</v>
      </c>
      <c r="AE18" s="13" t="str">
        <f t="shared" si="7"/>
        <v>09022022</v>
      </c>
      <c r="AF18" s="11" t="s">
        <v>21</v>
      </c>
      <c r="AG18" s="13">
        <v>44602</v>
      </c>
      <c r="AH18" s="11">
        <v>10</v>
      </c>
      <c r="AI18" s="11">
        <v>2</v>
      </c>
      <c r="AJ18" s="11">
        <v>2022</v>
      </c>
      <c r="AK18" s="13" t="s">
        <v>979</v>
      </c>
      <c r="AL18" s="11" t="s">
        <v>21</v>
      </c>
      <c r="AM18" s="11" t="s">
        <v>20</v>
      </c>
      <c r="AN18" s="11" t="s">
        <v>588</v>
      </c>
      <c r="AO18" s="11" t="s">
        <v>20</v>
      </c>
      <c r="AP18" s="11" t="s">
        <v>588</v>
      </c>
      <c r="AQ18" s="11" t="s">
        <v>588</v>
      </c>
      <c r="AR18" s="11" t="s">
        <v>588</v>
      </c>
      <c r="AS18" s="11" t="s">
        <v>588</v>
      </c>
      <c r="AT18" s="11" t="s">
        <v>588</v>
      </c>
      <c r="AU18" s="11" t="s">
        <v>588</v>
      </c>
      <c r="AV18" s="11" t="s">
        <v>588</v>
      </c>
      <c r="AW18" s="11" t="s">
        <v>588</v>
      </c>
      <c r="AX18" s="11" t="s">
        <v>588</v>
      </c>
      <c r="AY18" s="11" t="s">
        <v>588</v>
      </c>
      <c r="AZ18" s="11" t="s">
        <v>588</v>
      </c>
      <c r="BA18" s="11" t="s">
        <v>588</v>
      </c>
      <c r="BB18" s="11" t="s">
        <v>588</v>
      </c>
      <c r="BC18" s="11" t="s">
        <v>588</v>
      </c>
      <c r="BD18" s="11" t="s">
        <v>588</v>
      </c>
      <c r="BE18" s="11" t="s">
        <v>588</v>
      </c>
      <c r="BF18" s="11" t="s">
        <v>588</v>
      </c>
      <c r="BG18" s="11" t="s">
        <v>588</v>
      </c>
      <c r="BH18" s="11" t="s">
        <v>588</v>
      </c>
      <c r="BI18" s="11" t="s">
        <v>588</v>
      </c>
      <c r="BJ18" s="11" t="s">
        <v>588</v>
      </c>
      <c r="BK18" s="11" t="s">
        <v>588</v>
      </c>
      <c r="BL18" s="11" t="s">
        <v>588</v>
      </c>
      <c r="BM18" s="11" t="s">
        <v>588</v>
      </c>
      <c r="BN18" s="11" t="s">
        <v>588</v>
      </c>
      <c r="BO18" s="11" t="s">
        <v>588</v>
      </c>
      <c r="BP18" s="11" t="s">
        <v>41</v>
      </c>
      <c r="BQ18" s="11" t="s">
        <v>588</v>
      </c>
      <c r="BR18" s="11" t="s">
        <v>42</v>
      </c>
      <c r="BS18" s="11" t="s">
        <v>588</v>
      </c>
      <c r="BT18" s="11" t="s">
        <v>588</v>
      </c>
      <c r="BU18" s="11" t="s">
        <v>588</v>
      </c>
      <c r="BV18" s="11" t="s">
        <v>588</v>
      </c>
      <c r="BW18" s="11" t="s">
        <v>588</v>
      </c>
      <c r="BX18" s="11" t="s">
        <v>588</v>
      </c>
    </row>
    <row r="19" spans="1:76" x14ac:dyDescent="0.25">
      <c r="A19" s="11">
        <v>202122</v>
      </c>
      <c r="B19" s="11" t="s">
        <v>284</v>
      </c>
      <c r="C19" s="11" t="s">
        <v>284</v>
      </c>
      <c r="D19" s="11" t="s">
        <v>285</v>
      </c>
      <c r="E19" s="11" t="s">
        <v>16</v>
      </c>
      <c r="F19" s="11">
        <v>1</v>
      </c>
      <c r="G19" s="11" t="s">
        <v>518</v>
      </c>
      <c r="H19" s="11" t="s">
        <v>928</v>
      </c>
      <c r="I19" s="13">
        <v>44522</v>
      </c>
      <c r="J19" s="11">
        <f t="shared" si="0"/>
        <v>22</v>
      </c>
      <c r="K19" s="11">
        <f t="shared" si="1"/>
        <v>11</v>
      </c>
      <c r="L19" s="11">
        <f t="shared" si="2"/>
        <v>2021</v>
      </c>
      <c r="M19" s="11" t="str">
        <f t="shared" si="3"/>
        <v>22112021</v>
      </c>
      <c r="N19" s="11" t="s">
        <v>17</v>
      </c>
      <c r="O19" s="11" t="s">
        <v>36</v>
      </c>
      <c r="P19" s="23">
        <v>-38.589663000000002</v>
      </c>
      <c r="Q19" s="23">
        <v>145.51747</v>
      </c>
      <c r="R19" s="23" t="s">
        <v>588</v>
      </c>
      <c r="S19" s="23" t="s">
        <v>588</v>
      </c>
      <c r="T19" s="11">
        <v>3</v>
      </c>
      <c r="U19" s="11">
        <v>3</v>
      </c>
      <c r="V19" s="13" t="s">
        <v>588</v>
      </c>
      <c r="W19" s="11" t="s">
        <v>588</v>
      </c>
      <c r="X19" s="11">
        <v>3</v>
      </c>
      <c r="Y19" s="11">
        <v>3</v>
      </c>
      <c r="Z19" s="11" t="s">
        <v>41</v>
      </c>
      <c r="AA19" s="13">
        <v>44529</v>
      </c>
      <c r="AB19" s="11">
        <f t="shared" si="4"/>
        <v>29</v>
      </c>
      <c r="AC19" s="11">
        <f t="shared" si="5"/>
        <v>11</v>
      </c>
      <c r="AD19" s="11">
        <f t="shared" si="6"/>
        <v>2021</v>
      </c>
      <c r="AE19" s="13" t="str">
        <f t="shared" si="7"/>
        <v>29112021</v>
      </c>
      <c r="AF19" s="11" t="s">
        <v>17</v>
      </c>
      <c r="AG19" s="13">
        <v>44540</v>
      </c>
      <c r="AH19" s="11">
        <v>10</v>
      </c>
      <c r="AI19" s="11">
        <v>12</v>
      </c>
      <c r="AJ19" s="11">
        <v>2021</v>
      </c>
      <c r="AK19" s="13" t="s">
        <v>980</v>
      </c>
      <c r="AL19" s="11" t="s">
        <v>7</v>
      </c>
      <c r="AM19" s="11" t="s">
        <v>20</v>
      </c>
      <c r="AN19" s="11" t="s">
        <v>588</v>
      </c>
      <c r="AO19" s="11" t="s">
        <v>20</v>
      </c>
      <c r="AP19" s="11" t="s">
        <v>588</v>
      </c>
      <c r="AQ19" s="11" t="s">
        <v>588</v>
      </c>
      <c r="AR19" s="11" t="s">
        <v>588</v>
      </c>
      <c r="AS19" s="11" t="s">
        <v>588</v>
      </c>
      <c r="AT19" s="11" t="s">
        <v>588</v>
      </c>
      <c r="AU19" s="11" t="s">
        <v>588</v>
      </c>
      <c r="AV19" s="11" t="s">
        <v>588</v>
      </c>
      <c r="AW19" s="11" t="s">
        <v>588</v>
      </c>
      <c r="AX19" s="11" t="s">
        <v>588</v>
      </c>
      <c r="AY19" s="11" t="s">
        <v>588</v>
      </c>
      <c r="AZ19" s="11" t="s">
        <v>588</v>
      </c>
      <c r="BA19" s="11" t="s">
        <v>588</v>
      </c>
      <c r="BB19" s="11" t="s">
        <v>588</v>
      </c>
      <c r="BC19" s="11" t="s">
        <v>588</v>
      </c>
      <c r="BD19" s="11" t="s">
        <v>588</v>
      </c>
      <c r="BE19" s="11" t="s">
        <v>588</v>
      </c>
      <c r="BF19" s="11" t="s">
        <v>588</v>
      </c>
      <c r="BG19" s="11" t="s">
        <v>588</v>
      </c>
      <c r="BH19" s="11" t="s">
        <v>588</v>
      </c>
      <c r="BI19" s="11" t="s">
        <v>588</v>
      </c>
      <c r="BJ19" s="11" t="s">
        <v>588</v>
      </c>
      <c r="BK19" s="11" t="s">
        <v>588</v>
      </c>
      <c r="BL19" s="11" t="s">
        <v>588</v>
      </c>
      <c r="BM19" s="11" t="s">
        <v>588</v>
      </c>
      <c r="BN19" s="11" t="s">
        <v>588</v>
      </c>
      <c r="BO19" s="11" t="s">
        <v>588</v>
      </c>
      <c r="BP19" s="11" t="s">
        <v>41</v>
      </c>
      <c r="BQ19" s="11" t="s">
        <v>588</v>
      </c>
      <c r="BR19" s="11" t="s">
        <v>42</v>
      </c>
      <c r="BS19" s="11" t="s">
        <v>588</v>
      </c>
      <c r="BT19" s="11" t="s">
        <v>588</v>
      </c>
      <c r="BU19" s="11" t="s">
        <v>588</v>
      </c>
      <c r="BV19" s="11" t="s">
        <v>588</v>
      </c>
      <c r="BW19" s="11" t="s">
        <v>588</v>
      </c>
      <c r="BX19" s="11" t="s">
        <v>588</v>
      </c>
    </row>
    <row r="20" spans="1:76" x14ac:dyDescent="0.25">
      <c r="A20" s="11">
        <v>202122</v>
      </c>
      <c r="B20" s="11" t="s">
        <v>284</v>
      </c>
      <c r="C20" s="11" t="s">
        <v>284</v>
      </c>
      <c r="D20" s="11" t="s">
        <v>285</v>
      </c>
      <c r="E20" s="11" t="s">
        <v>16</v>
      </c>
      <c r="F20" s="11">
        <v>2</v>
      </c>
      <c r="G20" s="11" t="s">
        <v>519</v>
      </c>
      <c r="H20" s="11" t="s">
        <v>929</v>
      </c>
      <c r="I20" s="13">
        <v>44578</v>
      </c>
      <c r="J20" s="11">
        <f t="shared" si="0"/>
        <v>17</v>
      </c>
      <c r="K20" s="11">
        <f t="shared" si="1"/>
        <v>1</v>
      </c>
      <c r="L20" s="11">
        <f t="shared" si="2"/>
        <v>2022</v>
      </c>
      <c r="M20" s="11" t="str">
        <f t="shared" si="3"/>
        <v>17012022</v>
      </c>
      <c r="N20" s="11" t="s">
        <v>12</v>
      </c>
      <c r="O20" s="11" t="s">
        <v>10</v>
      </c>
      <c r="P20" s="23">
        <v>-38.589441999999998</v>
      </c>
      <c r="Q20" s="23">
        <v>145.517109</v>
      </c>
      <c r="R20" s="23" t="s">
        <v>588</v>
      </c>
      <c r="S20" s="23" t="s">
        <v>588</v>
      </c>
      <c r="T20" s="11">
        <v>3</v>
      </c>
      <c r="U20" s="11">
        <v>3</v>
      </c>
      <c r="V20" s="13" t="s">
        <v>588</v>
      </c>
      <c r="W20" s="11" t="s">
        <v>588</v>
      </c>
      <c r="X20" s="11">
        <v>3</v>
      </c>
      <c r="Y20" s="11">
        <v>3</v>
      </c>
      <c r="Z20" s="11" t="s">
        <v>41</v>
      </c>
      <c r="AA20" s="13">
        <v>44585</v>
      </c>
      <c r="AB20" s="11">
        <f t="shared" si="4"/>
        <v>24</v>
      </c>
      <c r="AC20" s="11">
        <f t="shared" si="5"/>
        <v>1</v>
      </c>
      <c r="AD20" s="11">
        <f t="shared" si="6"/>
        <v>2022</v>
      </c>
      <c r="AE20" s="13" t="str">
        <f t="shared" si="7"/>
        <v>24012022</v>
      </c>
      <c r="AF20" s="11" t="s">
        <v>12</v>
      </c>
      <c r="AG20" s="13">
        <v>44596</v>
      </c>
      <c r="AH20" s="11">
        <v>4</v>
      </c>
      <c r="AI20" s="11">
        <v>2</v>
      </c>
      <c r="AJ20" s="11">
        <v>2022</v>
      </c>
      <c r="AK20" s="13" t="s">
        <v>981</v>
      </c>
      <c r="AL20" s="11" t="s">
        <v>21</v>
      </c>
      <c r="AM20" s="11" t="s">
        <v>20</v>
      </c>
      <c r="AN20" s="11" t="s">
        <v>588</v>
      </c>
      <c r="AO20" s="11" t="s">
        <v>11</v>
      </c>
      <c r="AP20" s="11" t="s">
        <v>588</v>
      </c>
      <c r="AQ20" s="11" t="s">
        <v>588</v>
      </c>
      <c r="AR20" s="11" t="s">
        <v>588</v>
      </c>
      <c r="AS20" s="11" t="s">
        <v>588</v>
      </c>
      <c r="AT20" s="11" t="s">
        <v>588</v>
      </c>
      <c r="AU20" s="11" t="s">
        <v>588</v>
      </c>
      <c r="AV20" s="11" t="s">
        <v>588</v>
      </c>
      <c r="AW20" s="11" t="s">
        <v>588</v>
      </c>
      <c r="AX20" s="11" t="s">
        <v>588</v>
      </c>
      <c r="AY20" s="11" t="s">
        <v>588</v>
      </c>
      <c r="AZ20" s="11" t="s">
        <v>588</v>
      </c>
      <c r="BA20" s="11" t="s">
        <v>588</v>
      </c>
      <c r="BB20" s="11" t="s">
        <v>588</v>
      </c>
      <c r="BC20" s="11" t="s">
        <v>588</v>
      </c>
      <c r="BD20" s="11" t="s">
        <v>588</v>
      </c>
      <c r="BE20" s="11" t="s">
        <v>588</v>
      </c>
      <c r="BF20" s="11" t="s">
        <v>588</v>
      </c>
      <c r="BG20" s="11" t="s">
        <v>588</v>
      </c>
      <c r="BH20" s="11" t="s">
        <v>588</v>
      </c>
      <c r="BI20" s="11" t="s">
        <v>588</v>
      </c>
      <c r="BJ20" s="11" t="s">
        <v>588</v>
      </c>
      <c r="BK20" s="11" t="s">
        <v>588</v>
      </c>
      <c r="BL20" s="11" t="s">
        <v>588</v>
      </c>
      <c r="BM20" s="11" t="s">
        <v>588</v>
      </c>
      <c r="BN20" s="11" t="s">
        <v>588</v>
      </c>
      <c r="BO20" s="11" t="s">
        <v>588</v>
      </c>
      <c r="BP20" s="11" t="s">
        <v>8</v>
      </c>
      <c r="BQ20" s="11" t="s">
        <v>13</v>
      </c>
      <c r="BR20" s="11" t="s">
        <v>13</v>
      </c>
      <c r="BS20" s="11" t="s">
        <v>588</v>
      </c>
      <c r="BT20" s="11" t="s">
        <v>588</v>
      </c>
      <c r="BU20" s="11" t="s">
        <v>588</v>
      </c>
      <c r="BV20" s="11" t="s">
        <v>588</v>
      </c>
      <c r="BW20" s="11" t="s">
        <v>588</v>
      </c>
      <c r="BX20" s="11" t="s">
        <v>588</v>
      </c>
    </row>
    <row r="21" spans="1:76" x14ac:dyDescent="0.25">
      <c r="A21" s="11">
        <v>202122</v>
      </c>
      <c r="B21" s="11" t="s">
        <v>284</v>
      </c>
      <c r="C21" s="11" t="s">
        <v>284</v>
      </c>
      <c r="D21" s="11" t="s">
        <v>285</v>
      </c>
      <c r="E21" s="11" t="s">
        <v>16</v>
      </c>
      <c r="F21" s="11">
        <v>3</v>
      </c>
      <c r="G21" s="11" t="s">
        <v>520</v>
      </c>
      <c r="H21" s="11" t="s">
        <v>930</v>
      </c>
      <c r="I21" s="13">
        <v>44613</v>
      </c>
      <c r="J21" s="11">
        <f t="shared" si="0"/>
        <v>21</v>
      </c>
      <c r="K21" s="11">
        <f t="shared" si="1"/>
        <v>2</v>
      </c>
      <c r="L21" s="11">
        <f t="shared" si="2"/>
        <v>2022</v>
      </c>
      <c r="M21" s="11" t="str">
        <f t="shared" si="3"/>
        <v>21022022</v>
      </c>
      <c r="N21" s="11" t="s">
        <v>21</v>
      </c>
      <c r="O21" s="11" t="s">
        <v>10</v>
      </c>
      <c r="P21" s="23">
        <v>-38.586728000000001</v>
      </c>
      <c r="Q21" s="23">
        <v>145.514759</v>
      </c>
      <c r="R21" s="23" t="s">
        <v>588</v>
      </c>
      <c r="S21" s="23" t="s">
        <v>588</v>
      </c>
      <c r="T21" s="11">
        <v>3</v>
      </c>
      <c r="U21" s="11">
        <v>3</v>
      </c>
      <c r="V21" s="13" t="s">
        <v>588</v>
      </c>
      <c r="W21" s="11" t="s">
        <v>588</v>
      </c>
      <c r="X21" s="11">
        <v>2</v>
      </c>
      <c r="Y21" s="11">
        <v>2</v>
      </c>
      <c r="Z21" s="11" t="s">
        <v>41</v>
      </c>
      <c r="AA21" s="13">
        <v>44613</v>
      </c>
      <c r="AB21" s="11">
        <f t="shared" si="4"/>
        <v>21</v>
      </c>
      <c r="AC21" s="11">
        <f t="shared" si="5"/>
        <v>2</v>
      </c>
      <c r="AD21" s="11">
        <f t="shared" si="6"/>
        <v>2022</v>
      </c>
      <c r="AE21" s="13" t="str">
        <f t="shared" si="7"/>
        <v>21022022</v>
      </c>
      <c r="AF21" s="11" t="s">
        <v>21</v>
      </c>
      <c r="AG21" s="13">
        <v>44620</v>
      </c>
      <c r="AH21" s="11">
        <v>28</v>
      </c>
      <c r="AI21" s="11">
        <v>2</v>
      </c>
      <c r="AJ21" s="11">
        <v>2022</v>
      </c>
      <c r="AK21" s="13" t="s">
        <v>977</v>
      </c>
      <c r="AL21" s="11" t="s">
        <v>21</v>
      </c>
      <c r="AM21" s="11" t="s">
        <v>20</v>
      </c>
      <c r="AN21" s="11" t="s">
        <v>588</v>
      </c>
      <c r="AO21" s="11" t="s">
        <v>48</v>
      </c>
      <c r="AP21" s="11" t="s">
        <v>588</v>
      </c>
      <c r="AQ21" s="11" t="s">
        <v>588</v>
      </c>
      <c r="AR21" s="11" t="s">
        <v>588</v>
      </c>
      <c r="AS21" s="11" t="s">
        <v>588</v>
      </c>
      <c r="AT21" s="11" t="s">
        <v>588</v>
      </c>
      <c r="AU21" s="11" t="s">
        <v>588</v>
      </c>
      <c r="AV21" s="11" t="s">
        <v>588</v>
      </c>
      <c r="AW21" s="11" t="s">
        <v>588</v>
      </c>
      <c r="AX21" s="11" t="s">
        <v>588</v>
      </c>
      <c r="AY21" s="11" t="s">
        <v>588</v>
      </c>
      <c r="AZ21" s="11" t="s">
        <v>588</v>
      </c>
      <c r="BA21" s="11" t="s">
        <v>588</v>
      </c>
      <c r="BB21" s="11" t="s">
        <v>588</v>
      </c>
      <c r="BC21" s="11" t="s">
        <v>588</v>
      </c>
      <c r="BD21" s="11" t="s">
        <v>588</v>
      </c>
      <c r="BE21" s="11" t="s">
        <v>588</v>
      </c>
      <c r="BF21" s="11" t="s">
        <v>588</v>
      </c>
      <c r="BG21" s="11" t="s">
        <v>588</v>
      </c>
      <c r="BH21" s="11" t="s">
        <v>588</v>
      </c>
      <c r="BI21" s="11" t="s">
        <v>588</v>
      </c>
      <c r="BJ21" s="11" t="s">
        <v>588</v>
      </c>
      <c r="BK21" s="11" t="s">
        <v>588</v>
      </c>
      <c r="BL21" s="11" t="s">
        <v>588</v>
      </c>
      <c r="BM21" s="11" t="s">
        <v>588</v>
      </c>
      <c r="BN21" s="11" t="s">
        <v>588</v>
      </c>
      <c r="BO21" s="11" t="s">
        <v>588</v>
      </c>
      <c r="BP21" s="11" t="s">
        <v>8</v>
      </c>
      <c r="BQ21" s="11" t="s">
        <v>9</v>
      </c>
      <c r="BR21" s="11" t="s">
        <v>9</v>
      </c>
      <c r="BS21" s="11" t="s">
        <v>588</v>
      </c>
      <c r="BT21" s="11" t="s">
        <v>588</v>
      </c>
      <c r="BU21" s="11" t="s">
        <v>588</v>
      </c>
      <c r="BV21" s="11" t="s">
        <v>588</v>
      </c>
      <c r="BW21" s="11" t="s">
        <v>588</v>
      </c>
      <c r="BX21" s="11" t="s">
        <v>588</v>
      </c>
    </row>
    <row r="22" spans="1:76" x14ac:dyDescent="0.25">
      <c r="A22" s="11">
        <v>202122</v>
      </c>
      <c r="B22" s="11" t="s">
        <v>521</v>
      </c>
      <c r="C22" s="11" t="s">
        <v>400</v>
      </c>
      <c r="D22" s="11" t="s">
        <v>267</v>
      </c>
      <c r="E22" s="11" t="s">
        <v>388</v>
      </c>
      <c r="F22" s="11">
        <v>1</v>
      </c>
      <c r="G22" s="11" t="s">
        <v>522</v>
      </c>
      <c r="H22" s="11" t="s">
        <v>931</v>
      </c>
      <c r="I22" s="13">
        <v>44548</v>
      </c>
      <c r="J22" s="11">
        <f t="shared" si="0"/>
        <v>18</v>
      </c>
      <c r="K22" s="11">
        <f t="shared" si="1"/>
        <v>12</v>
      </c>
      <c r="L22" s="11">
        <f t="shared" si="2"/>
        <v>2021</v>
      </c>
      <c r="M22" s="11" t="str">
        <f t="shared" si="3"/>
        <v>18122021</v>
      </c>
      <c r="N22" s="11" t="s">
        <v>7</v>
      </c>
      <c r="O22" s="11" t="s">
        <v>10</v>
      </c>
      <c r="P22" s="11" t="s">
        <v>588</v>
      </c>
      <c r="Q22" s="11" t="s">
        <v>588</v>
      </c>
      <c r="R22" s="23">
        <v>-38.652355</v>
      </c>
      <c r="S22" s="23">
        <v>145.56368399999999</v>
      </c>
      <c r="T22" s="11">
        <v>3</v>
      </c>
      <c r="U22" s="11">
        <v>3</v>
      </c>
      <c r="V22" s="13">
        <v>44549</v>
      </c>
      <c r="W22" s="11" t="s">
        <v>223</v>
      </c>
      <c r="X22" s="11">
        <v>3</v>
      </c>
      <c r="Y22" s="11">
        <v>3</v>
      </c>
      <c r="Z22" s="11" t="s">
        <v>41</v>
      </c>
      <c r="AA22" s="13">
        <v>44549</v>
      </c>
      <c r="AB22" s="11">
        <f t="shared" si="4"/>
        <v>19</v>
      </c>
      <c r="AC22" s="11">
        <f t="shared" si="5"/>
        <v>12</v>
      </c>
      <c r="AD22" s="11">
        <f t="shared" si="6"/>
        <v>2021</v>
      </c>
      <c r="AE22" s="13" t="str">
        <f t="shared" si="7"/>
        <v>19122021</v>
      </c>
      <c r="AF22" s="11" t="s">
        <v>7</v>
      </c>
      <c r="AG22" s="13">
        <v>44550</v>
      </c>
      <c r="AH22" s="11">
        <v>20</v>
      </c>
      <c r="AI22" s="11">
        <v>12</v>
      </c>
      <c r="AJ22" s="11">
        <v>2021</v>
      </c>
      <c r="AK22" s="13" t="s">
        <v>982</v>
      </c>
      <c r="AL22" s="11" t="s">
        <v>7</v>
      </c>
      <c r="AM22" s="11" t="s">
        <v>20</v>
      </c>
      <c r="AN22" s="11" t="s">
        <v>588</v>
      </c>
      <c r="AO22" s="11" t="s">
        <v>11</v>
      </c>
      <c r="AP22" s="11" t="s">
        <v>588</v>
      </c>
      <c r="AQ22" s="11" t="s">
        <v>588</v>
      </c>
      <c r="AR22" s="11" t="s">
        <v>588</v>
      </c>
      <c r="AS22" s="11" t="s">
        <v>588</v>
      </c>
      <c r="AT22" s="11" t="s">
        <v>588</v>
      </c>
      <c r="AU22" s="11" t="s">
        <v>588</v>
      </c>
      <c r="AV22" s="11" t="s">
        <v>588</v>
      </c>
      <c r="AW22" s="11" t="s">
        <v>588</v>
      </c>
      <c r="AX22" s="11" t="s">
        <v>588</v>
      </c>
      <c r="AY22" s="11" t="s">
        <v>588</v>
      </c>
      <c r="AZ22" s="11" t="s">
        <v>588</v>
      </c>
      <c r="BA22" s="11" t="s">
        <v>588</v>
      </c>
      <c r="BB22" s="11" t="s">
        <v>588</v>
      </c>
      <c r="BC22" s="11" t="s">
        <v>588</v>
      </c>
      <c r="BD22" s="11" t="s">
        <v>588</v>
      </c>
      <c r="BE22" s="11" t="s">
        <v>588</v>
      </c>
      <c r="BF22" s="11" t="s">
        <v>588</v>
      </c>
      <c r="BG22" s="11" t="s">
        <v>588</v>
      </c>
      <c r="BH22" s="11" t="s">
        <v>588</v>
      </c>
      <c r="BI22" s="11" t="s">
        <v>588</v>
      </c>
      <c r="BJ22" s="11" t="s">
        <v>588</v>
      </c>
      <c r="BK22" s="11" t="s">
        <v>588</v>
      </c>
      <c r="BL22" s="11" t="s">
        <v>588</v>
      </c>
      <c r="BM22" s="11" t="s">
        <v>588</v>
      </c>
      <c r="BN22" s="11" t="s">
        <v>588</v>
      </c>
      <c r="BO22" s="11" t="s">
        <v>588</v>
      </c>
      <c r="BP22" s="11" t="s">
        <v>8</v>
      </c>
      <c r="BQ22" s="11" t="s">
        <v>9</v>
      </c>
      <c r="BR22" s="11" t="s">
        <v>9</v>
      </c>
      <c r="BS22" s="11" t="s">
        <v>588</v>
      </c>
      <c r="BT22" s="11" t="s">
        <v>588</v>
      </c>
      <c r="BU22" s="11" t="s">
        <v>588</v>
      </c>
      <c r="BV22" s="11" t="s">
        <v>523</v>
      </c>
      <c r="BW22" s="11" t="s">
        <v>588</v>
      </c>
      <c r="BX22" s="11" t="s">
        <v>588</v>
      </c>
    </row>
    <row r="23" spans="1:76" x14ac:dyDescent="0.25">
      <c r="A23" s="11">
        <v>202122</v>
      </c>
      <c r="B23" s="11" t="s">
        <v>521</v>
      </c>
      <c r="C23" s="11" t="s">
        <v>400</v>
      </c>
      <c r="D23" s="11" t="s">
        <v>267</v>
      </c>
      <c r="E23" s="11" t="s">
        <v>388</v>
      </c>
      <c r="F23" s="11">
        <v>2</v>
      </c>
      <c r="G23" s="11" t="s">
        <v>524</v>
      </c>
      <c r="H23" s="11" t="s">
        <v>932</v>
      </c>
      <c r="I23" s="13">
        <v>44559</v>
      </c>
      <c r="J23" s="11">
        <f t="shared" si="0"/>
        <v>29</v>
      </c>
      <c r="K23" s="11">
        <f t="shared" si="1"/>
        <v>12</v>
      </c>
      <c r="L23" s="11">
        <f t="shared" si="2"/>
        <v>2021</v>
      </c>
      <c r="M23" s="11" t="str">
        <f t="shared" si="3"/>
        <v>29122021</v>
      </c>
      <c r="N23" s="11" t="s">
        <v>7</v>
      </c>
      <c r="O23" s="11" t="s">
        <v>10</v>
      </c>
      <c r="P23" s="23">
        <v>-38.653177999999997</v>
      </c>
      <c r="Q23" s="23">
        <v>145.56446299999999</v>
      </c>
      <c r="R23" s="23" t="s">
        <v>588</v>
      </c>
      <c r="S23" s="23" t="s">
        <v>588</v>
      </c>
      <c r="T23" s="11">
        <v>2</v>
      </c>
      <c r="U23" s="11">
        <v>2</v>
      </c>
      <c r="V23" s="13" t="s">
        <v>588</v>
      </c>
      <c r="W23" s="11" t="s">
        <v>588</v>
      </c>
      <c r="X23" s="11">
        <v>5</v>
      </c>
      <c r="Y23" s="11">
        <v>5</v>
      </c>
      <c r="Z23" s="11" t="s">
        <v>41</v>
      </c>
      <c r="AA23" s="13">
        <v>44570</v>
      </c>
      <c r="AB23" s="11">
        <f t="shared" si="4"/>
        <v>9</v>
      </c>
      <c r="AC23" s="11">
        <f t="shared" si="5"/>
        <v>1</v>
      </c>
      <c r="AD23" s="11">
        <f t="shared" si="6"/>
        <v>2022</v>
      </c>
      <c r="AE23" s="13" t="str">
        <f t="shared" si="7"/>
        <v>09012022</v>
      </c>
      <c r="AF23" s="11" t="s">
        <v>12</v>
      </c>
      <c r="AG23" s="13">
        <v>44572</v>
      </c>
      <c r="AH23" s="11">
        <v>11</v>
      </c>
      <c r="AI23" s="11">
        <v>1</v>
      </c>
      <c r="AJ23" s="11">
        <v>2022</v>
      </c>
      <c r="AK23" s="13" t="s">
        <v>983</v>
      </c>
      <c r="AL23" s="11" t="s">
        <v>12</v>
      </c>
      <c r="AM23" s="11" t="s">
        <v>20</v>
      </c>
      <c r="AN23" s="11" t="s">
        <v>588</v>
      </c>
      <c r="AO23" s="11" t="s">
        <v>32</v>
      </c>
      <c r="AP23" s="11" t="s">
        <v>588</v>
      </c>
      <c r="AQ23" s="11" t="s">
        <v>588</v>
      </c>
      <c r="AR23" s="11" t="s">
        <v>588</v>
      </c>
      <c r="AS23" s="11" t="s">
        <v>588</v>
      </c>
      <c r="AT23" s="11" t="s">
        <v>588</v>
      </c>
      <c r="AU23" s="11" t="s">
        <v>588</v>
      </c>
      <c r="AV23" s="11" t="s">
        <v>588</v>
      </c>
      <c r="AW23" s="11" t="s">
        <v>588</v>
      </c>
      <c r="AX23" s="11" t="s">
        <v>588</v>
      </c>
      <c r="AY23" s="11" t="s">
        <v>588</v>
      </c>
      <c r="AZ23" s="11" t="s">
        <v>588</v>
      </c>
      <c r="BA23" s="11" t="s">
        <v>588</v>
      </c>
      <c r="BB23" s="11" t="s">
        <v>588</v>
      </c>
      <c r="BC23" s="11" t="s">
        <v>588</v>
      </c>
      <c r="BD23" s="11" t="s">
        <v>588</v>
      </c>
      <c r="BE23" s="11" t="s">
        <v>588</v>
      </c>
      <c r="BF23" s="11" t="s">
        <v>588</v>
      </c>
      <c r="BG23" s="11" t="s">
        <v>588</v>
      </c>
      <c r="BH23" s="11" t="s">
        <v>588</v>
      </c>
      <c r="BI23" s="11" t="s">
        <v>588</v>
      </c>
      <c r="BJ23" s="11" t="s">
        <v>588</v>
      </c>
      <c r="BK23" s="11" t="s">
        <v>588</v>
      </c>
      <c r="BL23" s="11" t="s">
        <v>588</v>
      </c>
      <c r="BM23" s="11" t="s">
        <v>588</v>
      </c>
      <c r="BN23" s="11" t="s">
        <v>588</v>
      </c>
      <c r="BO23" s="11" t="s">
        <v>588</v>
      </c>
      <c r="BP23" s="11" t="s">
        <v>8</v>
      </c>
      <c r="BQ23" s="11" t="s">
        <v>9</v>
      </c>
      <c r="BR23" s="11" t="s">
        <v>9</v>
      </c>
      <c r="BS23" s="11" t="s">
        <v>588</v>
      </c>
      <c r="BT23" s="11" t="s">
        <v>588</v>
      </c>
      <c r="BU23" s="11" t="s">
        <v>588</v>
      </c>
      <c r="BV23" s="11" t="s">
        <v>523</v>
      </c>
      <c r="BW23" s="11" t="s">
        <v>588</v>
      </c>
      <c r="BX23" s="11" t="s">
        <v>588</v>
      </c>
    </row>
    <row r="24" spans="1:76" x14ac:dyDescent="0.25">
      <c r="A24" s="11">
        <v>202122</v>
      </c>
      <c r="B24" s="11" t="s">
        <v>521</v>
      </c>
      <c r="C24" s="11" t="s">
        <v>400</v>
      </c>
      <c r="D24" s="11" t="s">
        <v>267</v>
      </c>
      <c r="E24" s="11" t="s">
        <v>388</v>
      </c>
      <c r="F24" s="11">
        <v>4</v>
      </c>
      <c r="G24" s="11" t="s">
        <v>527</v>
      </c>
      <c r="H24" s="11" t="s">
        <v>933</v>
      </c>
      <c r="I24" s="13">
        <v>44583</v>
      </c>
      <c r="J24" s="11">
        <f t="shared" si="0"/>
        <v>22</v>
      </c>
      <c r="K24" s="11">
        <f t="shared" si="1"/>
        <v>1</v>
      </c>
      <c r="L24" s="11">
        <f t="shared" si="2"/>
        <v>2022</v>
      </c>
      <c r="M24" s="11" t="str">
        <f t="shared" si="3"/>
        <v>22012022</v>
      </c>
      <c r="N24" s="11" t="s">
        <v>12</v>
      </c>
      <c r="O24" s="11" t="s">
        <v>10</v>
      </c>
      <c r="P24" s="11" t="s">
        <v>588</v>
      </c>
      <c r="Q24" s="11" t="s">
        <v>588</v>
      </c>
      <c r="R24" s="23">
        <v>-38.652279999999998</v>
      </c>
      <c r="S24" s="23">
        <v>145.563492</v>
      </c>
      <c r="T24" s="11">
        <v>3</v>
      </c>
      <c r="U24" s="11">
        <v>3</v>
      </c>
      <c r="V24" s="13" t="s">
        <v>588</v>
      </c>
      <c r="W24" s="11" t="s">
        <v>588</v>
      </c>
      <c r="X24" s="11">
        <v>2</v>
      </c>
      <c r="Y24" s="11">
        <v>2</v>
      </c>
      <c r="Z24" s="11" t="s">
        <v>41</v>
      </c>
      <c r="AA24" s="13">
        <v>44583</v>
      </c>
      <c r="AB24" s="11">
        <f t="shared" si="4"/>
        <v>22</v>
      </c>
      <c r="AC24" s="11">
        <f t="shared" si="5"/>
        <v>1</v>
      </c>
      <c r="AD24" s="11">
        <f t="shared" si="6"/>
        <v>2022</v>
      </c>
      <c r="AE24" s="13" t="str">
        <f t="shared" si="7"/>
        <v>22012022</v>
      </c>
      <c r="AF24" s="11" t="s">
        <v>12</v>
      </c>
      <c r="AG24" s="13">
        <v>44590</v>
      </c>
      <c r="AH24" s="11">
        <v>29</v>
      </c>
      <c r="AI24" s="11">
        <v>1</v>
      </c>
      <c r="AJ24" s="11">
        <v>2022</v>
      </c>
      <c r="AK24" s="13" t="s">
        <v>973</v>
      </c>
      <c r="AL24" s="11" t="s">
        <v>12</v>
      </c>
      <c r="AM24" s="11" t="s">
        <v>20</v>
      </c>
      <c r="AN24" s="11" t="s">
        <v>588</v>
      </c>
      <c r="AO24" s="11" t="s">
        <v>20</v>
      </c>
      <c r="AP24" s="11" t="s">
        <v>588</v>
      </c>
      <c r="AQ24" s="11" t="s">
        <v>588</v>
      </c>
      <c r="AR24" s="11" t="s">
        <v>588</v>
      </c>
      <c r="AS24" s="11" t="s">
        <v>588</v>
      </c>
      <c r="AT24" s="11" t="s">
        <v>588</v>
      </c>
      <c r="AU24" s="11" t="s">
        <v>588</v>
      </c>
      <c r="AV24" s="11" t="s">
        <v>588</v>
      </c>
      <c r="AW24" s="11" t="s">
        <v>588</v>
      </c>
      <c r="AX24" s="11" t="s">
        <v>588</v>
      </c>
      <c r="AY24" s="11" t="s">
        <v>588</v>
      </c>
      <c r="AZ24" s="11" t="s">
        <v>588</v>
      </c>
      <c r="BA24" s="11" t="s">
        <v>588</v>
      </c>
      <c r="BB24" s="11" t="s">
        <v>588</v>
      </c>
      <c r="BC24" s="11" t="s">
        <v>588</v>
      </c>
      <c r="BD24" s="11" t="s">
        <v>588</v>
      </c>
      <c r="BE24" s="11" t="s">
        <v>588</v>
      </c>
      <c r="BF24" s="11" t="s">
        <v>588</v>
      </c>
      <c r="BG24" s="11" t="s">
        <v>588</v>
      </c>
      <c r="BH24" s="11" t="s">
        <v>588</v>
      </c>
      <c r="BI24" s="11" t="s">
        <v>588</v>
      </c>
      <c r="BJ24" s="11" t="s">
        <v>588</v>
      </c>
      <c r="BK24" s="11" t="s">
        <v>588</v>
      </c>
      <c r="BL24" s="11" t="s">
        <v>588</v>
      </c>
      <c r="BM24" s="11" t="s">
        <v>588</v>
      </c>
      <c r="BN24" s="11" t="s">
        <v>588</v>
      </c>
      <c r="BO24" s="11" t="s">
        <v>588</v>
      </c>
      <c r="BP24" s="11" t="s">
        <v>8</v>
      </c>
      <c r="BQ24" s="11" t="s">
        <v>9</v>
      </c>
      <c r="BR24" s="11" t="s">
        <v>9</v>
      </c>
      <c r="BS24" s="11" t="s">
        <v>588</v>
      </c>
      <c r="BT24" s="11" t="s">
        <v>588</v>
      </c>
      <c r="BU24" s="11" t="s">
        <v>588</v>
      </c>
      <c r="BV24" s="11" t="s">
        <v>523</v>
      </c>
      <c r="BW24" s="11" t="s">
        <v>588</v>
      </c>
      <c r="BX24" s="11" t="s">
        <v>588</v>
      </c>
    </row>
    <row r="25" spans="1:76" x14ac:dyDescent="0.25">
      <c r="A25" s="11">
        <v>202122</v>
      </c>
      <c r="B25" s="11" t="s">
        <v>525</v>
      </c>
      <c r="C25" s="11" t="s">
        <v>400</v>
      </c>
      <c r="D25" s="11" t="s">
        <v>38</v>
      </c>
      <c r="E25" s="11" t="s">
        <v>53</v>
      </c>
      <c r="F25" s="11">
        <v>3</v>
      </c>
      <c r="G25" s="11" t="s">
        <v>526</v>
      </c>
      <c r="H25" s="11" t="s">
        <v>934</v>
      </c>
      <c r="I25" s="13">
        <v>44564</v>
      </c>
      <c r="J25" s="11">
        <f t="shared" si="0"/>
        <v>3</v>
      </c>
      <c r="K25" s="11">
        <f t="shared" si="1"/>
        <v>1</v>
      </c>
      <c r="L25" s="11">
        <f t="shared" si="2"/>
        <v>2022</v>
      </c>
      <c r="M25" s="11" t="str">
        <f t="shared" si="3"/>
        <v>03012022</v>
      </c>
      <c r="N25" s="11" t="s">
        <v>12</v>
      </c>
      <c r="O25" s="11" t="s">
        <v>51</v>
      </c>
      <c r="P25" s="11" t="s">
        <v>588</v>
      </c>
      <c r="Q25" s="11" t="s">
        <v>588</v>
      </c>
      <c r="R25" s="23">
        <v>-38.653917</v>
      </c>
      <c r="S25" s="23">
        <v>145.56501800000001</v>
      </c>
      <c r="T25" s="11">
        <v>2</v>
      </c>
      <c r="U25" s="11">
        <v>2</v>
      </c>
      <c r="V25" s="13" t="s">
        <v>588</v>
      </c>
      <c r="W25" s="11" t="s">
        <v>588</v>
      </c>
      <c r="X25" s="11">
        <v>7</v>
      </c>
      <c r="Y25" s="11">
        <v>7</v>
      </c>
      <c r="Z25" s="11" t="s">
        <v>41</v>
      </c>
      <c r="AA25" s="13">
        <v>44575</v>
      </c>
      <c r="AB25" s="11">
        <f t="shared" si="4"/>
        <v>14</v>
      </c>
      <c r="AC25" s="11">
        <f t="shared" si="5"/>
        <v>1</v>
      </c>
      <c r="AD25" s="11">
        <f t="shared" si="6"/>
        <v>2022</v>
      </c>
      <c r="AE25" s="13" t="str">
        <f t="shared" si="7"/>
        <v>14012022</v>
      </c>
      <c r="AF25" s="11" t="s">
        <v>12</v>
      </c>
      <c r="AG25" s="13">
        <v>44590</v>
      </c>
      <c r="AH25" s="11">
        <v>29</v>
      </c>
      <c r="AI25" s="11">
        <v>1</v>
      </c>
      <c r="AJ25" s="11">
        <v>2022</v>
      </c>
      <c r="AK25" s="13" t="s">
        <v>973</v>
      </c>
      <c r="AL25" s="11" t="s">
        <v>12</v>
      </c>
      <c r="AM25" s="11" t="s">
        <v>20</v>
      </c>
      <c r="AN25" s="11" t="s">
        <v>588</v>
      </c>
      <c r="AO25" s="11" t="s">
        <v>20</v>
      </c>
      <c r="AP25" s="11" t="s">
        <v>588</v>
      </c>
      <c r="AQ25" s="11" t="s">
        <v>588</v>
      </c>
      <c r="AR25" s="11" t="s">
        <v>588</v>
      </c>
      <c r="AS25" s="11" t="s">
        <v>588</v>
      </c>
      <c r="AT25" s="11" t="s">
        <v>588</v>
      </c>
      <c r="AU25" s="11" t="s">
        <v>588</v>
      </c>
      <c r="AV25" s="11" t="s">
        <v>588</v>
      </c>
      <c r="AW25" s="11" t="s">
        <v>588</v>
      </c>
      <c r="AX25" s="11" t="s">
        <v>588</v>
      </c>
      <c r="AY25" s="11" t="s">
        <v>588</v>
      </c>
      <c r="AZ25" s="11" t="s">
        <v>588</v>
      </c>
      <c r="BA25" s="11" t="s">
        <v>588</v>
      </c>
      <c r="BB25" s="11" t="s">
        <v>588</v>
      </c>
      <c r="BC25" s="11" t="s">
        <v>588</v>
      </c>
      <c r="BD25" s="11" t="s">
        <v>588</v>
      </c>
      <c r="BE25" s="11" t="s">
        <v>588</v>
      </c>
      <c r="BF25" s="11" t="s">
        <v>588</v>
      </c>
      <c r="BG25" s="11" t="s">
        <v>588</v>
      </c>
      <c r="BH25" s="11" t="s">
        <v>588</v>
      </c>
      <c r="BI25" s="11" t="s">
        <v>588</v>
      </c>
      <c r="BJ25" s="11" t="s">
        <v>588</v>
      </c>
      <c r="BK25" s="11" t="s">
        <v>588</v>
      </c>
      <c r="BL25" s="11" t="s">
        <v>588</v>
      </c>
      <c r="BM25" s="11" t="s">
        <v>588</v>
      </c>
      <c r="BN25" s="11" t="s">
        <v>588</v>
      </c>
      <c r="BO25" s="11" t="s">
        <v>588</v>
      </c>
      <c r="BP25" s="11" t="s">
        <v>8</v>
      </c>
      <c r="BQ25" s="11" t="s">
        <v>9</v>
      </c>
      <c r="BR25" s="11" t="s">
        <v>9</v>
      </c>
      <c r="BS25" s="11" t="s">
        <v>588</v>
      </c>
      <c r="BT25" s="11" t="s">
        <v>588</v>
      </c>
      <c r="BU25" s="11" t="s">
        <v>588</v>
      </c>
      <c r="BV25" s="11" t="s">
        <v>523</v>
      </c>
      <c r="BW25" s="11" t="s">
        <v>588</v>
      </c>
      <c r="BX25" s="11" t="s">
        <v>588</v>
      </c>
    </row>
    <row r="26" spans="1:76" x14ac:dyDescent="0.25">
      <c r="A26" s="11">
        <v>202122</v>
      </c>
      <c r="B26" s="11" t="s">
        <v>33</v>
      </c>
      <c r="C26" s="11" t="s">
        <v>33</v>
      </c>
      <c r="D26" s="11" t="s">
        <v>94</v>
      </c>
      <c r="E26" s="11" t="s">
        <v>105</v>
      </c>
      <c r="F26" s="11">
        <v>1</v>
      </c>
      <c r="G26" s="11" t="str">
        <f>CONCATENATE(A26,"_",B26,"_",F26)</f>
        <v>202122_Inverloch - Screw Creek West_1</v>
      </c>
      <c r="H26" s="11" t="s">
        <v>935</v>
      </c>
      <c r="I26" s="13">
        <v>44452</v>
      </c>
      <c r="J26" s="11">
        <f t="shared" si="0"/>
        <v>13</v>
      </c>
      <c r="K26" s="11">
        <f t="shared" si="1"/>
        <v>9</v>
      </c>
      <c r="L26" s="11">
        <f t="shared" si="2"/>
        <v>2021</v>
      </c>
      <c r="M26" s="11" t="str">
        <f t="shared" si="3"/>
        <v>13092021</v>
      </c>
      <c r="N26" s="11" t="s">
        <v>28</v>
      </c>
      <c r="O26" s="11" t="s">
        <v>36</v>
      </c>
      <c r="P26" s="11" t="s">
        <v>588</v>
      </c>
      <c r="Q26" s="11" t="s">
        <v>588</v>
      </c>
      <c r="R26" s="23">
        <v>-38.635297999999999</v>
      </c>
      <c r="S26" s="23">
        <v>145.74682799999999</v>
      </c>
      <c r="T26" s="11">
        <v>3</v>
      </c>
      <c r="U26" s="11">
        <v>3</v>
      </c>
      <c r="V26" s="13" t="s">
        <v>588</v>
      </c>
      <c r="W26" s="11" t="s">
        <v>588</v>
      </c>
      <c r="X26" s="11">
        <v>18</v>
      </c>
      <c r="Y26" s="11">
        <v>18</v>
      </c>
      <c r="Z26" s="11" t="s">
        <v>41</v>
      </c>
      <c r="AA26" s="13">
        <v>44476</v>
      </c>
      <c r="AB26" s="11">
        <f t="shared" si="4"/>
        <v>7</v>
      </c>
      <c r="AC26" s="11">
        <f t="shared" si="5"/>
        <v>10</v>
      </c>
      <c r="AD26" s="11">
        <f t="shared" si="6"/>
        <v>2021</v>
      </c>
      <c r="AE26" s="13" t="str">
        <f t="shared" si="7"/>
        <v>07102021</v>
      </c>
      <c r="AF26" s="11" t="s">
        <v>29</v>
      </c>
      <c r="AG26" s="13">
        <v>44479</v>
      </c>
      <c r="AH26" s="11">
        <v>10</v>
      </c>
      <c r="AI26" s="11">
        <v>10</v>
      </c>
      <c r="AJ26" s="11">
        <v>2021</v>
      </c>
      <c r="AK26" s="13" t="s">
        <v>984</v>
      </c>
      <c r="AL26" s="11" t="s">
        <v>29</v>
      </c>
      <c r="AM26" s="11" t="s">
        <v>20</v>
      </c>
      <c r="AN26" s="11" t="s">
        <v>588</v>
      </c>
      <c r="AO26" s="11" t="s">
        <v>32</v>
      </c>
      <c r="AP26" s="11" t="s">
        <v>588</v>
      </c>
      <c r="AQ26" s="11" t="s">
        <v>588</v>
      </c>
      <c r="AR26" s="11" t="s">
        <v>588</v>
      </c>
      <c r="AS26" s="11" t="s">
        <v>588</v>
      </c>
      <c r="AT26" s="11" t="s">
        <v>588</v>
      </c>
      <c r="AU26" s="11" t="s">
        <v>588</v>
      </c>
      <c r="AV26" s="11" t="s">
        <v>588</v>
      </c>
      <c r="AW26" s="11" t="s">
        <v>588</v>
      </c>
      <c r="AX26" s="11" t="s">
        <v>588</v>
      </c>
      <c r="AY26" s="11" t="s">
        <v>588</v>
      </c>
      <c r="AZ26" s="11" t="s">
        <v>588</v>
      </c>
      <c r="BA26" s="11" t="s">
        <v>588</v>
      </c>
      <c r="BB26" s="11" t="s">
        <v>588</v>
      </c>
      <c r="BC26" s="11" t="s">
        <v>588</v>
      </c>
      <c r="BD26" s="11" t="s">
        <v>588</v>
      </c>
      <c r="BE26" s="11" t="s">
        <v>588</v>
      </c>
      <c r="BF26" s="11" t="s">
        <v>588</v>
      </c>
      <c r="BG26" s="11" t="s">
        <v>588</v>
      </c>
      <c r="BH26" s="11" t="s">
        <v>588</v>
      </c>
      <c r="BI26" s="11" t="s">
        <v>588</v>
      </c>
      <c r="BJ26" s="11" t="s">
        <v>588</v>
      </c>
      <c r="BK26" s="11" t="s">
        <v>588</v>
      </c>
      <c r="BL26" s="11" t="s">
        <v>588</v>
      </c>
      <c r="BM26" s="11" t="s">
        <v>588</v>
      </c>
      <c r="BN26" s="11" t="s">
        <v>588</v>
      </c>
      <c r="BO26" s="11" t="s">
        <v>588</v>
      </c>
      <c r="BP26" s="11" t="s">
        <v>8</v>
      </c>
      <c r="BQ26" s="11" t="s">
        <v>9</v>
      </c>
      <c r="BR26" s="11" t="s">
        <v>9</v>
      </c>
      <c r="BS26" s="11" t="s">
        <v>588</v>
      </c>
      <c r="BT26" s="11" t="s">
        <v>588</v>
      </c>
      <c r="BU26" s="11" t="s">
        <v>588</v>
      </c>
      <c r="BV26" s="11" t="s">
        <v>588</v>
      </c>
      <c r="BW26" s="11" t="s">
        <v>588</v>
      </c>
      <c r="BX26" s="11" t="s">
        <v>588</v>
      </c>
    </row>
    <row r="27" spans="1:76" x14ac:dyDescent="0.25">
      <c r="A27" s="11">
        <v>202122</v>
      </c>
      <c r="B27" s="11" t="s">
        <v>33</v>
      </c>
      <c r="C27" s="11" t="s">
        <v>33</v>
      </c>
      <c r="D27" s="11" t="s">
        <v>94</v>
      </c>
      <c r="E27" s="11" t="s">
        <v>105</v>
      </c>
      <c r="F27" s="11">
        <v>2</v>
      </c>
      <c r="G27" s="11" t="str">
        <f>CONCATENATE(A27,"_",B27,"_",F27)</f>
        <v>202122_Inverloch - Screw Creek West_2</v>
      </c>
      <c r="H27" s="11" t="s">
        <v>936</v>
      </c>
      <c r="I27" s="13">
        <v>44494</v>
      </c>
      <c r="J27" s="11">
        <f t="shared" si="0"/>
        <v>25</v>
      </c>
      <c r="K27" s="11">
        <f t="shared" si="1"/>
        <v>10</v>
      </c>
      <c r="L27" s="11">
        <f t="shared" si="2"/>
        <v>2021</v>
      </c>
      <c r="M27" s="11" t="str">
        <f t="shared" si="3"/>
        <v>25102021</v>
      </c>
      <c r="N27" s="11" t="s">
        <v>29</v>
      </c>
      <c r="O27" s="11" t="s">
        <v>10</v>
      </c>
      <c r="P27" s="11" t="s">
        <v>588</v>
      </c>
      <c r="Q27" s="11" t="s">
        <v>588</v>
      </c>
      <c r="R27" s="23">
        <v>-38.635365</v>
      </c>
      <c r="S27" s="23">
        <v>145.74731800000001</v>
      </c>
      <c r="T27" s="11">
        <v>3</v>
      </c>
      <c r="U27" s="11">
        <v>3</v>
      </c>
      <c r="V27" s="13" t="s">
        <v>588</v>
      </c>
      <c r="W27" s="11" t="s">
        <v>588</v>
      </c>
      <c r="X27" s="11">
        <v>11</v>
      </c>
      <c r="Y27" s="11">
        <v>10</v>
      </c>
      <c r="Z27" s="11" t="s">
        <v>41</v>
      </c>
      <c r="AA27" s="13">
        <v>44506</v>
      </c>
      <c r="AB27" s="11">
        <f t="shared" si="4"/>
        <v>6</v>
      </c>
      <c r="AC27" s="11">
        <f t="shared" si="5"/>
        <v>11</v>
      </c>
      <c r="AD27" s="11">
        <f t="shared" si="6"/>
        <v>2021</v>
      </c>
      <c r="AE27" s="13" t="str">
        <f t="shared" si="7"/>
        <v>06112021</v>
      </c>
      <c r="AF27" s="11" t="s">
        <v>17</v>
      </c>
      <c r="AG27" s="13">
        <v>44510</v>
      </c>
      <c r="AH27" s="11">
        <v>10</v>
      </c>
      <c r="AI27" s="11">
        <v>11</v>
      </c>
      <c r="AJ27" s="11">
        <v>2021</v>
      </c>
      <c r="AK27" s="13" t="s">
        <v>985</v>
      </c>
      <c r="AL27" s="11" t="s">
        <v>17</v>
      </c>
      <c r="AM27" s="11" t="s">
        <v>20</v>
      </c>
      <c r="AN27" s="11" t="s">
        <v>588</v>
      </c>
      <c r="AO27" s="11" t="s">
        <v>20</v>
      </c>
      <c r="AP27" s="11" t="s">
        <v>588</v>
      </c>
      <c r="AQ27" s="11" t="s">
        <v>588</v>
      </c>
      <c r="AR27" s="11" t="s">
        <v>588</v>
      </c>
      <c r="AS27" s="11" t="s">
        <v>588</v>
      </c>
      <c r="AT27" s="11" t="s">
        <v>588</v>
      </c>
      <c r="AU27" s="11" t="s">
        <v>588</v>
      </c>
      <c r="AV27" s="11" t="s">
        <v>588</v>
      </c>
      <c r="AW27" s="11" t="s">
        <v>588</v>
      </c>
      <c r="AX27" s="11" t="s">
        <v>588</v>
      </c>
      <c r="AY27" s="11" t="s">
        <v>588</v>
      </c>
      <c r="AZ27" s="11" t="s">
        <v>588</v>
      </c>
      <c r="BA27" s="11" t="s">
        <v>588</v>
      </c>
      <c r="BB27" s="11" t="s">
        <v>588</v>
      </c>
      <c r="BC27" s="11" t="s">
        <v>588</v>
      </c>
      <c r="BD27" s="11" t="s">
        <v>588</v>
      </c>
      <c r="BE27" s="11" t="s">
        <v>588</v>
      </c>
      <c r="BF27" s="11" t="s">
        <v>588</v>
      </c>
      <c r="BG27" s="11" t="s">
        <v>588</v>
      </c>
      <c r="BH27" s="11" t="s">
        <v>588</v>
      </c>
      <c r="BI27" s="11" t="s">
        <v>588</v>
      </c>
      <c r="BJ27" s="11" t="s">
        <v>588</v>
      </c>
      <c r="BK27" s="11" t="s">
        <v>588</v>
      </c>
      <c r="BL27" s="11" t="s">
        <v>588</v>
      </c>
      <c r="BM27" s="11" t="s">
        <v>588</v>
      </c>
      <c r="BN27" s="11" t="s">
        <v>588</v>
      </c>
      <c r="BO27" s="11" t="s">
        <v>588</v>
      </c>
      <c r="BP27" s="11" t="s">
        <v>8</v>
      </c>
      <c r="BQ27" s="11" t="s">
        <v>9</v>
      </c>
      <c r="BR27" s="11" t="s">
        <v>9</v>
      </c>
      <c r="BS27" s="11" t="s">
        <v>588</v>
      </c>
      <c r="BT27" s="11" t="s">
        <v>588</v>
      </c>
      <c r="BU27" s="11" t="s">
        <v>588</v>
      </c>
      <c r="BV27" s="11" t="s">
        <v>588</v>
      </c>
      <c r="BW27" s="11" t="s">
        <v>588</v>
      </c>
      <c r="BX27" s="11" t="s">
        <v>588</v>
      </c>
    </row>
    <row r="28" spans="1:76" x14ac:dyDescent="0.25">
      <c r="A28" s="11">
        <v>202122</v>
      </c>
      <c r="B28" s="11" t="s">
        <v>33</v>
      </c>
      <c r="C28" s="11" t="s">
        <v>33</v>
      </c>
      <c r="D28" s="11" t="s">
        <v>94</v>
      </c>
      <c r="E28" s="11" t="s">
        <v>105</v>
      </c>
      <c r="F28" s="11">
        <v>3</v>
      </c>
      <c r="G28" s="11" t="str">
        <f>CONCATENATE(A28,"_",B28,"_",F28)</f>
        <v>202122_Inverloch - Screw Creek West_3</v>
      </c>
      <c r="H28" s="11" t="s">
        <v>937</v>
      </c>
      <c r="I28" s="13">
        <v>44526</v>
      </c>
      <c r="J28" s="11">
        <f t="shared" si="0"/>
        <v>26</v>
      </c>
      <c r="K28" s="11">
        <f t="shared" si="1"/>
        <v>11</v>
      </c>
      <c r="L28" s="11">
        <f t="shared" si="2"/>
        <v>2021</v>
      </c>
      <c r="M28" s="11" t="str">
        <f t="shared" si="3"/>
        <v>26112021</v>
      </c>
      <c r="N28" s="11" t="s">
        <v>17</v>
      </c>
      <c r="O28" s="11" t="s">
        <v>10</v>
      </c>
      <c r="P28" s="11" t="s">
        <v>588</v>
      </c>
      <c r="Q28" s="11" t="s">
        <v>588</v>
      </c>
      <c r="R28" s="23">
        <v>-38.635393000000001</v>
      </c>
      <c r="S28" s="23">
        <v>145.74691999999999</v>
      </c>
      <c r="T28" s="11">
        <v>3</v>
      </c>
      <c r="U28" s="11">
        <v>3</v>
      </c>
      <c r="V28" s="13" t="s">
        <v>588</v>
      </c>
      <c r="W28" s="11" t="s">
        <v>588</v>
      </c>
      <c r="X28" s="11">
        <v>16</v>
      </c>
      <c r="Y28" s="11">
        <v>14</v>
      </c>
      <c r="Z28" s="11" t="s">
        <v>216</v>
      </c>
      <c r="AA28" s="13">
        <v>44550</v>
      </c>
      <c r="AB28" s="11">
        <f t="shared" si="4"/>
        <v>20</v>
      </c>
      <c r="AC28" s="11">
        <f t="shared" si="5"/>
        <v>12</v>
      </c>
      <c r="AD28" s="11">
        <f t="shared" si="6"/>
        <v>2021</v>
      </c>
      <c r="AE28" s="13" t="str">
        <f t="shared" si="7"/>
        <v>20122021</v>
      </c>
      <c r="AF28" s="11" t="s">
        <v>7</v>
      </c>
      <c r="AG28" s="13" t="s">
        <v>588</v>
      </c>
      <c r="AH28" s="11" t="s">
        <v>588</v>
      </c>
      <c r="AI28" s="11" t="s">
        <v>588</v>
      </c>
      <c r="AJ28" s="11" t="s">
        <v>588</v>
      </c>
      <c r="AK28" s="13" t="s">
        <v>588</v>
      </c>
      <c r="AL28" s="11" t="s">
        <v>588</v>
      </c>
      <c r="AM28" s="13" t="s">
        <v>588</v>
      </c>
      <c r="AN28" s="11" t="s">
        <v>588</v>
      </c>
      <c r="AO28" s="13" t="s">
        <v>588</v>
      </c>
      <c r="AP28" s="13">
        <v>44553</v>
      </c>
      <c r="AQ28" s="11" t="s">
        <v>7</v>
      </c>
      <c r="AR28" s="11" t="s">
        <v>195</v>
      </c>
      <c r="AS28" s="11">
        <v>2</v>
      </c>
      <c r="AT28" s="11">
        <v>2</v>
      </c>
      <c r="AU28" s="13">
        <v>44563</v>
      </c>
      <c r="AV28" s="11" t="s">
        <v>12</v>
      </c>
      <c r="AW28" s="11" t="s">
        <v>20</v>
      </c>
      <c r="AX28" s="11" t="s">
        <v>588</v>
      </c>
      <c r="AY28" s="11" t="s">
        <v>20</v>
      </c>
      <c r="AZ28" s="13">
        <v>44563</v>
      </c>
      <c r="BA28" s="11" t="s">
        <v>12</v>
      </c>
      <c r="BB28" s="11" t="s">
        <v>20</v>
      </c>
      <c r="BC28" s="11" t="s">
        <v>588</v>
      </c>
      <c r="BD28" s="11" t="s">
        <v>20</v>
      </c>
      <c r="BE28" s="13" t="s">
        <v>588</v>
      </c>
      <c r="BF28" s="11" t="s">
        <v>588</v>
      </c>
      <c r="BG28" s="11" t="s">
        <v>588</v>
      </c>
      <c r="BH28" s="11" t="s">
        <v>588</v>
      </c>
      <c r="BI28" s="11" t="s">
        <v>588</v>
      </c>
      <c r="BJ28" s="11">
        <v>9</v>
      </c>
      <c r="BK28" s="11">
        <v>8</v>
      </c>
      <c r="BL28" s="11" t="s">
        <v>41</v>
      </c>
      <c r="BM28" s="11" t="s">
        <v>588</v>
      </c>
      <c r="BN28" s="11" t="s">
        <v>588</v>
      </c>
      <c r="BO28" s="11" t="s">
        <v>588</v>
      </c>
      <c r="BP28" s="11" t="s">
        <v>8</v>
      </c>
      <c r="BQ28" s="11" t="s">
        <v>9</v>
      </c>
      <c r="BR28" s="11" t="s">
        <v>9</v>
      </c>
      <c r="BS28" s="11" t="s">
        <v>8</v>
      </c>
      <c r="BT28" s="11" t="s">
        <v>96</v>
      </c>
      <c r="BU28" s="11" t="s">
        <v>96</v>
      </c>
      <c r="BV28" s="11" t="s">
        <v>217</v>
      </c>
      <c r="BW28" s="11" t="s">
        <v>588</v>
      </c>
      <c r="BX28" s="11" t="s">
        <v>588</v>
      </c>
    </row>
    <row r="29" spans="1:76" x14ac:dyDescent="0.25">
      <c r="A29" s="11">
        <v>202122</v>
      </c>
      <c r="B29" s="11" t="s">
        <v>33</v>
      </c>
      <c r="C29" s="11" t="s">
        <v>33</v>
      </c>
      <c r="D29" s="11" t="s">
        <v>94</v>
      </c>
      <c r="E29" s="11" t="s">
        <v>105</v>
      </c>
      <c r="F29" s="11">
        <v>4</v>
      </c>
      <c r="G29" s="11" t="str">
        <f>CONCATENATE(A29,"_",B29,"_",F29)</f>
        <v>202122_Inverloch - Screw Creek West_4</v>
      </c>
      <c r="H29" s="11" t="s">
        <v>938</v>
      </c>
      <c r="I29" s="13">
        <v>44593</v>
      </c>
      <c r="J29" s="11">
        <f t="shared" si="0"/>
        <v>1</v>
      </c>
      <c r="K29" s="11">
        <f t="shared" si="1"/>
        <v>2</v>
      </c>
      <c r="L29" s="11">
        <f t="shared" si="2"/>
        <v>2022</v>
      </c>
      <c r="M29" s="11" t="str">
        <f t="shared" si="3"/>
        <v>01022022</v>
      </c>
      <c r="N29" s="11" t="s">
        <v>21</v>
      </c>
      <c r="O29" s="11" t="s">
        <v>19</v>
      </c>
      <c r="P29" s="23">
        <v>-38.645119999999999</v>
      </c>
      <c r="Q29" s="23">
        <v>145.73286999999999</v>
      </c>
      <c r="R29" s="23" t="s">
        <v>588</v>
      </c>
      <c r="S29" s="23" t="s">
        <v>588</v>
      </c>
      <c r="T29" s="11">
        <v>2</v>
      </c>
      <c r="U29" s="11">
        <v>2</v>
      </c>
      <c r="V29" s="13" t="s">
        <v>588</v>
      </c>
      <c r="W29" s="11" t="s">
        <v>588</v>
      </c>
      <c r="X29" s="11">
        <v>2</v>
      </c>
      <c r="Y29" s="11">
        <v>2</v>
      </c>
      <c r="Z29" s="11" t="s">
        <v>41</v>
      </c>
      <c r="AA29" s="13">
        <v>44593</v>
      </c>
      <c r="AB29" s="11">
        <f t="shared" si="4"/>
        <v>1</v>
      </c>
      <c r="AC29" s="11">
        <f t="shared" si="5"/>
        <v>2</v>
      </c>
      <c r="AD29" s="11">
        <f t="shared" si="6"/>
        <v>2022</v>
      </c>
      <c r="AE29" s="13" t="str">
        <f t="shared" si="7"/>
        <v>01022022</v>
      </c>
      <c r="AF29" s="11" t="s">
        <v>21</v>
      </c>
      <c r="AG29" s="13">
        <v>44630</v>
      </c>
      <c r="AH29" s="11">
        <v>10</v>
      </c>
      <c r="AI29" s="11">
        <v>3</v>
      </c>
      <c r="AJ29" s="11">
        <v>2022</v>
      </c>
      <c r="AK29" s="13" t="s">
        <v>986</v>
      </c>
      <c r="AL29" s="11" t="s">
        <v>22</v>
      </c>
      <c r="AM29" s="11" t="s">
        <v>20</v>
      </c>
      <c r="AN29" s="11" t="s">
        <v>588</v>
      </c>
      <c r="AO29" s="11" t="s">
        <v>20</v>
      </c>
      <c r="AP29" s="13" t="s">
        <v>588</v>
      </c>
      <c r="AQ29" s="11" t="s">
        <v>588</v>
      </c>
      <c r="AR29" s="11" t="s">
        <v>588</v>
      </c>
      <c r="AS29" s="11" t="s">
        <v>588</v>
      </c>
      <c r="AT29" s="11" t="s">
        <v>588</v>
      </c>
      <c r="AU29" s="13" t="s">
        <v>588</v>
      </c>
      <c r="AV29" s="11" t="s">
        <v>588</v>
      </c>
      <c r="AW29" s="11" t="s">
        <v>588</v>
      </c>
      <c r="AX29" s="11" t="s">
        <v>588</v>
      </c>
      <c r="AY29" s="11" t="s">
        <v>588</v>
      </c>
      <c r="AZ29" s="11" t="s">
        <v>588</v>
      </c>
      <c r="BA29" s="11" t="s">
        <v>588</v>
      </c>
      <c r="BB29" s="11" t="s">
        <v>588</v>
      </c>
      <c r="BC29" s="11" t="s">
        <v>588</v>
      </c>
      <c r="BD29" s="11" t="s">
        <v>588</v>
      </c>
      <c r="BE29" s="11" t="s">
        <v>588</v>
      </c>
      <c r="BF29" s="11" t="s">
        <v>588</v>
      </c>
      <c r="BG29" s="11" t="s">
        <v>588</v>
      </c>
      <c r="BH29" s="11" t="s">
        <v>588</v>
      </c>
      <c r="BI29" s="11" t="s">
        <v>588</v>
      </c>
      <c r="BJ29" s="11" t="s">
        <v>588</v>
      </c>
      <c r="BK29" s="11" t="s">
        <v>588</v>
      </c>
      <c r="BL29" s="11" t="s">
        <v>588</v>
      </c>
      <c r="BM29" s="11" t="s">
        <v>588</v>
      </c>
      <c r="BN29" s="13" t="s">
        <v>588</v>
      </c>
      <c r="BO29" s="11" t="s">
        <v>588</v>
      </c>
      <c r="BP29" s="11" t="s">
        <v>8</v>
      </c>
      <c r="BQ29" s="11" t="s">
        <v>106</v>
      </c>
      <c r="BR29" s="11" t="s">
        <v>106</v>
      </c>
      <c r="BS29" s="11" t="s">
        <v>588</v>
      </c>
      <c r="BT29" s="11" t="s">
        <v>588</v>
      </c>
      <c r="BU29" s="11" t="s">
        <v>588</v>
      </c>
      <c r="BV29" s="11" t="s">
        <v>218</v>
      </c>
      <c r="BW29" s="11" t="s">
        <v>588</v>
      </c>
      <c r="BX29" s="11" t="s">
        <v>588</v>
      </c>
    </row>
    <row r="30" spans="1:76" x14ac:dyDescent="0.25">
      <c r="A30" s="11">
        <v>202122</v>
      </c>
      <c r="B30" s="11" t="s">
        <v>301</v>
      </c>
      <c r="C30" s="11" t="s">
        <v>301</v>
      </c>
      <c r="D30" s="11" t="s">
        <v>302</v>
      </c>
      <c r="E30" s="11" t="s">
        <v>303</v>
      </c>
      <c r="F30" s="11">
        <v>1</v>
      </c>
      <c r="G30" s="11" t="s">
        <v>528</v>
      </c>
      <c r="H30" s="11" t="s">
        <v>939</v>
      </c>
      <c r="I30" s="13">
        <v>44585</v>
      </c>
      <c r="J30" s="11">
        <f t="shared" si="0"/>
        <v>24</v>
      </c>
      <c r="K30" s="11">
        <f t="shared" si="1"/>
        <v>1</v>
      </c>
      <c r="L30" s="11">
        <f t="shared" si="2"/>
        <v>2022</v>
      </c>
      <c r="M30" s="11" t="str">
        <f t="shared" si="3"/>
        <v>24012022</v>
      </c>
      <c r="N30" s="11" t="s">
        <v>12</v>
      </c>
      <c r="O30" s="11" t="s">
        <v>36</v>
      </c>
      <c r="P30" s="23">
        <v>-38.557240999999998</v>
      </c>
      <c r="Q30" s="23">
        <v>145.48601500000001</v>
      </c>
      <c r="R30" s="11" t="s">
        <v>588</v>
      </c>
      <c r="S30" s="11" t="s">
        <v>588</v>
      </c>
      <c r="T30" s="11">
        <v>2</v>
      </c>
      <c r="U30" s="11">
        <v>2</v>
      </c>
      <c r="V30" s="13" t="s">
        <v>588</v>
      </c>
      <c r="W30" s="11" t="s">
        <v>588</v>
      </c>
      <c r="X30" s="11">
        <v>3</v>
      </c>
      <c r="Y30" s="11">
        <v>3</v>
      </c>
      <c r="Z30" s="11" t="s">
        <v>8</v>
      </c>
      <c r="AA30" s="13">
        <v>44606</v>
      </c>
      <c r="AB30" s="11">
        <f t="shared" si="4"/>
        <v>14</v>
      </c>
      <c r="AC30" s="11">
        <f t="shared" si="5"/>
        <v>2</v>
      </c>
      <c r="AD30" s="11">
        <f t="shared" si="6"/>
        <v>2022</v>
      </c>
      <c r="AE30" s="13" t="str">
        <f t="shared" si="7"/>
        <v>14022022</v>
      </c>
      <c r="AF30" s="11" t="s">
        <v>21</v>
      </c>
      <c r="AG30" s="11" t="s">
        <v>588</v>
      </c>
      <c r="AH30" s="11" t="s">
        <v>588</v>
      </c>
      <c r="AI30" s="11" t="s">
        <v>588</v>
      </c>
      <c r="AJ30" s="11" t="s">
        <v>588</v>
      </c>
      <c r="AK30" s="13" t="s">
        <v>588</v>
      </c>
      <c r="AL30" s="11" t="s">
        <v>588</v>
      </c>
      <c r="AM30" s="11" t="s">
        <v>588</v>
      </c>
      <c r="AN30" s="11" t="s">
        <v>588</v>
      </c>
      <c r="AO30" s="11" t="s">
        <v>588</v>
      </c>
      <c r="AP30" s="13">
        <v>44613</v>
      </c>
      <c r="AQ30" s="11" t="s">
        <v>21</v>
      </c>
      <c r="AR30" s="11" t="s">
        <v>195</v>
      </c>
      <c r="AS30" s="11">
        <v>1</v>
      </c>
      <c r="AT30" s="11">
        <v>2</v>
      </c>
      <c r="AU30" s="13">
        <v>44620</v>
      </c>
      <c r="AV30" s="11" t="s">
        <v>21</v>
      </c>
      <c r="AW30" s="11" t="s">
        <v>20</v>
      </c>
      <c r="AX30" s="11" t="s">
        <v>588</v>
      </c>
      <c r="AY30" s="11" t="s">
        <v>20</v>
      </c>
      <c r="AZ30" s="11" t="s">
        <v>588</v>
      </c>
      <c r="BA30" s="11" t="s">
        <v>588</v>
      </c>
      <c r="BB30" s="11" t="s">
        <v>588</v>
      </c>
      <c r="BC30" s="11" t="s">
        <v>588</v>
      </c>
      <c r="BD30" s="11" t="s">
        <v>588</v>
      </c>
      <c r="BE30" s="11" t="s">
        <v>588</v>
      </c>
      <c r="BF30" s="11" t="s">
        <v>588</v>
      </c>
      <c r="BG30" s="11" t="s">
        <v>588</v>
      </c>
      <c r="BH30" s="11" t="s">
        <v>588</v>
      </c>
      <c r="BI30" s="11" t="s">
        <v>588</v>
      </c>
      <c r="BJ30" s="11">
        <v>7</v>
      </c>
      <c r="BK30" s="11">
        <v>7</v>
      </c>
      <c r="BL30" s="11" t="s">
        <v>8</v>
      </c>
      <c r="BM30" s="11">
        <v>1</v>
      </c>
      <c r="BN30" s="13">
        <v>44659</v>
      </c>
      <c r="BO30" s="11" t="s">
        <v>72</v>
      </c>
      <c r="BP30" s="11" t="s">
        <v>8</v>
      </c>
      <c r="BQ30" s="11" t="s">
        <v>9</v>
      </c>
      <c r="BR30" s="11" t="s">
        <v>9</v>
      </c>
      <c r="BS30" s="11" t="s">
        <v>8</v>
      </c>
      <c r="BT30" s="11" t="s">
        <v>9</v>
      </c>
      <c r="BU30" s="11" t="s">
        <v>9</v>
      </c>
      <c r="BV30" s="11" t="s">
        <v>588</v>
      </c>
      <c r="BW30" s="11" t="s">
        <v>588</v>
      </c>
      <c r="BX30" s="11" t="s">
        <v>588</v>
      </c>
    </row>
    <row r="31" spans="1:76" x14ac:dyDescent="0.25">
      <c r="A31" s="11">
        <v>202122</v>
      </c>
      <c r="B31" s="11" t="s">
        <v>308</v>
      </c>
      <c r="C31" s="11" t="s">
        <v>308</v>
      </c>
      <c r="D31" s="11" t="s">
        <v>404</v>
      </c>
      <c r="E31" s="11" t="s">
        <v>405</v>
      </c>
      <c r="F31" s="11">
        <v>1</v>
      </c>
      <c r="G31" s="11" t="s">
        <v>529</v>
      </c>
      <c r="H31" s="11" t="s">
        <v>940</v>
      </c>
      <c r="I31" s="13">
        <v>44496</v>
      </c>
      <c r="J31" s="11">
        <f t="shared" si="0"/>
        <v>27</v>
      </c>
      <c r="K31" s="11">
        <f t="shared" si="1"/>
        <v>10</v>
      </c>
      <c r="L31" s="11">
        <f t="shared" si="2"/>
        <v>2021</v>
      </c>
      <c r="M31" s="11" t="str">
        <f t="shared" si="3"/>
        <v>27102021</v>
      </c>
      <c r="N31" s="11" t="s">
        <v>29</v>
      </c>
      <c r="O31" s="11" t="s">
        <v>19</v>
      </c>
      <c r="P31" s="11" t="s">
        <v>588</v>
      </c>
      <c r="Q31" s="11" t="s">
        <v>588</v>
      </c>
      <c r="R31" s="23">
        <v>-38.582636999999998</v>
      </c>
      <c r="S31" s="23">
        <v>145.51158100000001</v>
      </c>
      <c r="T31" s="11">
        <v>1</v>
      </c>
      <c r="U31" s="11">
        <v>3</v>
      </c>
      <c r="V31" s="13" t="s">
        <v>588</v>
      </c>
      <c r="W31" s="11" t="s">
        <v>588</v>
      </c>
      <c r="X31" s="11">
        <v>2</v>
      </c>
      <c r="Y31" s="11">
        <v>2</v>
      </c>
      <c r="Z31" s="11" t="s">
        <v>41</v>
      </c>
      <c r="AA31" s="13">
        <v>44496</v>
      </c>
      <c r="AB31" s="11">
        <f t="shared" si="4"/>
        <v>27</v>
      </c>
      <c r="AC31" s="11">
        <f t="shared" si="5"/>
        <v>10</v>
      </c>
      <c r="AD31" s="11">
        <f t="shared" si="6"/>
        <v>2021</v>
      </c>
      <c r="AE31" s="13" t="str">
        <f t="shared" si="7"/>
        <v>27102021</v>
      </c>
      <c r="AF31" s="11" t="s">
        <v>29</v>
      </c>
      <c r="AG31" s="13">
        <v>44499</v>
      </c>
      <c r="AH31" s="11">
        <v>30</v>
      </c>
      <c r="AI31" s="11">
        <v>10</v>
      </c>
      <c r="AJ31" s="11">
        <v>2021</v>
      </c>
      <c r="AK31" s="13" t="s">
        <v>987</v>
      </c>
      <c r="AL31" s="11" t="s">
        <v>29</v>
      </c>
      <c r="AM31" s="11" t="s">
        <v>20</v>
      </c>
      <c r="AN31" s="11" t="s">
        <v>588</v>
      </c>
      <c r="AO31" s="11" t="s">
        <v>485</v>
      </c>
      <c r="AP31" s="13" t="s">
        <v>588</v>
      </c>
      <c r="AQ31" s="11" t="s">
        <v>588</v>
      </c>
      <c r="AR31" s="11" t="s">
        <v>588</v>
      </c>
      <c r="AS31" s="11" t="s">
        <v>588</v>
      </c>
      <c r="AT31" s="11" t="s">
        <v>588</v>
      </c>
      <c r="AU31" s="13" t="s">
        <v>588</v>
      </c>
      <c r="AV31" s="11" t="s">
        <v>588</v>
      </c>
      <c r="AW31" s="11" t="s">
        <v>588</v>
      </c>
      <c r="AX31" s="11" t="s">
        <v>588</v>
      </c>
      <c r="AY31" s="11" t="s">
        <v>588</v>
      </c>
      <c r="AZ31" s="11" t="s">
        <v>588</v>
      </c>
      <c r="BA31" s="11" t="s">
        <v>588</v>
      </c>
      <c r="BB31" s="11" t="s">
        <v>588</v>
      </c>
      <c r="BC31" s="11" t="s">
        <v>588</v>
      </c>
      <c r="BD31" s="11" t="s">
        <v>588</v>
      </c>
      <c r="BE31" s="11" t="s">
        <v>588</v>
      </c>
      <c r="BF31" s="11" t="s">
        <v>588</v>
      </c>
      <c r="BG31" s="11" t="s">
        <v>588</v>
      </c>
      <c r="BH31" s="11" t="s">
        <v>588</v>
      </c>
      <c r="BI31" s="11" t="s">
        <v>588</v>
      </c>
      <c r="BJ31" s="11" t="s">
        <v>588</v>
      </c>
      <c r="BK31" s="11" t="s">
        <v>588</v>
      </c>
      <c r="BL31" s="11" t="s">
        <v>588</v>
      </c>
      <c r="BM31" s="11" t="s">
        <v>588</v>
      </c>
      <c r="BN31" s="11" t="s">
        <v>588</v>
      </c>
      <c r="BO31" s="11" t="s">
        <v>588</v>
      </c>
      <c r="BP31" s="11" t="s">
        <v>8</v>
      </c>
      <c r="BQ31" s="11" t="s">
        <v>9</v>
      </c>
      <c r="BR31" s="11" t="s">
        <v>9</v>
      </c>
      <c r="BS31" s="11" t="s">
        <v>588</v>
      </c>
      <c r="BT31" s="11" t="s">
        <v>588</v>
      </c>
      <c r="BU31" s="11" t="s">
        <v>588</v>
      </c>
      <c r="BV31" s="11" t="s">
        <v>588</v>
      </c>
      <c r="BW31" s="11" t="s">
        <v>588</v>
      </c>
      <c r="BX31" s="11" t="s">
        <v>588</v>
      </c>
    </row>
    <row r="32" spans="1:76" x14ac:dyDescent="0.25">
      <c r="A32" s="11">
        <v>202122</v>
      </c>
      <c r="B32" s="11" t="s">
        <v>308</v>
      </c>
      <c r="C32" s="11" t="s">
        <v>308</v>
      </c>
      <c r="D32" s="11" t="s">
        <v>404</v>
      </c>
      <c r="E32" s="11" t="s">
        <v>405</v>
      </c>
      <c r="F32" s="11">
        <v>2</v>
      </c>
      <c r="G32" s="11" t="s">
        <v>530</v>
      </c>
      <c r="H32" s="11" t="s">
        <v>941</v>
      </c>
      <c r="I32" s="13">
        <v>44528</v>
      </c>
      <c r="J32" s="11">
        <f t="shared" si="0"/>
        <v>28</v>
      </c>
      <c r="K32" s="11">
        <f t="shared" si="1"/>
        <v>11</v>
      </c>
      <c r="L32" s="11">
        <f t="shared" si="2"/>
        <v>2021</v>
      </c>
      <c r="M32" s="11" t="str">
        <f t="shared" si="3"/>
        <v>28112021</v>
      </c>
      <c r="N32" s="11" t="s">
        <v>17</v>
      </c>
      <c r="O32" s="11" t="s">
        <v>19</v>
      </c>
      <c r="P32" s="23">
        <v>-38.582878000000001</v>
      </c>
      <c r="Q32" s="23">
        <v>145.511731</v>
      </c>
      <c r="R32" s="11" t="s">
        <v>588</v>
      </c>
      <c r="S32" s="11" t="s">
        <v>588</v>
      </c>
      <c r="T32" s="11">
        <v>1</v>
      </c>
      <c r="U32" s="11">
        <v>1</v>
      </c>
      <c r="V32" s="13" t="s">
        <v>588</v>
      </c>
      <c r="W32" s="11" t="s">
        <v>588</v>
      </c>
      <c r="X32" s="11">
        <v>6</v>
      </c>
      <c r="Y32" s="11">
        <v>6</v>
      </c>
      <c r="Z32" s="11" t="s">
        <v>41</v>
      </c>
      <c r="AA32" s="13">
        <v>44541</v>
      </c>
      <c r="AB32" s="11">
        <f t="shared" si="4"/>
        <v>11</v>
      </c>
      <c r="AC32" s="11">
        <f t="shared" si="5"/>
        <v>12</v>
      </c>
      <c r="AD32" s="11">
        <f t="shared" si="6"/>
        <v>2021</v>
      </c>
      <c r="AE32" s="13" t="str">
        <f t="shared" si="7"/>
        <v>11122021</v>
      </c>
      <c r="AF32" s="11" t="s">
        <v>7</v>
      </c>
      <c r="AG32" s="13">
        <v>44545</v>
      </c>
      <c r="AH32" s="11">
        <v>15</v>
      </c>
      <c r="AI32" s="11">
        <v>12</v>
      </c>
      <c r="AJ32" s="11">
        <v>2021</v>
      </c>
      <c r="AK32" s="13" t="s">
        <v>988</v>
      </c>
      <c r="AL32" s="11" t="s">
        <v>7</v>
      </c>
      <c r="AM32" s="11" t="s">
        <v>20</v>
      </c>
      <c r="AN32" s="11" t="s">
        <v>588</v>
      </c>
      <c r="AO32" s="11" t="s">
        <v>20</v>
      </c>
      <c r="AP32" s="13" t="s">
        <v>588</v>
      </c>
      <c r="AQ32" s="11" t="s">
        <v>588</v>
      </c>
      <c r="AR32" s="11" t="s">
        <v>588</v>
      </c>
      <c r="AS32" s="11" t="s">
        <v>588</v>
      </c>
      <c r="AT32" s="11" t="s">
        <v>588</v>
      </c>
      <c r="AU32" s="13" t="s">
        <v>588</v>
      </c>
      <c r="AV32" s="11" t="s">
        <v>588</v>
      </c>
      <c r="AW32" s="11" t="s">
        <v>588</v>
      </c>
      <c r="AX32" s="11" t="s">
        <v>588</v>
      </c>
      <c r="AY32" s="11" t="s">
        <v>588</v>
      </c>
      <c r="AZ32" s="11" t="s">
        <v>588</v>
      </c>
      <c r="BA32" s="11" t="s">
        <v>588</v>
      </c>
      <c r="BB32" s="11" t="s">
        <v>588</v>
      </c>
      <c r="BC32" s="11" t="s">
        <v>588</v>
      </c>
      <c r="BD32" s="11" t="s">
        <v>588</v>
      </c>
      <c r="BE32" s="11" t="s">
        <v>588</v>
      </c>
      <c r="BF32" s="11" t="s">
        <v>588</v>
      </c>
      <c r="BG32" s="11" t="s">
        <v>588</v>
      </c>
      <c r="BH32" s="11" t="s">
        <v>588</v>
      </c>
      <c r="BI32" s="11" t="s">
        <v>588</v>
      </c>
      <c r="BJ32" s="11" t="s">
        <v>588</v>
      </c>
      <c r="BK32" s="11" t="s">
        <v>588</v>
      </c>
      <c r="BL32" s="11" t="s">
        <v>588</v>
      </c>
      <c r="BM32" s="11" t="s">
        <v>588</v>
      </c>
      <c r="BN32" s="11" t="s">
        <v>588</v>
      </c>
      <c r="BO32" s="11" t="s">
        <v>588</v>
      </c>
      <c r="BP32" s="11" t="s">
        <v>8</v>
      </c>
      <c r="BQ32" s="11" t="s">
        <v>9</v>
      </c>
      <c r="BR32" s="11" t="s">
        <v>9</v>
      </c>
      <c r="BS32" s="11" t="s">
        <v>588</v>
      </c>
      <c r="BT32" s="11" t="s">
        <v>588</v>
      </c>
      <c r="BU32" s="11" t="s">
        <v>588</v>
      </c>
      <c r="BV32" s="11" t="s">
        <v>588</v>
      </c>
      <c r="BW32" s="11" t="s">
        <v>588</v>
      </c>
      <c r="BX32" s="11" t="s">
        <v>588</v>
      </c>
    </row>
    <row r="33" spans="1:76" x14ac:dyDescent="0.25">
      <c r="A33" s="11">
        <v>202122</v>
      </c>
      <c r="B33" s="11" t="s">
        <v>308</v>
      </c>
      <c r="C33" s="11" t="s">
        <v>308</v>
      </c>
      <c r="D33" s="11" t="s">
        <v>404</v>
      </c>
      <c r="E33" s="11" t="s">
        <v>405</v>
      </c>
      <c r="F33" s="11">
        <v>3</v>
      </c>
      <c r="G33" s="11" t="s">
        <v>531</v>
      </c>
      <c r="H33" s="11" t="s">
        <v>942</v>
      </c>
      <c r="I33" s="13">
        <v>44552</v>
      </c>
      <c r="J33" s="11">
        <f t="shared" si="0"/>
        <v>22</v>
      </c>
      <c r="K33" s="11">
        <f t="shared" si="1"/>
        <v>12</v>
      </c>
      <c r="L33" s="11">
        <f t="shared" si="2"/>
        <v>2021</v>
      </c>
      <c r="M33" s="11" t="str">
        <f t="shared" si="3"/>
        <v>22122021</v>
      </c>
      <c r="N33" s="11" t="s">
        <v>7</v>
      </c>
      <c r="O33" s="11" t="s">
        <v>19</v>
      </c>
      <c r="P33" s="11" t="s">
        <v>588</v>
      </c>
      <c r="Q33" s="11" t="s">
        <v>588</v>
      </c>
      <c r="R33" s="23">
        <v>-38.582571000000002</v>
      </c>
      <c r="S33" s="23">
        <v>145.51148599999999</v>
      </c>
      <c r="T33" s="11">
        <v>3</v>
      </c>
      <c r="U33" s="11">
        <v>3</v>
      </c>
      <c r="V33" s="13" t="s">
        <v>588</v>
      </c>
      <c r="W33" s="11" t="s">
        <v>588</v>
      </c>
      <c r="X33" s="11">
        <v>3</v>
      </c>
      <c r="Y33" s="11">
        <v>3</v>
      </c>
      <c r="Z33" s="11" t="s">
        <v>41</v>
      </c>
      <c r="AA33" s="13">
        <v>44555</v>
      </c>
      <c r="AB33" s="11">
        <f t="shared" si="4"/>
        <v>25</v>
      </c>
      <c r="AC33" s="11">
        <f t="shared" si="5"/>
        <v>12</v>
      </c>
      <c r="AD33" s="11">
        <f t="shared" si="6"/>
        <v>2021</v>
      </c>
      <c r="AE33" s="13" t="str">
        <f t="shared" si="7"/>
        <v>25122021</v>
      </c>
      <c r="AF33" s="11" t="s">
        <v>7</v>
      </c>
      <c r="AG33" s="13">
        <v>44561</v>
      </c>
      <c r="AH33" s="11">
        <v>31</v>
      </c>
      <c r="AI33" s="11">
        <v>12</v>
      </c>
      <c r="AJ33" s="11">
        <v>2021</v>
      </c>
      <c r="AK33" s="13" t="s">
        <v>989</v>
      </c>
      <c r="AL33" s="11" t="s">
        <v>7</v>
      </c>
      <c r="AM33" s="11" t="s">
        <v>20</v>
      </c>
      <c r="AN33" s="11" t="s">
        <v>588</v>
      </c>
      <c r="AO33" s="11" t="s">
        <v>20</v>
      </c>
      <c r="AP33" s="13" t="s">
        <v>588</v>
      </c>
      <c r="AQ33" s="11" t="s">
        <v>588</v>
      </c>
      <c r="AR33" s="11" t="s">
        <v>588</v>
      </c>
      <c r="AS33" s="11" t="s">
        <v>588</v>
      </c>
      <c r="AT33" s="11" t="s">
        <v>588</v>
      </c>
      <c r="AU33" s="13" t="s">
        <v>588</v>
      </c>
      <c r="AV33" s="11" t="s">
        <v>588</v>
      </c>
      <c r="AW33" s="11" t="s">
        <v>588</v>
      </c>
      <c r="AX33" s="11" t="s">
        <v>588</v>
      </c>
      <c r="AY33" s="11" t="s">
        <v>588</v>
      </c>
      <c r="AZ33" s="11" t="s">
        <v>588</v>
      </c>
      <c r="BA33" s="11" t="s">
        <v>588</v>
      </c>
      <c r="BB33" s="11" t="s">
        <v>588</v>
      </c>
      <c r="BC33" s="11" t="s">
        <v>588</v>
      </c>
      <c r="BD33" s="11" t="s">
        <v>588</v>
      </c>
      <c r="BE33" s="11" t="s">
        <v>588</v>
      </c>
      <c r="BF33" s="11" t="s">
        <v>588</v>
      </c>
      <c r="BG33" s="11" t="s">
        <v>588</v>
      </c>
      <c r="BH33" s="11" t="s">
        <v>588</v>
      </c>
      <c r="BI33" s="11" t="s">
        <v>588</v>
      </c>
      <c r="BJ33" s="11" t="s">
        <v>588</v>
      </c>
      <c r="BK33" s="11" t="s">
        <v>588</v>
      </c>
      <c r="BL33" s="11" t="s">
        <v>588</v>
      </c>
      <c r="BM33" s="11" t="s">
        <v>588</v>
      </c>
      <c r="BN33" s="11" t="s">
        <v>588</v>
      </c>
      <c r="BO33" s="11" t="s">
        <v>588</v>
      </c>
      <c r="BP33" s="11" t="s">
        <v>8</v>
      </c>
      <c r="BQ33" s="11" t="s">
        <v>9</v>
      </c>
      <c r="BR33" s="11" t="s">
        <v>9</v>
      </c>
      <c r="BS33" s="11" t="s">
        <v>588</v>
      </c>
      <c r="BT33" s="11" t="s">
        <v>588</v>
      </c>
      <c r="BU33" s="11" t="s">
        <v>588</v>
      </c>
      <c r="BV33" s="11" t="s">
        <v>588</v>
      </c>
      <c r="BW33" s="11" t="s">
        <v>588</v>
      </c>
      <c r="BX33" s="11" t="s">
        <v>588</v>
      </c>
    </row>
    <row r="34" spans="1:76" x14ac:dyDescent="0.25">
      <c r="A34" s="11">
        <v>202122</v>
      </c>
      <c r="B34" s="11" t="s">
        <v>320</v>
      </c>
      <c r="C34" s="11" t="s">
        <v>320</v>
      </c>
      <c r="D34" s="11" t="s">
        <v>321</v>
      </c>
      <c r="E34" s="11" t="s">
        <v>16</v>
      </c>
      <c r="F34" s="11">
        <v>1</v>
      </c>
      <c r="G34" s="11" t="s">
        <v>536</v>
      </c>
      <c r="H34" s="11" t="s">
        <v>943</v>
      </c>
      <c r="I34" s="13">
        <v>44529</v>
      </c>
      <c r="J34" s="11">
        <f t="shared" si="0"/>
        <v>29</v>
      </c>
      <c r="K34" s="11">
        <f t="shared" si="1"/>
        <v>11</v>
      </c>
      <c r="L34" s="11">
        <f t="shared" si="2"/>
        <v>2021</v>
      </c>
      <c r="M34" s="11" t="str">
        <f t="shared" si="3"/>
        <v>29112021</v>
      </c>
      <c r="N34" s="11" t="s">
        <v>17</v>
      </c>
      <c r="O34" s="11" t="s">
        <v>36</v>
      </c>
      <c r="P34" s="11" t="s">
        <v>588</v>
      </c>
      <c r="Q34" s="11" t="s">
        <v>588</v>
      </c>
      <c r="R34" s="23">
        <v>-38.569989999999997</v>
      </c>
      <c r="S34" s="23">
        <v>145.50353699999999</v>
      </c>
      <c r="T34" s="11">
        <v>3</v>
      </c>
      <c r="U34" s="11">
        <v>3</v>
      </c>
      <c r="V34" s="13" t="s">
        <v>588</v>
      </c>
      <c r="W34" s="11" t="s">
        <v>588</v>
      </c>
      <c r="X34" s="11">
        <v>6</v>
      </c>
      <c r="Y34" s="11">
        <v>6</v>
      </c>
      <c r="Z34" s="11" t="s">
        <v>8</v>
      </c>
      <c r="AA34" s="13">
        <v>44555</v>
      </c>
      <c r="AB34" s="11">
        <f t="shared" si="4"/>
        <v>25</v>
      </c>
      <c r="AC34" s="11">
        <f t="shared" si="5"/>
        <v>12</v>
      </c>
      <c r="AD34" s="11">
        <f t="shared" si="6"/>
        <v>2021</v>
      </c>
      <c r="AE34" s="13" t="str">
        <f t="shared" si="7"/>
        <v>25122021</v>
      </c>
      <c r="AF34" s="11" t="s">
        <v>7</v>
      </c>
      <c r="AG34" s="13" t="s">
        <v>588</v>
      </c>
      <c r="AH34" s="11" t="s">
        <v>588</v>
      </c>
      <c r="AI34" s="11" t="s">
        <v>588</v>
      </c>
      <c r="AJ34" s="11" t="s">
        <v>588</v>
      </c>
      <c r="AK34" s="13" t="s">
        <v>588</v>
      </c>
      <c r="AL34" s="11" t="s">
        <v>588</v>
      </c>
      <c r="AM34" s="13" t="s">
        <v>588</v>
      </c>
      <c r="AN34" s="11" t="s">
        <v>588</v>
      </c>
      <c r="AO34" s="13" t="s">
        <v>588</v>
      </c>
      <c r="AP34" s="13">
        <v>44561</v>
      </c>
      <c r="AQ34" s="11" t="s">
        <v>7</v>
      </c>
      <c r="AR34" s="11" t="s">
        <v>195</v>
      </c>
      <c r="AS34" s="11">
        <v>2</v>
      </c>
      <c r="AT34" s="11">
        <v>3</v>
      </c>
      <c r="AU34" s="13">
        <v>44561</v>
      </c>
      <c r="AV34" s="11" t="s">
        <v>7</v>
      </c>
      <c r="AW34" s="11" t="s">
        <v>20</v>
      </c>
      <c r="AX34" s="11" t="s">
        <v>588</v>
      </c>
      <c r="AY34" s="11" t="s">
        <v>20</v>
      </c>
      <c r="AZ34" s="13">
        <v>44592</v>
      </c>
      <c r="BA34" s="11" t="s">
        <v>12</v>
      </c>
      <c r="BB34" s="11" t="s">
        <v>20</v>
      </c>
      <c r="BC34" s="11" t="s">
        <v>588</v>
      </c>
      <c r="BD34" s="11" t="s">
        <v>20</v>
      </c>
      <c r="BE34" s="13">
        <v>44592</v>
      </c>
      <c r="BF34" s="11" t="s">
        <v>12</v>
      </c>
      <c r="BG34" s="11" t="s">
        <v>20</v>
      </c>
      <c r="BH34" s="11" t="s">
        <v>588</v>
      </c>
      <c r="BI34" s="11" t="s">
        <v>20</v>
      </c>
      <c r="BJ34" s="11">
        <v>6</v>
      </c>
      <c r="BK34" s="11">
        <v>6</v>
      </c>
      <c r="BL34" s="11" t="s">
        <v>41</v>
      </c>
      <c r="BM34" s="11" t="s">
        <v>588</v>
      </c>
      <c r="BN34" s="11" t="s">
        <v>588</v>
      </c>
      <c r="BO34" s="11" t="s">
        <v>588</v>
      </c>
      <c r="BP34" s="11" t="s">
        <v>41</v>
      </c>
      <c r="BQ34" s="11" t="s">
        <v>588</v>
      </c>
      <c r="BR34" s="11" t="s">
        <v>42</v>
      </c>
      <c r="BS34" s="11" t="s">
        <v>8</v>
      </c>
      <c r="BT34" s="11" t="s">
        <v>18</v>
      </c>
      <c r="BU34" s="11" t="s">
        <v>18</v>
      </c>
      <c r="BV34" s="11" t="s">
        <v>588</v>
      </c>
      <c r="BW34" s="11" t="s">
        <v>588</v>
      </c>
      <c r="BX34" s="11" t="s">
        <v>588</v>
      </c>
    </row>
    <row r="35" spans="1:76" x14ac:dyDescent="0.25">
      <c r="A35" s="11">
        <v>202122</v>
      </c>
      <c r="B35" s="11" t="s">
        <v>320</v>
      </c>
      <c r="C35" s="11" t="s">
        <v>320</v>
      </c>
      <c r="D35" s="11" t="s">
        <v>321</v>
      </c>
      <c r="E35" s="11" t="s">
        <v>16</v>
      </c>
      <c r="F35" s="11">
        <v>2</v>
      </c>
      <c r="G35" s="11" t="s">
        <v>537</v>
      </c>
      <c r="H35" s="11" t="s">
        <v>944</v>
      </c>
      <c r="I35" s="13">
        <v>44606</v>
      </c>
      <c r="J35" s="11">
        <f t="shared" si="0"/>
        <v>14</v>
      </c>
      <c r="K35" s="11">
        <f t="shared" si="1"/>
        <v>2</v>
      </c>
      <c r="L35" s="11">
        <f t="shared" si="2"/>
        <v>2022</v>
      </c>
      <c r="M35" s="11" t="str">
        <f t="shared" si="3"/>
        <v>14022022</v>
      </c>
      <c r="N35" s="11" t="s">
        <v>21</v>
      </c>
      <c r="O35" s="11" t="s">
        <v>10</v>
      </c>
      <c r="P35" s="11" t="s">
        <v>588</v>
      </c>
      <c r="Q35" s="11" t="s">
        <v>588</v>
      </c>
      <c r="R35" s="23">
        <v>-38.570048</v>
      </c>
      <c r="S35" s="23">
        <v>145.499786</v>
      </c>
      <c r="T35" s="11">
        <v>3</v>
      </c>
      <c r="U35" s="11">
        <v>3</v>
      </c>
      <c r="V35" s="13" t="s">
        <v>588</v>
      </c>
      <c r="W35" s="11" t="s">
        <v>588</v>
      </c>
      <c r="X35" s="11">
        <v>4</v>
      </c>
      <c r="Y35" s="11">
        <v>4</v>
      </c>
      <c r="Z35" s="11" t="s">
        <v>8</v>
      </c>
      <c r="AA35" s="13">
        <v>44627</v>
      </c>
      <c r="AB35" s="11">
        <f t="shared" si="4"/>
        <v>7</v>
      </c>
      <c r="AC35" s="11">
        <f t="shared" si="5"/>
        <v>3</v>
      </c>
      <c r="AD35" s="11">
        <f t="shared" si="6"/>
        <v>2022</v>
      </c>
      <c r="AE35" s="13" t="str">
        <f t="shared" si="7"/>
        <v>07032022</v>
      </c>
      <c r="AF35" s="11" t="s">
        <v>22</v>
      </c>
      <c r="AG35" s="13" t="s">
        <v>588</v>
      </c>
      <c r="AH35" s="11" t="s">
        <v>588</v>
      </c>
      <c r="AI35" s="11" t="s">
        <v>588</v>
      </c>
      <c r="AJ35" s="11" t="s">
        <v>588</v>
      </c>
      <c r="AK35" s="13" t="s">
        <v>588</v>
      </c>
      <c r="AL35" s="11" t="s">
        <v>588</v>
      </c>
      <c r="AM35" s="13" t="s">
        <v>588</v>
      </c>
      <c r="AN35" s="11" t="s">
        <v>588</v>
      </c>
      <c r="AO35" s="13" t="s">
        <v>588</v>
      </c>
      <c r="AP35" s="13">
        <v>44635</v>
      </c>
      <c r="AQ35" s="11" t="s">
        <v>22</v>
      </c>
      <c r="AR35" s="11" t="s">
        <v>195</v>
      </c>
      <c r="AS35" s="11">
        <v>2</v>
      </c>
      <c r="AT35" s="11">
        <v>3</v>
      </c>
      <c r="AU35" s="13">
        <v>44635</v>
      </c>
      <c r="AV35" s="11" t="s">
        <v>22</v>
      </c>
      <c r="AW35" s="11" t="s">
        <v>20</v>
      </c>
      <c r="AX35" s="11" t="s">
        <v>588</v>
      </c>
      <c r="AY35" s="11" t="s">
        <v>20</v>
      </c>
      <c r="AZ35" s="13">
        <v>44648</v>
      </c>
      <c r="BA35" s="11" t="s">
        <v>22</v>
      </c>
      <c r="BB35" s="11" t="s">
        <v>20</v>
      </c>
      <c r="BC35" s="11" t="s">
        <v>588</v>
      </c>
      <c r="BD35" s="11" t="s">
        <v>20</v>
      </c>
      <c r="BE35" s="13">
        <v>44648</v>
      </c>
      <c r="BF35" s="11" t="s">
        <v>22</v>
      </c>
      <c r="BG35" s="11" t="s">
        <v>20</v>
      </c>
      <c r="BH35" s="11" t="s">
        <v>588</v>
      </c>
      <c r="BI35" s="11" t="s">
        <v>20</v>
      </c>
      <c r="BJ35" s="11">
        <v>2</v>
      </c>
      <c r="BK35" s="11">
        <v>2</v>
      </c>
      <c r="BL35" s="11" t="s">
        <v>41</v>
      </c>
      <c r="BM35" s="11" t="s">
        <v>588</v>
      </c>
      <c r="BN35" s="11" t="s">
        <v>588</v>
      </c>
      <c r="BO35" s="11" t="s">
        <v>588</v>
      </c>
      <c r="BP35" s="11" t="s">
        <v>8</v>
      </c>
      <c r="BQ35" s="11" t="s">
        <v>9</v>
      </c>
      <c r="BR35" s="11" t="s">
        <v>9</v>
      </c>
      <c r="BS35" s="11" t="s">
        <v>8</v>
      </c>
      <c r="BT35" s="11" t="s">
        <v>9</v>
      </c>
      <c r="BU35" s="11" t="s">
        <v>9</v>
      </c>
      <c r="BV35" s="11" t="s">
        <v>588</v>
      </c>
      <c r="BW35" s="11" t="s">
        <v>588</v>
      </c>
      <c r="BX35" s="11" t="s">
        <v>588</v>
      </c>
    </row>
    <row r="36" spans="1:76" x14ac:dyDescent="0.25">
      <c r="A36" s="11">
        <v>202122</v>
      </c>
      <c r="B36" s="11" t="s">
        <v>324</v>
      </c>
      <c r="C36" s="11" t="s">
        <v>324</v>
      </c>
      <c r="D36" s="11" t="s">
        <v>326</v>
      </c>
      <c r="E36" s="11" t="s">
        <v>16</v>
      </c>
      <c r="F36" s="11">
        <v>1</v>
      </c>
      <c r="G36" s="11" t="s">
        <v>538</v>
      </c>
      <c r="H36" s="11" t="s">
        <v>945</v>
      </c>
      <c r="I36" s="13">
        <v>44529</v>
      </c>
      <c r="J36" s="11">
        <f t="shared" si="0"/>
        <v>29</v>
      </c>
      <c r="K36" s="11">
        <f t="shared" si="1"/>
        <v>11</v>
      </c>
      <c r="L36" s="11">
        <f t="shared" si="2"/>
        <v>2021</v>
      </c>
      <c r="M36" s="11" t="str">
        <f t="shared" si="3"/>
        <v>29112021</v>
      </c>
      <c r="N36" s="11" t="s">
        <v>17</v>
      </c>
      <c r="O36" s="11" t="s">
        <v>10</v>
      </c>
      <c r="P36" s="11" t="s">
        <v>588</v>
      </c>
      <c r="Q36" s="11" t="s">
        <v>588</v>
      </c>
      <c r="R36" s="23">
        <v>-38.563459999999999</v>
      </c>
      <c r="S36" s="23">
        <v>145.49324200000001</v>
      </c>
      <c r="T36" s="11">
        <v>3</v>
      </c>
      <c r="U36" s="11">
        <v>3</v>
      </c>
      <c r="V36" s="13" t="s">
        <v>588</v>
      </c>
      <c r="W36" s="11" t="s">
        <v>588</v>
      </c>
      <c r="X36" s="11">
        <v>6</v>
      </c>
      <c r="Y36" s="11">
        <v>6</v>
      </c>
      <c r="Z36" s="11" t="s">
        <v>216</v>
      </c>
      <c r="AA36" s="13">
        <v>44552</v>
      </c>
      <c r="AB36" s="11">
        <f t="shared" si="4"/>
        <v>22</v>
      </c>
      <c r="AC36" s="11">
        <f t="shared" si="5"/>
        <v>12</v>
      </c>
      <c r="AD36" s="11">
        <f t="shared" si="6"/>
        <v>2021</v>
      </c>
      <c r="AE36" s="13" t="str">
        <f t="shared" si="7"/>
        <v>22122021</v>
      </c>
      <c r="AF36" s="11" t="s">
        <v>7</v>
      </c>
      <c r="AG36" s="13" t="s">
        <v>588</v>
      </c>
      <c r="AH36" s="11" t="s">
        <v>588</v>
      </c>
      <c r="AI36" s="11" t="s">
        <v>588</v>
      </c>
      <c r="AJ36" s="11" t="s">
        <v>588</v>
      </c>
      <c r="AK36" s="13" t="s">
        <v>588</v>
      </c>
      <c r="AL36" s="11" t="s">
        <v>588</v>
      </c>
      <c r="AM36" s="13" t="s">
        <v>588</v>
      </c>
      <c r="AN36" s="11" t="s">
        <v>588</v>
      </c>
      <c r="AO36" s="13" t="s">
        <v>588</v>
      </c>
      <c r="AP36" s="13">
        <v>44561</v>
      </c>
      <c r="AQ36" s="11" t="s">
        <v>7</v>
      </c>
      <c r="AR36" s="11" t="s">
        <v>195</v>
      </c>
      <c r="AS36" s="11">
        <v>1</v>
      </c>
      <c r="AT36" s="11">
        <v>2</v>
      </c>
      <c r="AU36" s="13">
        <v>44564</v>
      </c>
      <c r="AV36" s="11" t="s">
        <v>12</v>
      </c>
      <c r="AW36" s="11" t="s">
        <v>20</v>
      </c>
      <c r="AX36" s="11" t="s">
        <v>588</v>
      </c>
      <c r="AY36" s="11" t="s">
        <v>20</v>
      </c>
      <c r="AZ36" s="13" t="s">
        <v>588</v>
      </c>
      <c r="BA36" s="11" t="s">
        <v>588</v>
      </c>
      <c r="BB36" s="11" t="s">
        <v>588</v>
      </c>
      <c r="BC36" s="11" t="s">
        <v>588</v>
      </c>
      <c r="BD36" s="11" t="s">
        <v>588</v>
      </c>
      <c r="BE36" s="13" t="s">
        <v>588</v>
      </c>
      <c r="BF36" s="11" t="s">
        <v>588</v>
      </c>
      <c r="BG36" s="11" t="s">
        <v>588</v>
      </c>
      <c r="BH36" s="11" t="s">
        <v>588</v>
      </c>
      <c r="BI36" s="11" t="s">
        <v>588</v>
      </c>
      <c r="BJ36" s="11">
        <v>9</v>
      </c>
      <c r="BK36" s="11">
        <v>9</v>
      </c>
      <c r="BL36" s="11" t="s">
        <v>8</v>
      </c>
      <c r="BM36" s="11">
        <v>1</v>
      </c>
      <c r="BN36" s="13">
        <v>44595</v>
      </c>
      <c r="BO36" s="11" t="s">
        <v>21</v>
      </c>
      <c r="BP36" s="11" t="s">
        <v>8</v>
      </c>
      <c r="BQ36" s="11" t="s">
        <v>9</v>
      </c>
      <c r="BR36" s="11" t="s">
        <v>9</v>
      </c>
      <c r="BS36" s="11" t="s">
        <v>8</v>
      </c>
      <c r="BT36" s="11" t="s">
        <v>18</v>
      </c>
      <c r="BU36" s="11" t="s">
        <v>18</v>
      </c>
      <c r="BV36" s="11" t="s">
        <v>539</v>
      </c>
      <c r="BW36" s="11" t="s">
        <v>588</v>
      </c>
      <c r="BX36" s="11" t="s">
        <v>588</v>
      </c>
    </row>
    <row r="37" spans="1:76" x14ac:dyDescent="0.25">
      <c r="A37" s="11">
        <v>202122</v>
      </c>
      <c r="B37" s="11" t="s">
        <v>316</v>
      </c>
      <c r="C37" s="11" t="s">
        <v>553</v>
      </c>
      <c r="D37" s="11" t="s">
        <v>482</v>
      </c>
      <c r="E37" s="11" t="s">
        <v>16</v>
      </c>
      <c r="F37" s="11">
        <v>4</v>
      </c>
      <c r="G37" s="11" t="s">
        <v>535</v>
      </c>
      <c r="H37" s="11" t="s">
        <v>946</v>
      </c>
      <c r="I37" s="13">
        <v>44586</v>
      </c>
      <c r="J37" s="11">
        <f t="shared" si="0"/>
        <v>25</v>
      </c>
      <c r="K37" s="11">
        <f t="shared" si="1"/>
        <v>1</v>
      </c>
      <c r="L37" s="11">
        <f t="shared" si="2"/>
        <v>2022</v>
      </c>
      <c r="M37" s="11" t="str">
        <f t="shared" si="3"/>
        <v>25012022</v>
      </c>
      <c r="N37" s="11" t="s">
        <v>12</v>
      </c>
      <c r="O37" s="11" t="s">
        <v>10</v>
      </c>
      <c r="P37" s="11" t="s">
        <v>588</v>
      </c>
      <c r="Q37" s="11" t="s">
        <v>588</v>
      </c>
      <c r="R37" s="23">
        <v>-38.577845000000003</v>
      </c>
      <c r="S37" s="23">
        <v>145.50668300000001</v>
      </c>
      <c r="T37" s="11">
        <v>1</v>
      </c>
      <c r="U37" s="11">
        <v>3</v>
      </c>
      <c r="V37" s="13" t="s">
        <v>588</v>
      </c>
      <c r="W37" s="11" t="s">
        <v>588</v>
      </c>
      <c r="X37" s="11">
        <v>3</v>
      </c>
      <c r="Y37" s="11">
        <v>3</v>
      </c>
      <c r="Z37" s="11" t="s">
        <v>41</v>
      </c>
      <c r="AA37" s="13">
        <v>44587</v>
      </c>
      <c r="AB37" s="11">
        <f t="shared" si="4"/>
        <v>26</v>
      </c>
      <c r="AC37" s="11">
        <f t="shared" si="5"/>
        <v>1</v>
      </c>
      <c r="AD37" s="11">
        <f t="shared" si="6"/>
        <v>2022</v>
      </c>
      <c r="AE37" s="13" t="str">
        <f t="shared" si="7"/>
        <v>26012022</v>
      </c>
      <c r="AF37" s="11" t="s">
        <v>12</v>
      </c>
      <c r="AG37" s="13">
        <v>44595</v>
      </c>
      <c r="AH37" s="11">
        <v>3</v>
      </c>
      <c r="AI37" s="11">
        <v>2</v>
      </c>
      <c r="AJ37" s="11">
        <v>2022</v>
      </c>
      <c r="AK37" s="13" t="s">
        <v>990</v>
      </c>
      <c r="AL37" s="11" t="s">
        <v>21</v>
      </c>
      <c r="AM37" s="11" t="s">
        <v>20</v>
      </c>
      <c r="AN37" s="11" t="s">
        <v>588</v>
      </c>
      <c r="AO37" s="11" t="s">
        <v>20</v>
      </c>
      <c r="AP37" s="11" t="s">
        <v>588</v>
      </c>
      <c r="AQ37" s="11" t="s">
        <v>588</v>
      </c>
      <c r="AR37" s="11" t="s">
        <v>588</v>
      </c>
      <c r="AS37" s="11" t="s">
        <v>588</v>
      </c>
      <c r="AT37" s="11" t="s">
        <v>588</v>
      </c>
      <c r="AU37" s="11" t="s">
        <v>588</v>
      </c>
      <c r="AV37" s="11" t="s">
        <v>588</v>
      </c>
      <c r="AW37" s="11" t="s">
        <v>588</v>
      </c>
      <c r="AX37" s="11" t="s">
        <v>588</v>
      </c>
      <c r="AY37" s="11" t="s">
        <v>588</v>
      </c>
      <c r="AZ37" s="13" t="s">
        <v>588</v>
      </c>
      <c r="BA37" s="11" t="s">
        <v>588</v>
      </c>
      <c r="BB37" s="11" t="s">
        <v>588</v>
      </c>
      <c r="BC37" s="11" t="s">
        <v>588</v>
      </c>
      <c r="BD37" s="11" t="s">
        <v>588</v>
      </c>
      <c r="BE37" s="13" t="s">
        <v>588</v>
      </c>
      <c r="BF37" s="11" t="s">
        <v>588</v>
      </c>
      <c r="BG37" s="11" t="s">
        <v>588</v>
      </c>
      <c r="BH37" s="11" t="s">
        <v>588</v>
      </c>
      <c r="BI37" s="11" t="s">
        <v>588</v>
      </c>
      <c r="BJ37" s="11" t="s">
        <v>588</v>
      </c>
      <c r="BK37" s="11" t="s">
        <v>588</v>
      </c>
      <c r="BL37" s="11" t="s">
        <v>588</v>
      </c>
      <c r="BM37" s="11" t="s">
        <v>588</v>
      </c>
      <c r="BN37" s="11" t="s">
        <v>588</v>
      </c>
      <c r="BO37" s="11" t="s">
        <v>588</v>
      </c>
      <c r="BP37" s="11" t="s">
        <v>8</v>
      </c>
      <c r="BQ37" s="11" t="s">
        <v>9</v>
      </c>
      <c r="BR37" s="11" t="s">
        <v>9</v>
      </c>
      <c r="BS37" s="11" t="s">
        <v>588</v>
      </c>
      <c r="BT37" s="11" t="s">
        <v>588</v>
      </c>
      <c r="BU37" s="11" t="s">
        <v>588</v>
      </c>
      <c r="BV37" s="11" t="s">
        <v>588</v>
      </c>
      <c r="BW37" s="11" t="s">
        <v>588</v>
      </c>
      <c r="BX37" s="11" t="s">
        <v>588</v>
      </c>
    </row>
    <row r="38" spans="1:76" x14ac:dyDescent="0.25">
      <c r="A38" s="11">
        <v>202122</v>
      </c>
      <c r="B38" s="11" t="s">
        <v>312</v>
      </c>
      <c r="C38" s="11" t="s">
        <v>552</v>
      </c>
      <c r="D38" s="11" t="s">
        <v>482</v>
      </c>
      <c r="E38" s="11" t="s">
        <v>16</v>
      </c>
      <c r="F38" s="11">
        <v>1</v>
      </c>
      <c r="G38" s="11" t="s">
        <v>532</v>
      </c>
      <c r="H38" s="11" t="s">
        <v>947</v>
      </c>
      <c r="I38" s="13">
        <v>44508</v>
      </c>
      <c r="J38" s="11">
        <f t="shared" si="0"/>
        <v>8</v>
      </c>
      <c r="K38" s="11">
        <f t="shared" si="1"/>
        <v>11</v>
      </c>
      <c r="L38" s="11">
        <f t="shared" si="2"/>
        <v>2021</v>
      </c>
      <c r="M38" s="11" t="str">
        <f t="shared" si="3"/>
        <v>08112021</v>
      </c>
      <c r="N38" s="11" t="s">
        <v>17</v>
      </c>
      <c r="O38" s="11" t="s">
        <v>36</v>
      </c>
      <c r="P38" s="11" t="s">
        <v>588</v>
      </c>
      <c r="Q38" s="11" t="s">
        <v>588</v>
      </c>
      <c r="R38" s="23">
        <v>-38.580376999999999</v>
      </c>
      <c r="S38" s="23">
        <v>145.50947099999999</v>
      </c>
      <c r="T38" s="11">
        <v>2</v>
      </c>
      <c r="U38" s="11">
        <v>2</v>
      </c>
      <c r="V38" s="13" t="s">
        <v>588</v>
      </c>
      <c r="W38" s="11" t="s">
        <v>588</v>
      </c>
      <c r="X38" s="11">
        <v>4</v>
      </c>
      <c r="Y38" s="11">
        <v>4</v>
      </c>
      <c r="Z38" s="11" t="s">
        <v>41</v>
      </c>
      <c r="AA38" s="13">
        <v>44517</v>
      </c>
      <c r="AB38" s="11">
        <f t="shared" si="4"/>
        <v>17</v>
      </c>
      <c r="AC38" s="11">
        <f t="shared" si="5"/>
        <v>11</v>
      </c>
      <c r="AD38" s="11">
        <f t="shared" si="6"/>
        <v>2021</v>
      </c>
      <c r="AE38" s="13" t="str">
        <f t="shared" si="7"/>
        <v>17112021</v>
      </c>
      <c r="AF38" s="11" t="s">
        <v>17</v>
      </c>
      <c r="AG38" s="13">
        <v>44528</v>
      </c>
      <c r="AH38" s="11">
        <v>28</v>
      </c>
      <c r="AI38" s="11">
        <v>11</v>
      </c>
      <c r="AJ38" s="11">
        <v>2021</v>
      </c>
      <c r="AK38" s="13" t="s">
        <v>991</v>
      </c>
      <c r="AL38" s="11" t="s">
        <v>17</v>
      </c>
      <c r="AM38" s="11" t="s">
        <v>20</v>
      </c>
      <c r="AN38" s="11" t="s">
        <v>588</v>
      </c>
      <c r="AO38" s="11" t="s">
        <v>20</v>
      </c>
      <c r="AP38" s="11" t="s">
        <v>588</v>
      </c>
      <c r="AQ38" s="11" t="s">
        <v>588</v>
      </c>
      <c r="AR38" s="11" t="s">
        <v>588</v>
      </c>
      <c r="AS38" s="11" t="s">
        <v>588</v>
      </c>
      <c r="AT38" s="11" t="s">
        <v>588</v>
      </c>
      <c r="AU38" s="11" t="s">
        <v>588</v>
      </c>
      <c r="AV38" s="11" t="s">
        <v>588</v>
      </c>
      <c r="AW38" s="11" t="s">
        <v>588</v>
      </c>
      <c r="AX38" s="11" t="s">
        <v>588</v>
      </c>
      <c r="AY38" s="11" t="s">
        <v>588</v>
      </c>
      <c r="AZ38" s="13" t="s">
        <v>588</v>
      </c>
      <c r="BA38" s="11" t="s">
        <v>588</v>
      </c>
      <c r="BB38" s="11" t="s">
        <v>588</v>
      </c>
      <c r="BC38" s="11" t="s">
        <v>588</v>
      </c>
      <c r="BD38" s="11" t="s">
        <v>588</v>
      </c>
      <c r="BE38" s="13" t="s">
        <v>588</v>
      </c>
      <c r="BF38" s="11" t="s">
        <v>588</v>
      </c>
      <c r="BG38" s="11" t="s">
        <v>588</v>
      </c>
      <c r="BH38" s="11" t="s">
        <v>588</v>
      </c>
      <c r="BI38" s="11" t="s">
        <v>588</v>
      </c>
      <c r="BJ38" s="11" t="s">
        <v>588</v>
      </c>
      <c r="BK38" s="11" t="s">
        <v>588</v>
      </c>
      <c r="BL38" s="11" t="s">
        <v>588</v>
      </c>
      <c r="BM38" s="11" t="s">
        <v>588</v>
      </c>
      <c r="BN38" s="11" t="s">
        <v>588</v>
      </c>
      <c r="BO38" s="11" t="s">
        <v>588</v>
      </c>
      <c r="BP38" s="11" t="s">
        <v>41</v>
      </c>
      <c r="BQ38" s="11" t="s">
        <v>588</v>
      </c>
      <c r="BR38" s="11" t="s">
        <v>42</v>
      </c>
      <c r="BS38" s="11" t="s">
        <v>588</v>
      </c>
      <c r="BT38" s="11" t="s">
        <v>588</v>
      </c>
      <c r="BU38" s="11" t="s">
        <v>588</v>
      </c>
      <c r="BV38" s="11" t="s">
        <v>588</v>
      </c>
      <c r="BW38" s="11" t="s">
        <v>588</v>
      </c>
      <c r="BX38" s="11" t="s">
        <v>588</v>
      </c>
    </row>
    <row r="39" spans="1:76" x14ac:dyDescent="0.25">
      <c r="A39" s="11">
        <v>202122</v>
      </c>
      <c r="B39" s="11" t="s">
        <v>312</v>
      </c>
      <c r="C39" s="11" t="s">
        <v>552</v>
      </c>
      <c r="D39" s="11" t="s">
        <v>482</v>
      </c>
      <c r="E39" s="11" t="s">
        <v>16</v>
      </c>
      <c r="F39" s="11">
        <v>2</v>
      </c>
      <c r="G39" s="11" t="s">
        <v>533</v>
      </c>
      <c r="H39" s="11" t="s">
        <v>948</v>
      </c>
      <c r="I39" s="13">
        <v>44545</v>
      </c>
      <c r="J39" s="11">
        <f t="shared" si="0"/>
        <v>15</v>
      </c>
      <c r="K39" s="11">
        <f t="shared" si="1"/>
        <v>12</v>
      </c>
      <c r="L39" s="11">
        <f t="shared" si="2"/>
        <v>2021</v>
      </c>
      <c r="M39" s="11" t="str">
        <f t="shared" si="3"/>
        <v>15122021</v>
      </c>
      <c r="N39" s="11" t="s">
        <v>7</v>
      </c>
      <c r="O39" s="11" t="s">
        <v>36</v>
      </c>
      <c r="P39" s="11" t="s">
        <v>588</v>
      </c>
      <c r="Q39" s="11" t="s">
        <v>588</v>
      </c>
      <c r="R39" s="23">
        <v>-38.580247</v>
      </c>
      <c r="S39" s="23">
        <v>145.50930500000001</v>
      </c>
      <c r="T39" s="11">
        <v>2</v>
      </c>
      <c r="U39" s="11">
        <v>3</v>
      </c>
      <c r="V39" s="13" t="s">
        <v>588</v>
      </c>
      <c r="W39" s="11" t="s">
        <v>588</v>
      </c>
      <c r="X39" s="11">
        <v>2</v>
      </c>
      <c r="Y39" s="11">
        <v>2</v>
      </c>
      <c r="Z39" s="11" t="s">
        <v>41</v>
      </c>
      <c r="AA39" s="13">
        <v>44545</v>
      </c>
      <c r="AB39" s="11">
        <f t="shared" si="4"/>
        <v>15</v>
      </c>
      <c r="AC39" s="11">
        <f t="shared" si="5"/>
        <v>12</v>
      </c>
      <c r="AD39" s="11">
        <f t="shared" si="6"/>
        <v>2021</v>
      </c>
      <c r="AE39" s="13" t="str">
        <f t="shared" si="7"/>
        <v>15122021</v>
      </c>
      <c r="AF39" s="11" t="s">
        <v>7</v>
      </c>
      <c r="AG39" s="13">
        <v>44550</v>
      </c>
      <c r="AH39" s="11">
        <v>20</v>
      </c>
      <c r="AI39" s="11">
        <v>12</v>
      </c>
      <c r="AJ39" s="11">
        <v>2021</v>
      </c>
      <c r="AK39" s="13" t="s">
        <v>982</v>
      </c>
      <c r="AL39" s="11" t="s">
        <v>7</v>
      </c>
      <c r="AM39" s="11" t="s">
        <v>20</v>
      </c>
      <c r="AN39" s="11" t="s">
        <v>588</v>
      </c>
      <c r="AO39" s="11" t="s">
        <v>20</v>
      </c>
      <c r="AP39" s="11" t="s">
        <v>588</v>
      </c>
      <c r="AQ39" s="11" t="s">
        <v>588</v>
      </c>
      <c r="AR39" s="11" t="s">
        <v>588</v>
      </c>
      <c r="AS39" s="11" t="s">
        <v>588</v>
      </c>
      <c r="AT39" s="11" t="s">
        <v>588</v>
      </c>
      <c r="AU39" s="11" t="s">
        <v>588</v>
      </c>
      <c r="AV39" s="11" t="s">
        <v>588</v>
      </c>
      <c r="AW39" s="11" t="s">
        <v>588</v>
      </c>
      <c r="AX39" s="11" t="s">
        <v>588</v>
      </c>
      <c r="AY39" s="11" t="s">
        <v>588</v>
      </c>
      <c r="AZ39" s="13" t="s">
        <v>588</v>
      </c>
      <c r="BA39" s="11" t="s">
        <v>588</v>
      </c>
      <c r="BB39" s="11" t="s">
        <v>588</v>
      </c>
      <c r="BC39" s="11" t="s">
        <v>588</v>
      </c>
      <c r="BD39" s="11" t="s">
        <v>588</v>
      </c>
      <c r="BE39" s="13" t="s">
        <v>588</v>
      </c>
      <c r="BF39" s="11" t="s">
        <v>588</v>
      </c>
      <c r="BG39" s="11" t="s">
        <v>588</v>
      </c>
      <c r="BH39" s="11" t="s">
        <v>588</v>
      </c>
      <c r="BI39" s="11" t="s">
        <v>588</v>
      </c>
      <c r="BJ39" s="11" t="s">
        <v>588</v>
      </c>
      <c r="BK39" s="11" t="s">
        <v>588</v>
      </c>
      <c r="BL39" s="11" t="s">
        <v>588</v>
      </c>
      <c r="BM39" s="11" t="s">
        <v>588</v>
      </c>
      <c r="BN39" s="11" t="s">
        <v>588</v>
      </c>
      <c r="BO39" s="11" t="s">
        <v>588</v>
      </c>
      <c r="BP39" s="11" t="s">
        <v>41</v>
      </c>
      <c r="BQ39" s="11" t="s">
        <v>588</v>
      </c>
      <c r="BR39" s="11" t="s">
        <v>42</v>
      </c>
      <c r="BS39" s="11" t="s">
        <v>588</v>
      </c>
      <c r="BT39" s="11" t="s">
        <v>588</v>
      </c>
      <c r="BU39" s="11" t="s">
        <v>588</v>
      </c>
      <c r="BV39" s="11" t="s">
        <v>588</v>
      </c>
      <c r="BW39" s="11" t="s">
        <v>588</v>
      </c>
      <c r="BX39" s="11" t="s">
        <v>588</v>
      </c>
    </row>
    <row r="40" spans="1:76" x14ac:dyDescent="0.25">
      <c r="A40" s="11">
        <v>202122</v>
      </c>
      <c r="B40" s="11" t="s">
        <v>312</v>
      </c>
      <c r="C40" s="11" t="s">
        <v>552</v>
      </c>
      <c r="D40" s="11" t="s">
        <v>482</v>
      </c>
      <c r="E40" s="11" t="s">
        <v>16</v>
      </c>
      <c r="F40" s="11">
        <v>3</v>
      </c>
      <c r="G40" s="11" t="s">
        <v>534</v>
      </c>
      <c r="H40" s="11" t="s">
        <v>949</v>
      </c>
      <c r="I40" s="13">
        <v>44561</v>
      </c>
      <c r="J40" s="11">
        <f t="shared" si="0"/>
        <v>31</v>
      </c>
      <c r="K40" s="11">
        <f t="shared" si="1"/>
        <v>12</v>
      </c>
      <c r="L40" s="11">
        <f t="shared" si="2"/>
        <v>2021</v>
      </c>
      <c r="M40" s="11" t="str">
        <f t="shared" si="3"/>
        <v>31122021</v>
      </c>
      <c r="N40" s="11" t="s">
        <v>7</v>
      </c>
      <c r="O40" s="11" t="s">
        <v>36</v>
      </c>
      <c r="P40" s="11" t="s">
        <v>588</v>
      </c>
      <c r="Q40" s="11" t="s">
        <v>588</v>
      </c>
      <c r="R40" s="23">
        <v>-38.580998000000001</v>
      </c>
      <c r="S40" s="23">
        <v>145.51071999999999</v>
      </c>
      <c r="T40" s="11">
        <v>3</v>
      </c>
      <c r="U40" s="11">
        <v>3</v>
      </c>
      <c r="V40" s="13" t="s">
        <v>588</v>
      </c>
      <c r="W40" s="11" t="s">
        <v>588</v>
      </c>
      <c r="X40" s="11">
        <v>4</v>
      </c>
      <c r="Y40" s="11">
        <v>3</v>
      </c>
      <c r="Z40" s="11" t="s">
        <v>41</v>
      </c>
      <c r="AA40" s="13">
        <v>44564</v>
      </c>
      <c r="AB40" s="11">
        <f t="shared" si="4"/>
        <v>3</v>
      </c>
      <c r="AC40" s="11">
        <f t="shared" si="5"/>
        <v>1</v>
      </c>
      <c r="AD40" s="11">
        <f t="shared" si="6"/>
        <v>2022</v>
      </c>
      <c r="AE40" s="13" t="str">
        <f t="shared" si="7"/>
        <v>03012022</v>
      </c>
      <c r="AF40" s="11" t="s">
        <v>12</v>
      </c>
      <c r="AG40" s="13">
        <v>44570</v>
      </c>
      <c r="AH40" s="11">
        <v>9</v>
      </c>
      <c r="AI40" s="11">
        <v>1</v>
      </c>
      <c r="AJ40" s="11">
        <v>2022</v>
      </c>
      <c r="AK40" s="13" t="s">
        <v>992</v>
      </c>
      <c r="AL40" s="11" t="s">
        <v>12</v>
      </c>
      <c r="AM40" s="11" t="s">
        <v>20</v>
      </c>
      <c r="AN40" s="11" t="s">
        <v>588</v>
      </c>
      <c r="AO40" s="11" t="s">
        <v>20</v>
      </c>
      <c r="AP40" s="11" t="s">
        <v>588</v>
      </c>
      <c r="AQ40" s="11" t="s">
        <v>588</v>
      </c>
      <c r="AR40" s="11" t="s">
        <v>588</v>
      </c>
      <c r="AS40" s="11" t="s">
        <v>588</v>
      </c>
      <c r="AT40" s="11" t="s">
        <v>588</v>
      </c>
      <c r="AU40" s="11" t="s">
        <v>588</v>
      </c>
      <c r="AV40" s="11" t="s">
        <v>588</v>
      </c>
      <c r="AW40" s="11" t="s">
        <v>588</v>
      </c>
      <c r="AX40" s="11" t="s">
        <v>588</v>
      </c>
      <c r="AY40" s="11" t="s">
        <v>588</v>
      </c>
      <c r="AZ40" s="13" t="s">
        <v>588</v>
      </c>
      <c r="BA40" s="11" t="s">
        <v>588</v>
      </c>
      <c r="BB40" s="11" t="s">
        <v>588</v>
      </c>
      <c r="BC40" s="11" t="s">
        <v>588</v>
      </c>
      <c r="BD40" s="11" t="s">
        <v>588</v>
      </c>
      <c r="BE40" s="13" t="s">
        <v>588</v>
      </c>
      <c r="BF40" s="11" t="s">
        <v>588</v>
      </c>
      <c r="BG40" s="11" t="s">
        <v>588</v>
      </c>
      <c r="BH40" s="11" t="s">
        <v>588</v>
      </c>
      <c r="BI40" s="11" t="s">
        <v>588</v>
      </c>
      <c r="BJ40" s="11" t="s">
        <v>588</v>
      </c>
      <c r="BK40" s="11" t="s">
        <v>588</v>
      </c>
      <c r="BL40" s="11" t="s">
        <v>588</v>
      </c>
      <c r="BM40" s="11" t="s">
        <v>588</v>
      </c>
      <c r="BN40" s="11" t="s">
        <v>588</v>
      </c>
      <c r="BO40" s="11" t="s">
        <v>588</v>
      </c>
      <c r="BP40" s="11" t="s">
        <v>8</v>
      </c>
      <c r="BQ40" s="11" t="s">
        <v>9</v>
      </c>
      <c r="BR40" s="11" t="s">
        <v>9</v>
      </c>
      <c r="BS40" s="11" t="s">
        <v>588</v>
      </c>
      <c r="BT40" s="11" t="s">
        <v>588</v>
      </c>
      <c r="BU40" s="11" t="s">
        <v>588</v>
      </c>
      <c r="BV40" s="11" t="s">
        <v>588</v>
      </c>
      <c r="BW40" s="11" t="s">
        <v>588</v>
      </c>
      <c r="BX40" s="11" t="s">
        <v>588</v>
      </c>
    </row>
    <row r="41" spans="1:76" x14ac:dyDescent="0.25">
      <c r="A41" s="11">
        <v>202122</v>
      </c>
      <c r="B41" s="11" t="s">
        <v>425</v>
      </c>
      <c r="C41" s="11" t="s">
        <v>425</v>
      </c>
      <c r="D41" s="11" t="s">
        <v>540</v>
      </c>
      <c r="E41" s="11" t="s">
        <v>16</v>
      </c>
      <c r="F41" s="11">
        <v>1</v>
      </c>
      <c r="G41" s="11" t="s">
        <v>541</v>
      </c>
      <c r="H41" s="11" t="s">
        <v>950</v>
      </c>
      <c r="I41" s="13">
        <v>44487</v>
      </c>
      <c r="J41" s="11">
        <f t="shared" si="0"/>
        <v>18</v>
      </c>
      <c r="K41" s="11">
        <f t="shared" si="1"/>
        <v>10</v>
      </c>
      <c r="L41" s="11">
        <f t="shared" si="2"/>
        <v>2021</v>
      </c>
      <c r="M41" s="11" t="str">
        <f t="shared" si="3"/>
        <v>18102021</v>
      </c>
      <c r="N41" s="11" t="s">
        <v>29</v>
      </c>
      <c r="O41" s="11" t="s">
        <v>10</v>
      </c>
      <c r="P41" s="11" t="s">
        <v>588</v>
      </c>
      <c r="Q41" s="11" t="s">
        <v>588</v>
      </c>
      <c r="R41" s="23">
        <v>-38.524769999999997</v>
      </c>
      <c r="S41" s="23">
        <v>145.36601099999999</v>
      </c>
      <c r="T41" s="11">
        <v>3</v>
      </c>
      <c r="U41" s="11">
        <v>3</v>
      </c>
      <c r="V41" s="13" t="s">
        <v>588</v>
      </c>
      <c r="W41" s="11" t="s">
        <v>588</v>
      </c>
      <c r="X41" s="11">
        <v>3</v>
      </c>
      <c r="Y41" s="11">
        <v>3</v>
      </c>
      <c r="Z41" s="11" t="s">
        <v>41</v>
      </c>
      <c r="AA41" s="13">
        <v>44488</v>
      </c>
      <c r="AB41" s="11">
        <f t="shared" si="4"/>
        <v>19</v>
      </c>
      <c r="AC41" s="11">
        <f t="shared" si="5"/>
        <v>10</v>
      </c>
      <c r="AD41" s="11">
        <f t="shared" si="6"/>
        <v>2021</v>
      </c>
      <c r="AE41" s="13" t="str">
        <f t="shared" si="7"/>
        <v>19102021</v>
      </c>
      <c r="AF41" s="11" t="s">
        <v>29</v>
      </c>
      <c r="AG41" s="13">
        <v>44496</v>
      </c>
      <c r="AH41" s="11">
        <v>27</v>
      </c>
      <c r="AI41" s="11">
        <v>10</v>
      </c>
      <c r="AJ41" s="11">
        <v>2021</v>
      </c>
      <c r="AK41" s="13" t="s">
        <v>993</v>
      </c>
      <c r="AL41" s="11" t="s">
        <v>29</v>
      </c>
      <c r="AM41" s="11" t="s">
        <v>20</v>
      </c>
      <c r="AN41" s="11" t="s">
        <v>588</v>
      </c>
      <c r="AO41" s="11" t="s">
        <v>20</v>
      </c>
      <c r="AP41" s="13" t="s">
        <v>588</v>
      </c>
      <c r="AQ41" s="11" t="s">
        <v>588</v>
      </c>
      <c r="AR41" s="11" t="s">
        <v>588</v>
      </c>
      <c r="AS41" s="11" t="s">
        <v>588</v>
      </c>
      <c r="AT41" s="11" t="s">
        <v>588</v>
      </c>
      <c r="AU41" s="13" t="s">
        <v>588</v>
      </c>
      <c r="AV41" s="11" t="s">
        <v>588</v>
      </c>
      <c r="AW41" s="11" t="s">
        <v>588</v>
      </c>
      <c r="AX41" s="11" t="s">
        <v>588</v>
      </c>
      <c r="AY41" s="11" t="s">
        <v>588</v>
      </c>
      <c r="AZ41" s="13" t="s">
        <v>588</v>
      </c>
      <c r="BA41" s="11" t="s">
        <v>588</v>
      </c>
      <c r="BB41" s="11" t="s">
        <v>588</v>
      </c>
      <c r="BC41" s="11" t="s">
        <v>588</v>
      </c>
      <c r="BD41" s="11" t="s">
        <v>588</v>
      </c>
      <c r="BE41" s="13" t="s">
        <v>588</v>
      </c>
      <c r="BF41" s="11" t="s">
        <v>588</v>
      </c>
      <c r="BG41" s="11" t="s">
        <v>588</v>
      </c>
      <c r="BH41" s="11" t="s">
        <v>588</v>
      </c>
      <c r="BI41" s="11" t="s">
        <v>588</v>
      </c>
      <c r="BJ41" s="11" t="s">
        <v>588</v>
      </c>
      <c r="BK41" s="11" t="s">
        <v>588</v>
      </c>
      <c r="BL41" s="11" t="s">
        <v>588</v>
      </c>
      <c r="BM41" s="11" t="s">
        <v>588</v>
      </c>
      <c r="BN41" s="11" t="s">
        <v>588</v>
      </c>
      <c r="BO41" s="11" t="s">
        <v>588</v>
      </c>
      <c r="BP41" s="11" t="s">
        <v>8</v>
      </c>
      <c r="BQ41" s="11" t="s">
        <v>9</v>
      </c>
      <c r="BR41" s="11" t="s">
        <v>9</v>
      </c>
      <c r="BS41" s="11" t="s">
        <v>588</v>
      </c>
      <c r="BT41" s="11" t="s">
        <v>588</v>
      </c>
      <c r="BU41" s="11" t="s">
        <v>588</v>
      </c>
      <c r="BV41" s="11" t="s">
        <v>588</v>
      </c>
      <c r="BW41" s="11" t="s">
        <v>588</v>
      </c>
      <c r="BX41" s="11" t="s">
        <v>588</v>
      </c>
    </row>
    <row r="42" spans="1:76" x14ac:dyDescent="0.25">
      <c r="A42" s="11">
        <v>202122</v>
      </c>
      <c r="B42" s="11" t="s">
        <v>425</v>
      </c>
      <c r="C42" s="11" t="s">
        <v>425</v>
      </c>
      <c r="D42" s="11" t="s">
        <v>540</v>
      </c>
      <c r="E42" s="11" t="s">
        <v>16</v>
      </c>
      <c r="F42" s="11">
        <v>2</v>
      </c>
      <c r="G42" s="11" t="s">
        <v>542</v>
      </c>
      <c r="H42" s="11" t="s">
        <v>951</v>
      </c>
      <c r="I42" s="13">
        <v>44534</v>
      </c>
      <c r="J42" s="11">
        <f t="shared" si="0"/>
        <v>4</v>
      </c>
      <c r="K42" s="11">
        <f t="shared" si="1"/>
        <v>12</v>
      </c>
      <c r="L42" s="11">
        <f t="shared" si="2"/>
        <v>2021</v>
      </c>
      <c r="M42" s="11" t="str">
        <f t="shared" si="3"/>
        <v>04122021</v>
      </c>
      <c r="N42" s="11" t="s">
        <v>7</v>
      </c>
      <c r="O42" s="11" t="s">
        <v>10</v>
      </c>
      <c r="P42" s="11" t="s">
        <v>588</v>
      </c>
      <c r="Q42" s="11" t="s">
        <v>588</v>
      </c>
      <c r="R42" s="23">
        <v>-38.524774000000001</v>
      </c>
      <c r="S42" s="23">
        <v>145.36593400000001</v>
      </c>
      <c r="T42" s="11">
        <v>2</v>
      </c>
      <c r="U42" s="11">
        <v>2</v>
      </c>
      <c r="V42" s="13" t="s">
        <v>588</v>
      </c>
      <c r="W42" s="11" t="s">
        <v>588</v>
      </c>
      <c r="X42" s="11">
        <v>4</v>
      </c>
      <c r="Y42" s="11">
        <v>4</v>
      </c>
      <c r="Z42" s="11" t="s">
        <v>8</v>
      </c>
      <c r="AA42" s="13">
        <v>44558</v>
      </c>
      <c r="AB42" s="11">
        <f t="shared" si="4"/>
        <v>28</v>
      </c>
      <c r="AC42" s="11">
        <f t="shared" si="5"/>
        <v>12</v>
      </c>
      <c r="AD42" s="11">
        <f t="shared" si="6"/>
        <v>2021</v>
      </c>
      <c r="AE42" s="13" t="str">
        <f t="shared" si="7"/>
        <v>28122021</v>
      </c>
      <c r="AF42" s="11" t="s">
        <v>7</v>
      </c>
      <c r="AG42" s="13" t="s">
        <v>588</v>
      </c>
      <c r="AH42" s="11" t="s">
        <v>588</v>
      </c>
      <c r="AI42" s="11" t="s">
        <v>588</v>
      </c>
      <c r="AJ42" s="11" t="s">
        <v>588</v>
      </c>
      <c r="AK42" s="13" t="s">
        <v>588</v>
      </c>
      <c r="AL42" s="11" t="s">
        <v>588</v>
      </c>
      <c r="AM42" s="13" t="s">
        <v>588</v>
      </c>
      <c r="AN42" s="11" t="s">
        <v>588</v>
      </c>
      <c r="AO42" s="13" t="s">
        <v>588</v>
      </c>
      <c r="AP42" s="13">
        <v>44571</v>
      </c>
      <c r="AQ42" s="11" t="s">
        <v>12</v>
      </c>
      <c r="AR42" s="11" t="s">
        <v>195</v>
      </c>
      <c r="AS42" s="11">
        <v>2</v>
      </c>
      <c r="AT42" s="11">
        <v>2</v>
      </c>
      <c r="AU42" s="13">
        <v>44596</v>
      </c>
      <c r="AV42" s="11" t="s">
        <v>21</v>
      </c>
      <c r="AW42" s="11" t="s">
        <v>20</v>
      </c>
      <c r="AX42" s="11" t="s">
        <v>588</v>
      </c>
      <c r="AY42" s="11" t="s">
        <v>20</v>
      </c>
      <c r="AZ42" s="13">
        <v>44619</v>
      </c>
      <c r="BA42" s="11" t="s">
        <v>21</v>
      </c>
      <c r="BB42" s="11" t="s">
        <v>20</v>
      </c>
      <c r="BC42" s="11" t="s">
        <v>588</v>
      </c>
      <c r="BD42" s="11" t="s">
        <v>20</v>
      </c>
      <c r="BE42" s="13" t="s">
        <v>588</v>
      </c>
      <c r="BF42" s="11" t="s">
        <v>588</v>
      </c>
      <c r="BG42" s="11" t="s">
        <v>588</v>
      </c>
      <c r="BH42" s="11" t="s">
        <v>588</v>
      </c>
      <c r="BI42" s="11" t="s">
        <v>588</v>
      </c>
      <c r="BJ42" s="11">
        <v>5</v>
      </c>
      <c r="BK42" s="11">
        <v>5</v>
      </c>
      <c r="BL42" s="11" t="s">
        <v>41</v>
      </c>
      <c r="BM42" s="11" t="s">
        <v>588</v>
      </c>
      <c r="BN42" s="11" t="s">
        <v>588</v>
      </c>
      <c r="BO42" s="11" t="s">
        <v>588</v>
      </c>
      <c r="BP42" s="11" t="s">
        <v>8</v>
      </c>
      <c r="BQ42" s="11" t="s">
        <v>9</v>
      </c>
      <c r="BR42" s="11" t="s">
        <v>9</v>
      </c>
      <c r="BS42" s="11" t="s">
        <v>8</v>
      </c>
      <c r="BT42" s="11" t="s">
        <v>9</v>
      </c>
      <c r="BU42" s="11" t="s">
        <v>9</v>
      </c>
      <c r="BV42" s="11" t="s">
        <v>588</v>
      </c>
      <c r="BW42" s="11" t="s">
        <v>588</v>
      </c>
      <c r="BX42" s="11" t="s">
        <v>588</v>
      </c>
    </row>
    <row r="43" spans="1:76" x14ac:dyDescent="0.25">
      <c r="A43" s="11">
        <v>202122</v>
      </c>
      <c r="B43" s="10" t="s">
        <v>497</v>
      </c>
      <c r="C43" s="11" t="s">
        <v>584</v>
      </c>
      <c r="D43" s="11" t="s">
        <v>543</v>
      </c>
      <c r="E43" s="11" t="s">
        <v>101</v>
      </c>
      <c r="F43" s="11">
        <v>1</v>
      </c>
      <c r="G43" s="11" t="s">
        <v>544</v>
      </c>
      <c r="H43" s="11" t="s">
        <v>952</v>
      </c>
      <c r="I43" s="13" t="s">
        <v>71</v>
      </c>
      <c r="J43" s="13" t="s">
        <v>71</v>
      </c>
      <c r="K43" s="13" t="s">
        <v>71</v>
      </c>
      <c r="L43" s="13" t="s">
        <v>71</v>
      </c>
      <c r="M43" s="13" t="s">
        <v>71</v>
      </c>
      <c r="N43" s="11" t="s">
        <v>17</v>
      </c>
      <c r="O43" s="11" t="s">
        <v>71</v>
      </c>
      <c r="P43" s="13" t="s">
        <v>588</v>
      </c>
      <c r="Q43" s="13" t="s">
        <v>588</v>
      </c>
      <c r="R43" s="23">
        <v>-38.539219000000003</v>
      </c>
      <c r="S43" s="23">
        <v>145.43467699999999</v>
      </c>
      <c r="T43" s="11">
        <v>3</v>
      </c>
      <c r="U43" s="11">
        <v>3</v>
      </c>
      <c r="V43" s="13" t="s">
        <v>588</v>
      </c>
      <c r="W43" s="11" t="s">
        <v>588</v>
      </c>
      <c r="X43" s="11">
        <v>0</v>
      </c>
      <c r="Y43" s="11">
        <v>0</v>
      </c>
      <c r="Z43" s="11" t="s">
        <v>8</v>
      </c>
      <c r="AA43" s="13" t="s">
        <v>71</v>
      </c>
      <c r="AB43" s="13" t="s">
        <v>71</v>
      </c>
      <c r="AC43" s="13" t="s">
        <v>71</v>
      </c>
      <c r="AD43" s="13" t="s">
        <v>71</v>
      </c>
      <c r="AE43" s="13" t="s">
        <v>71</v>
      </c>
      <c r="AF43" s="13" t="s">
        <v>71</v>
      </c>
      <c r="AG43" s="13" t="s">
        <v>588</v>
      </c>
      <c r="AH43" s="11" t="s">
        <v>588</v>
      </c>
      <c r="AI43" s="11" t="s">
        <v>588</v>
      </c>
      <c r="AJ43" s="11" t="s">
        <v>588</v>
      </c>
      <c r="AK43" s="13" t="s">
        <v>588</v>
      </c>
      <c r="AL43" s="11" t="s">
        <v>588</v>
      </c>
      <c r="AM43" s="11" t="s">
        <v>588</v>
      </c>
      <c r="AN43" s="11" t="s">
        <v>588</v>
      </c>
      <c r="AO43" s="11" t="s">
        <v>588</v>
      </c>
      <c r="AP43" s="13">
        <v>44567</v>
      </c>
      <c r="AQ43" s="11" t="s">
        <v>12</v>
      </c>
      <c r="AR43" s="11" t="s">
        <v>199</v>
      </c>
      <c r="AS43" s="11">
        <v>3</v>
      </c>
      <c r="AT43" s="11">
        <v>3</v>
      </c>
      <c r="AU43" s="13" t="s">
        <v>588</v>
      </c>
      <c r="AV43" s="11" t="s">
        <v>588</v>
      </c>
      <c r="AW43" s="11" t="s">
        <v>588</v>
      </c>
      <c r="AX43" s="11" t="s">
        <v>588</v>
      </c>
      <c r="AY43" s="11" t="s">
        <v>588</v>
      </c>
      <c r="AZ43" s="13" t="s">
        <v>588</v>
      </c>
      <c r="BA43" s="11" t="s">
        <v>588</v>
      </c>
      <c r="BB43" s="11" t="s">
        <v>588</v>
      </c>
      <c r="BC43" s="11" t="s">
        <v>588</v>
      </c>
      <c r="BD43" s="11" t="s">
        <v>588</v>
      </c>
      <c r="BE43" s="13" t="s">
        <v>588</v>
      </c>
      <c r="BF43" s="11" t="s">
        <v>588</v>
      </c>
      <c r="BG43" s="11" t="s">
        <v>588</v>
      </c>
      <c r="BH43" s="11" t="s">
        <v>588</v>
      </c>
      <c r="BI43" s="11" t="s">
        <v>588</v>
      </c>
      <c r="BJ43" s="11">
        <v>4</v>
      </c>
      <c r="BK43" s="11">
        <v>3</v>
      </c>
      <c r="BL43" s="11" t="s">
        <v>8</v>
      </c>
      <c r="BM43" s="11">
        <v>3</v>
      </c>
      <c r="BN43" s="13">
        <v>44596</v>
      </c>
      <c r="BO43" s="11" t="s">
        <v>21</v>
      </c>
      <c r="BP43" s="11" t="s">
        <v>41</v>
      </c>
      <c r="BQ43" s="11" t="s">
        <v>588</v>
      </c>
      <c r="BR43" s="11" t="s">
        <v>42</v>
      </c>
      <c r="BS43" s="11" t="s">
        <v>41</v>
      </c>
      <c r="BT43" s="11" t="s">
        <v>42</v>
      </c>
      <c r="BU43" s="11" t="s">
        <v>42</v>
      </c>
      <c r="BV43" s="11" t="s">
        <v>545</v>
      </c>
      <c r="BW43" s="11" t="s">
        <v>588</v>
      </c>
      <c r="BX43" s="11" t="s">
        <v>588</v>
      </c>
    </row>
    <row r="44" spans="1:76" x14ac:dyDescent="0.25">
      <c r="A44" s="11">
        <v>202122</v>
      </c>
      <c r="B44" s="11" t="s">
        <v>35</v>
      </c>
      <c r="C44" s="11" t="s">
        <v>35</v>
      </c>
      <c r="D44" s="11" t="s">
        <v>55</v>
      </c>
      <c r="E44" s="11" t="s">
        <v>107</v>
      </c>
      <c r="F44" s="11">
        <v>1</v>
      </c>
      <c r="G44" s="11" t="str">
        <f>CONCATENATE(A44,"_",B44,"_",F44)</f>
        <v>202122_The Oaks Bay - Cape Paterson_1</v>
      </c>
      <c r="H44" s="11" t="s">
        <v>953</v>
      </c>
      <c r="I44" s="13">
        <v>44516</v>
      </c>
      <c r="J44" s="11">
        <f t="shared" si="0"/>
        <v>16</v>
      </c>
      <c r="K44" s="11">
        <f t="shared" si="1"/>
        <v>11</v>
      </c>
      <c r="L44" s="11">
        <f t="shared" si="2"/>
        <v>2021</v>
      </c>
      <c r="M44" s="11" t="str">
        <f t="shared" si="3"/>
        <v>16112021</v>
      </c>
      <c r="N44" s="11" t="s">
        <v>17</v>
      </c>
      <c r="O44" s="11" t="s">
        <v>51</v>
      </c>
      <c r="P44" s="23" t="s">
        <v>588</v>
      </c>
      <c r="Q44" s="23" t="s">
        <v>588</v>
      </c>
      <c r="R44" s="23">
        <v>-38.672144000000003</v>
      </c>
      <c r="S44" s="23">
        <v>145.639746</v>
      </c>
      <c r="T44" s="11">
        <v>3</v>
      </c>
      <c r="U44" s="11">
        <v>3</v>
      </c>
      <c r="V44" s="13" t="s">
        <v>588</v>
      </c>
      <c r="W44" s="11" t="s">
        <v>588</v>
      </c>
      <c r="X44" s="11">
        <v>5</v>
      </c>
      <c r="Y44" s="11">
        <v>5</v>
      </c>
      <c r="Z44" s="11" t="s">
        <v>41</v>
      </c>
      <c r="AA44" s="13">
        <v>44526</v>
      </c>
      <c r="AB44" s="11">
        <f t="shared" si="4"/>
        <v>26</v>
      </c>
      <c r="AC44" s="11">
        <f t="shared" si="5"/>
        <v>11</v>
      </c>
      <c r="AD44" s="11">
        <f t="shared" si="6"/>
        <v>2021</v>
      </c>
      <c r="AE44" s="13" t="str">
        <f t="shared" si="7"/>
        <v>26112021</v>
      </c>
      <c r="AF44" s="11" t="s">
        <v>17</v>
      </c>
      <c r="AG44" s="13">
        <v>44534</v>
      </c>
      <c r="AH44" s="11">
        <v>4</v>
      </c>
      <c r="AI44" s="11">
        <v>12</v>
      </c>
      <c r="AJ44" s="11">
        <v>2021</v>
      </c>
      <c r="AK44" s="13" t="s">
        <v>994</v>
      </c>
      <c r="AL44" s="11" t="s">
        <v>7</v>
      </c>
      <c r="AM44" s="11" t="s">
        <v>20</v>
      </c>
      <c r="AN44" s="11" t="s">
        <v>588</v>
      </c>
      <c r="AO44" s="11" t="s">
        <v>32</v>
      </c>
      <c r="AP44" s="13" t="s">
        <v>588</v>
      </c>
      <c r="AQ44" s="11" t="s">
        <v>588</v>
      </c>
      <c r="AR44" s="11" t="s">
        <v>588</v>
      </c>
      <c r="AS44" s="11" t="s">
        <v>588</v>
      </c>
      <c r="AT44" s="11" t="s">
        <v>588</v>
      </c>
      <c r="AU44" s="13" t="s">
        <v>588</v>
      </c>
      <c r="AV44" s="11" t="s">
        <v>588</v>
      </c>
      <c r="AW44" s="11" t="s">
        <v>588</v>
      </c>
      <c r="AX44" s="11" t="s">
        <v>588</v>
      </c>
      <c r="AY44" s="11" t="s">
        <v>588</v>
      </c>
      <c r="AZ44" s="13" t="s">
        <v>588</v>
      </c>
      <c r="BA44" s="11" t="s">
        <v>588</v>
      </c>
      <c r="BB44" s="11" t="s">
        <v>588</v>
      </c>
      <c r="BC44" s="11" t="s">
        <v>588</v>
      </c>
      <c r="BD44" s="11" t="s">
        <v>588</v>
      </c>
      <c r="BE44" s="13" t="s">
        <v>588</v>
      </c>
      <c r="BF44" s="11" t="s">
        <v>588</v>
      </c>
      <c r="BG44" s="11" t="s">
        <v>588</v>
      </c>
      <c r="BH44" s="11" t="s">
        <v>588</v>
      </c>
      <c r="BI44" s="11" t="s">
        <v>588</v>
      </c>
      <c r="BJ44" s="11" t="s">
        <v>588</v>
      </c>
      <c r="BK44" s="11" t="s">
        <v>588</v>
      </c>
      <c r="BL44" s="11" t="s">
        <v>588</v>
      </c>
      <c r="BM44" s="11" t="s">
        <v>588</v>
      </c>
      <c r="BN44" s="11" t="s">
        <v>588</v>
      </c>
      <c r="BO44" s="11" t="s">
        <v>588</v>
      </c>
      <c r="BP44" s="11" t="s">
        <v>8</v>
      </c>
      <c r="BQ44" s="11" t="s">
        <v>9</v>
      </c>
      <c r="BR44" s="11" t="s">
        <v>9</v>
      </c>
      <c r="BS44" s="11" t="s">
        <v>588</v>
      </c>
      <c r="BT44" s="11" t="s">
        <v>588</v>
      </c>
      <c r="BU44" s="11" t="s">
        <v>588</v>
      </c>
      <c r="BV44" s="11" t="s">
        <v>588</v>
      </c>
      <c r="BW44" s="11" t="s">
        <v>588</v>
      </c>
      <c r="BX44" s="11" t="s">
        <v>588</v>
      </c>
    </row>
    <row r="45" spans="1:76" x14ac:dyDescent="0.25">
      <c r="A45" s="11">
        <v>202122</v>
      </c>
      <c r="B45" s="11" t="s">
        <v>35</v>
      </c>
      <c r="C45" s="11" t="s">
        <v>35</v>
      </c>
      <c r="D45" s="11" t="s">
        <v>55</v>
      </c>
      <c r="E45" s="11" t="s">
        <v>107</v>
      </c>
      <c r="F45" s="11">
        <v>2</v>
      </c>
      <c r="G45" s="11" t="str">
        <f>CONCATENATE(A45,"_",B45,"_",F45)</f>
        <v>202122_The Oaks Bay - Cape Paterson_2</v>
      </c>
      <c r="H45" s="11" t="s">
        <v>954</v>
      </c>
      <c r="I45" s="13">
        <v>44579</v>
      </c>
      <c r="J45" s="11">
        <f t="shared" si="0"/>
        <v>18</v>
      </c>
      <c r="K45" s="11">
        <f t="shared" si="1"/>
        <v>1</v>
      </c>
      <c r="L45" s="11">
        <f t="shared" si="2"/>
        <v>2022</v>
      </c>
      <c r="M45" s="11" t="str">
        <f t="shared" si="3"/>
        <v>18012022</v>
      </c>
      <c r="N45" s="11" t="s">
        <v>12</v>
      </c>
      <c r="O45" s="11" t="s">
        <v>10</v>
      </c>
      <c r="P45" s="23" t="s">
        <v>588</v>
      </c>
      <c r="Q45" s="23" t="s">
        <v>588</v>
      </c>
      <c r="R45" s="23">
        <v>-38.671979</v>
      </c>
      <c r="S45" s="23">
        <v>145.63857400000001</v>
      </c>
      <c r="T45" s="11">
        <v>3</v>
      </c>
      <c r="U45" s="11">
        <v>3</v>
      </c>
      <c r="V45" s="13" t="s">
        <v>588</v>
      </c>
      <c r="W45" s="11" t="s">
        <v>588</v>
      </c>
      <c r="X45" s="11">
        <v>3</v>
      </c>
      <c r="Y45" s="11">
        <v>3</v>
      </c>
      <c r="Z45" s="11" t="s">
        <v>41</v>
      </c>
      <c r="AA45" s="13">
        <v>44584</v>
      </c>
      <c r="AB45" s="11">
        <f t="shared" si="4"/>
        <v>23</v>
      </c>
      <c r="AC45" s="11">
        <f t="shared" si="5"/>
        <v>1</v>
      </c>
      <c r="AD45" s="11">
        <f t="shared" si="6"/>
        <v>2022</v>
      </c>
      <c r="AE45" s="13" t="str">
        <f t="shared" si="7"/>
        <v>23012022</v>
      </c>
      <c r="AF45" s="11" t="s">
        <v>12</v>
      </c>
      <c r="AG45" s="13">
        <v>44594</v>
      </c>
      <c r="AH45" s="11">
        <v>2</v>
      </c>
      <c r="AI45" s="11">
        <v>2</v>
      </c>
      <c r="AJ45" s="11">
        <v>2022</v>
      </c>
      <c r="AK45" s="13" t="s">
        <v>995</v>
      </c>
      <c r="AL45" s="11" t="s">
        <v>21</v>
      </c>
      <c r="AM45" s="11" t="s">
        <v>20</v>
      </c>
      <c r="AN45" s="11" t="s">
        <v>588</v>
      </c>
      <c r="AO45" s="11" t="s">
        <v>32</v>
      </c>
      <c r="AP45" s="13" t="s">
        <v>588</v>
      </c>
      <c r="AQ45" s="11" t="s">
        <v>588</v>
      </c>
      <c r="AR45" s="11" t="s">
        <v>588</v>
      </c>
      <c r="AS45" s="11" t="s">
        <v>588</v>
      </c>
      <c r="AT45" s="11" t="s">
        <v>588</v>
      </c>
      <c r="AU45" s="13" t="s">
        <v>588</v>
      </c>
      <c r="AV45" s="11" t="s">
        <v>588</v>
      </c>
      <c r="AW45" s="11" t="s">
        <v>588</v>
      </c>
      <c r="AX45" s="11" t="s">
        <v>588</v>
      </c>
      <c r="AY45" s="11" t="s">
        <v>588</v>
      </c>
      <c r="AZ45" s="13" t="s">
        <v>588</v>
      </c>
      <c r="BA45" s="11" t="s">
        <v>588</v>
      </c>
      <c r="BB45" s="11" t="s">
        <v>588</v>
      </c>
      <c r="BC45" s="11" t="s">
        <v>588</v>
      </c>
      <c r="BD45" s="11" t="s">
        <v>588</v>
      </c>
      <c r="BE45" s="13" t="s">
        <v>588</v>
      </c>
      <c r="BF45" s="11" t="s">
        <v>588</v>
      </c>
      <c r="BG45" s="11" t="s">
        <v>588</v>
      </c>
      <c r="BH45" s="11" t="s">
        <v>588</v>
      </c>
      <c r="BI45" s="11" t="s">
        <v>588</v>
      </c>
      <c r="BJ45" s="11" t="s">
        <v>588</v>
      </c>
      <c r="BK45" s="11" t="s">
        <v>588</v>
      </c>
      <c r="BL45" s="11" t="s">
        <v>588</v>
      </c>
      <c r="BM45" s="11" t="s">
        <v>588</v>
      </c>
      <c r="BN45" s="11" t="s">
        <v>588</v>
      </c>
      <c r="BO45" s="11" t="s">
        <v>588</v>
      </c>
      <c r="BP45" s="11" t="s">
        <v>8</v>
      </c>
      <c r="BQ45" s="11" t="s">
        <v>9</v>
      </c>
      <c r="BR45" s="11" t="s">
        <v>9</v>
      </c>
      <c r="BS45" s="11" t="s">
        <v>588</v>
      </c>
      <c r="BT45" s="11" t="s">
        <v>588</v>
      </c>
      <c r="BU45" s="11" t="s">
        <v>588</v>
      </c>
      <c r="BV45" s="11" t="s">
        <v>588</v>
      </c>
      <c r="BW45" s="11" t="s">
        <v>588</v>
      </c>
      <c r="BX45" s="11" t="s">
        <v>588</v>
      </c>
    </row>
    <row r="46" spans="1:76" x14ac:dyDescent="0.25">
      <c r="A46" s="11">
        <v>202122</v>
      </c>
      <c r="B46" s="11" t="s">
        <v>37</v>
      </c>
      <c r="C46" s="11" t="s">
        <v>37</v>
      </c>
      <c r="D46" s="11" t="s">
        <v>102</v>
      </c>
      <c r="E46" s="11" t="s">
        <v>16</v>
      </c>
      <c r="F46" s="11">
        <v>1</v>
      </c>
      <c r="G46" s="11" t="str">
        <f>CONCATENATE(A46,"_",B46,"_",F46)</f>
        <v>202122_Waterfall Creek - Harmers Haven_1</v>
      </c>
      <c r="H46" s="11" t="s">
        <v>955</v>
      </c>
      <c r="I46" s="13">
        <v>44553</v>
      </c>
      <c r="J46" s="11">
        <f t="shared" si="0"/>
        <v>23</v>
      </c>
      <c r="K46" s="11">
        <f t="shared" si="1"/>
        <v>12</v>
      </c>
      <c r="L46" s="11">
        <f t="shared" si="2"/>
        <v>2021</v>
      </c>
      <c r="M46" s="11" t="str">
        <f t="shared" si="3"/>
        <v>23122021</v>
      </c>
      <c r="N46" s="11" t="s">
        <v>7</v>
      </c>
      <c r="O46" s="11" t="s">
        <v>10</v>
      </c>
      <c r="P46" s="23" t="s">
        <v>588</v>
      </c>
      <c r="Q46" s="23" t="s">
        <v>588</v>
      </c>
      <c r="R46" s="23">
        <v>-38.656801000000002</v>
      </c>
      <c r="S46" s="23">
        <v>145.57534100000001</v>
      </c>
      <c r="T46" s="11">
        <v>2</v>
      </c>
      <c r="U46" s="11">
        <v>2</v>
      </c>
      <c r="V46" s="13" t="s">
        <v>588</v>
      </c>
      <c r="W46" s="11" t="s">
        <v>588</v>
      </c>
      <c r="X46" s="11">
        <v>9</v>
      </c>
      <c r="Y46" s="11">
        <v>9</v>
      </c>
      <c r="Z46" s="11" t="s">
        <v>41</v>
      </c>
      <c r="AA46" s="13">
        <v>44584</v>
      </c>
      <c r="AB46" s="11">
        <f t="shared" si="4"/>
        <v>23</v>
      </c>
      <c r="AC46" s="11">
        <f t="shared" si="5"/>
        <v>1</v>
      </c>
      <c r="AD46" s="11">
        <f t="shared" si="6"/>
        <v>2022</v>
      </c>
      <c r="AE46" s="13" t="str">
        <f t="shared" si="7"/>
        <v>23012022</v>
      </c>
      <c r="AF46" s="11" t="s">
        <v>12</v>
      </c>
      <c r="AG46" s="13">
        <v>44585</v>
      </c>
      <c r="AH46" s="11">
        <v>24</v>
      </c>
      <c r="AI46" s="11">
        <v>1</v>
      </c>
      <c r="AJ46" s="11">
        <v>2022</v>
      </c>
      <c r="AK46" s="13" t="s">
        <v>978</v>
      </c>
      <c r="AL46" s="11" t="s">
        <v>12</v>
      </c>
      <c r="AM46" s="11" t="s">
        <v>20</v>
      </c>
      <c r="AN46" s="11" t="s">
        <v>588</v>
      </c>
      <c r="AO46" s="11" t="s">
        <v>20</v>
      </c>
      <c r="AP46" s="13" t="s">
        <v>588</v>
      </c>
      <c r="AQ46" s="11" t="s">
        <v>588</v>
      </c>
      <c r="AR46" s="11" t="s">
        <v>588</v>
      </c>
      <c r="AS46" s="11" t="s">
        <v>588</v>
      </c>
      <c r="AT46" s="11" t="s">
        <v>588</v>
      </c>
      <c r="AU46" s="13" t="s">
        <v>588</v>
      </c>
      <c r="AV46" s="11" t="s">
        <v>588</v>
      </c>
      <c r="AW46" s="11" t="s">
        <v>588</v>
      </c>
      <c r="AX46" s="11" t="s">
        <v>588</v>
      </c>
      <c r="AY46" s="11" t="s">
        <v>588</v>
      </c>
      <c r="AZ46" s="13" t="s">
        <v>588</v>
      </c>
      <c r="BA46" s="11" t="s">
        <v>588</v>
      </c>
      <c r="BB46" s="11" t="s">
        <v>588</v>
      </c>
      <c r="BC46" s="11" t="s">
        <v>588</v>
      </c>
      <c r="BD46" s="11" t="s">
        <v>588</v>
      </c>
      <c r="BE46" s="13" t="s">
        <v>588</v>
      </c>
      <c r="BF46" s="11" t="s">
        <v>588</v>
      </c>
      <c r="BG46" s="11" t="s">
        <v>588</v>
      </c>
      <c r="BH46" s="11" t="s">
        <v>588</v>
      </c>
      <c r="BI46" s="11" t="s">
        <v>588</v>
      </c>
      <c r="BJ46" s="11" t="s">
        <v>588</v>
      </c>
      <c r="BK46" s="11" t="s">
        <v>588</v>
      </c>
      <c r="BL46" s="11" t="s">
        <v>588</v>
      </c>
      <c r="BM46" s="11" t="s">
        <v>588</v>
      </c>
      <c r="BN46" s="11" t="s">
        <v>588</v>
      </c>
      <c r="BO46" s="11" t="s">
        <v>588</v>
      </c>
      <c r="BP46" s="11" t="s">
        <v>8</v>
      </c>
      <c r="BQ46" s="11" t="s">
        <v>9</v>
      </c>
      <c r="BR46" s="11" t="s">
        <v>9</v>
      </c>
      <c r="BS46" s="11" t="s">
        <v>588</v>
      </c>
      <c r="BT46" s="11" t="s">
        <v>588</v>
      </c>
      <c r="BU46" s="11" t="s">
        <v>588</v>
      </c>
      <c r="BV46" s="11" t="s">
        <v>588</v>
      </c>
      <c r="BW46" s="11" t="s">
        <v>588</v>
      </c>
      <c r="BX46" s="11" t="s">
        <v>588</v>
      </c>
    </row>
    <row r="47" spans="1:76" x14ac:dyDescent="0.25">
      <c r="A47" s="11">
        <v>202122</v>
      </c>
      <c r="B47" s="11" t="s">
        <v>351</v>
      </c>
      <c r="C47" s="11" t="s">
        <v>351</v>
      </c>
      <c r="D47" s="11" t="s">
        <v>352</v>
      </c>
      <c r="E47" s="11" t="s">
        <v>353</v>
      </c>
      <c r="F47" s="11">
        <v>1</v>
      </c>
      <c r="G47" s="11" t="s">
        <v>546</v>
      </c>
      <c r="H47" s="11" t="s">
        <v>956</v>
      </c>
      <c r="I47" s="13">
        <v>44547</v>
      </c>
      <c r="J47" s="11">
        <f t="shared" si="0"/>
        <v>17</v>
      </c>
      <c r="K47" s="11">
        <f t="shared" si="1"/>
        <v>12</v>
      </c>
      <c r="L47" s="11">
        <f t="shared" si="2"/>
        <v>2021</v>
      </c>
      <c r="M47" s="11" t="str">
        <f t="shared" si="3"/>
        <v>17122021</v>
      </c>
      <c r="N47" s="11" t="s">
        <v>7</v>
      </c>
      <c r="O47" s="11" t="s">
        <v>51</v>
      </c>
      <c r="P47" s="23">
        <v>-38.602128999999998</v>
      </c>
      <c r="Q47" s="23">
        <v>145.52988400000001</v>
      </c>
      <c r="R47" s="11" t="s">
        <v>588</v>
      </c>
      <c r="S47" s="11" t="s">
        <v>588</v>
      </c>
      <c r="T47" s="11">
        <v>2</v>
      </c>
      <c r="U47" s="11">
        <v>2</v>
      </c>
      <c r="V47" s="13" t="s">
        <v>588</v>
      </c>
      <c r="W47" s="11" t="s">
        <v>588</v>
      </c>
      <c r="X47" s="11">
        <v>4</v>
      </c>
      <c r="Y47" s="11">
        <v>4</v>
      </c>
      <c r="Z47" s="11" t="s">
        <v>41</v>
      </c>
      <c r="AA47" s="13">
        <v>44564</v>
      </c>
      <c r="AB47" s="11">
        <f t="shared" si="4"/>
        <v>3</v>
      </c>
      <c r="AC47" s="11">
        <f t="shared" si="5"/>
        <v>1</v>
      </c>
      <c r="AD47" s="11">
        <f t="shared" si="6"/>
        <v>2022</v>
      </c>
      <c r="AE47" s="13" t="str">
        <f t="shared" si="7"/>
        <v>03012022</v>
      </c>
      <c r="AF47" s="11" t="s">
        <v>12</v>
      </c>
      <c r="AG47" s="13">
        <v>44571</v>
      </c>
      <c r="AH47" s="11">
        <v>10</v>
      </c>
      <c r="AI47" s="11">
        <v>1</v>
      </c>
      <c r="AJ47" s="11">
        <v>2022</v>
      </c>
      <c r="AK47" s="13" t="s">
        <v>996</v>
      </c>
      <c r="AL47" s="11" t="s">
        <v>12</v>
      </c>
      <c r="AM47" s="11" t="s">
        <v>20</v>
      </c>
      <c r="AN47" s="11" t="s">
        <v>588</v>
      </c>
      <c r="AO47" s="11" t="s">
        <v>20</v>
      </c>
      <c r="AP47" s="13" t="s">
        <v>588</v>
      </c>
      <c r="AQ47" s="11" t="s">
        <v>588</v>
      </c>
      <c r="AR47" s="11" t="s">
        <v>588</v>
      </c>
      <c r="AS47" s="11" t="s">
        <v>588</v>
      </c>
      <c r="AT47" s="11" t="s">
        <v>588</v>
      </c>
      <c r="AU47" s="13" t="s">
        <v>588</v>
      </c>
      <c r="AV47" s="11" t="s">
        <v>588</v>
      </c>
      <c r="AW47" s="11" t="s">
        <v>588</v>
      </c>
      <c r="AX47" s="11" t="s">
        <v>588</v>
      </c>
      <c r="AY47" s="11" t="s">
        <v>588</v>
      </c>
      <c r="AZ47" s="13" t="s">
        <v>588</v>
      </c>
      <c r="BA47" s="11" t="s">
        <v>588</v>
      </c>
      <c r="BB47" s="11" t="s">
        <v>588</v>
      </c>
      <c r="BC47" s="11" t="s">
        <v>588</v>
      </c>
      <c r="BD47" s="11" t="s">
        <v>588</v>
      </c>
      <c r="BE47" s="13" t="s">
        <v>588</v>
      </c>
      <c r="BF47" s="11" t="s">
        <v>588</v>
      </c>
      <c r="BG47" s="11" t="s">
        <v>588</v>
      </c>
      <c r="BH47" s="11" t="s">
        <v>588</v>
      </c>
      <c r="BI47" s="11" t="s">
        <v>588</v>
      </c>
      <c r="BJ47" s="11" t="s">
        <v>588</v>
      </c>
      <c r="BK47" s="11" t="s">
        <v>588</v>
      </c>
      <c r="BL47" s="11" t="s">
        <v>588</v>
      </c>
      <c r="BM47" s="11" t="s">
        <v>588</v>
      </c>
      <c r="BN47" s="11" t="s">
        <v>588</v>
      </c>
      <c r="BO47" s="11" t="s">
        <v>588</v>
      </c>
      <c r="BP47" s="11" t="s">
        <v>41</v>
      </c>
      <c r="BQ47" s="11" t="s">
        <v>588</v>
      </c>
      <c r="BR47" s="11" t="s">
        <v>42</v>
      </c>
      <c r="BS47" s="11" t="s">
        <v>588</v>
      </c>
      <c r="BT47" s="11" t="s">
        <v>588</v>
      </c>
      <c r="BU47" s="11" t="s">
        <v>588</v>
      </c>
      <c r="BV47" s="11" t="s">
        <v>588</v>
      </c>
      <c r="BW47" s="11" t="s">
        <v>588</v>
      </c>
      <c r="BX47" s="11" t="s">
        <v>588</v>
      </c>
    </row>
    <row r="48" spans="1:76" x14ac:dyDescent="0.25">
      <c r="A48" s="11">
        <v>202122</v>
      </c>
      <c r="B48" s="11" t="s">
        <v>351</v>
      </c>
      <c r="C48" s="11" t="s">
        <v>351</v>
      </c>
      <c r="D48" s="11" t="s">
        <v>352</v>
      </c>
      <c r="E48" s="11" t="s">
        <v>353</v>
      </c>
      <c r="F48" s="11">
        <v>2</v>
      </c>
      <c r="G48" s="11" t="s">
        <v>547</v>
      </c>
      <c r="H48" s="11" t="s">
        <v>957</v>
      </c>
      <c r="I48" s="13">
        <v>44578</v>
      </c>
      <c r="J48" s="11">
        <f t="shared" si="0"/>
        <v>17</v>
      </c>
      <c r="K48" s="11">
        <f t="shared" si="1"/>
        <v>1</v>
      </c>
      <c r="L48" s="11">
        <f t="shared" si="2"/>
        <v>2022</v>
      </c>
      <c r="M48" s="11" t="str">
        <f t="shared" si="3"/>
        <v>17012022</v>
      </c>
      <c r="N48" s="11" t="s">
        <v>12</v>
      </c>
      <c r="O48" s="11" t="s">
        <v>10</v>
      </c>
      <c r="P48" s="23">
        <v>-38.602955000000001</v>
      </c>
      <c r="Q48" s="23">
        <v>145.530517</v>
      </c>
      <c r="R48" s="11" t="s">
        <v>588</v>
      </c>
      <c r="S48" s="11" t="s">
        <v>588</v>
      </c>
      <c r="T48" s="11">
        <v>3</v>
      </c>
      <c r="U48" s="11">
        <v>3</v>
      </c>
      <c r="V48" s="13" t="s">
        <v>588</v>
      </c>
      <c r="W48" s="11" t="s">
        <v>588</v>
      </c>
      <c r="X48" s="11">
        <v>3</v>
      </c>
      <c r="Y48" s="11">
        <v>3</v>
      </c>
      <c r="Z48" s="11" t="s">
        <v>41</v>
      </c>
      <c r="AA48" s="13">
        <v>44592</v>
      </c>
      <c r="AB48" s="11">
        <f t="shared" si="4"/>
        <v>31</v>
      </c>
      <c r="AC48" s="11">
        <f t="shared" si="5"/>
        <v>1</v>
      </c>
      <c r="AD48" s="11">
        <f t="shared" si="6"/>
        <v>2022</v>
      </c>
      <c r="AE48" s="13" t="str">
        <f t="shared" si="7"/>
        <v>31012022</v>
      </c>
      <c r="AF48" s="11" t="s">
        <v>12</v>
      </c>
      <c r="AG48" s="13">
        <v>44603</v>
      </c>
      <c r="AH48" s="11">
        <v>11</v>
      </c>
      <c r="AI48" s="11">
        <v>2</v>
      </c>
      <c r="AJ48" s="11">
        <v>2022</v>
      </c>
      <c r="AK48" s="13" t="s">
        <v>997</v>
      </c>
      <c r="AL48" s="11" t="s">
        <v>21</v>
      </c>
      <c r="AM48" s="11" t="s">
        <v>20</v>
      </c>
      <c r="AN48" s="11" t="s">
        <v>588</v>
      </c>
      <c r="AO48" s="11" t="s">
        <v>20</v>
      </c>
      <c r="AP48" s="13" t="s">
        <v>588</v>
      </c>
      <c r="AQ48" s="11" t="s">
        <v>588</v>
      </c>
      <c r="AR48" s="11" t="s">
        <v>588</v>
      </c>
      <c r="AS48" s="11" t="s">
        <v>588</v>
      </c>
      <c r="AT48" s="11" t="s">
        <v>588</v>
      </c>
      <c r="AU48" s="13" t="s">
        <v>588</v>
      </c>
      <c r="AV48" s="11" t="s">
        <v>588</v>
      </c>
      <c r="AW48" s="11" t="s">
        <v>588</v>
      </c>
      <c r="AX48" s="11" t="s">
        <v>588</v>
      </c>
      <c r="AY48" s="11" t="s">
        <v>588</v>
      </c>
      <c r="AZ48" s="13" t="s">
        <v>588</v>
      </c>
      <c r="BA48" s="11" t="s">
        <v>588</v>
      </c>
      <c r="BB48" s="11" t="s">
        <v>588</v>
      </c>
      <c r="BC48" s="11" t="s">
        <v>588</v>
      </c>
      <c r="BD48" s="11" t="s">
        <v>588</v>
      </c>
      <c r="BE48" s="13" t="s">
        <v>588</v>
      </c>
      <c r="BF48" s="11" t="s">
        <v>588</v>
      </c>
      <c r="BG48" s="11" t="s">
        <v>588</v>
      </c>
      <c r="BH48" s="11" t="s">
        <v>588</v>
      </c>
      <c r="BI48" s="11" t="s">
        <v>588</v>
      </c>
      <c r="BJ48" s="11" t="s">
        <v>588</v>
      </c>
      <c r="BK48" s="11" t="s">
        <v>588</v>
      </c>
      <c r="BL48" s="11" t="s">
        <v>588</v>
      </c>
      <c r="BM48" s="11" t="s">
        <v>588</v>
      </c>
      <c r="BN48" s="11" t="s">
        <v>588</v>
      </c>
      <c r="BO48" s="11" t="s">
        <v>588</v>
      </c>
      <c r="BP48" s="11" t="s">
        <v>41</v>
      </c>
      <c r="BQ48" s="11" t="s">
        <v>588</v>
      </c>
      <c r="BR48" s="11" t="s">
        <v>42</v>
      </c>
      <c r="BS48" s="11" t="s">
        <v>588</v>
      </c>
      <c r="BT48" s="11" t="s">
        <v>588</v>
      </c>
      <c r="BU48" s="11" t="s">
        <v>588</v>
      </c>
      <c r="BV48" s="11" t="s">
        <v>588</v>
      </c>
      <c r="BW48" s="11" t="s">
        <v>588</v>
      </c>
      <c r="BX48" s="11" t="s">
        <v>588</v>
      </c>
    </row>
    <row r="49" spans="1:76" x14ac:dyDescent="0.25">
      <c r="A49" s="11">
        <v>202122</v>
      </c>
      <c r="B49" s="11" t="s">
        <v>359</v>
      </c>
      <c r="C49" s="11" t="s">
        <v>359</v>
      </c>
      <c r="D49" s="11" t="s">
        <v>360</v>
      </c>
      <c r="E49" s="11" t="s">
        <v>440</v>
      </c>
      <c r="F49" s="11">
        <v>1</v>
      </c>
      <c r="G49" s="11" t="s">
        <v>548</v>
      </c>
      <c r="H49" s="11" t="s">
        <v>958</v>
      </c>
      <c r="I49" s="13">
        <v>44522</v>
      </c>
      <c r="J49" s="11">
        <f t="shared" si="0"/>
        <v>22</v>
      </c>
      <c r="K49" s="11">
        <f t="shared" si="1"/>
        <v>11</v>
      </c>
      <c r="L49" s="11">
        <f t="shared" si="2"/>
        <v>2021</v>
      </c>
      <c r="M49" s="11" t="str">
        <f t="shared" si="3"/>
        <v>22112021</v>
      </c>
      <c r="N49" s="11" t="s">
        <v>17</v>
      </c>
      <c r="O49" s="11" t="s">
        <v>36</v>
      </c>
      <c r="P49" s="23">
        <v>-38.590328</v>
      </c>
      <c r="Q49" s="23">
        <v>145.51824999999999</v>
      </c>
      <c r="R49" s="11" t="s">
        <v>588</v>
      </c>
      <c r="S49" s="11" t="s">
        <v>588</v>
      </c>
      <c r="T49" s="11">
        <v>3</v>
      </c>
      <c r="U49" s="11">
        <v>3</v>
      </c>
      <c r="V49" s="13" t="s">
        <v>588</v>
      </c>
      <c r="W49" s="11" t="s">
        <v>588</v>
      </c>
      <c r="X49" s="11">
        <v>4</v>
      </c>
      <c r="Y49" s="11">
        <v>4</v>
      </c>
      <c r="Z49" s="11" t="s">
        <v>8</v>
      </c>
      <c r="AA49" s="13">
        <v>44540</v>
      </c>
      <c r="AB49" s="11">
        <f t="shared" si="4"/>
        <v>10</v>
      </c>
      <c r="AC49" s="11">
        <f t="shared" si="5"/>
        <v>12</v>
      </c>
      <c r="AD49" s="11">
        <f t="shared" si="6"/>
        <v>2021</v>
      </c>
      <c r="AE49" s="13" t="str">
        <f t="shared" si="7"/>
        <v>10122021</v>
      </c>
      <c r="AF49" s="11" t="s">
        <v>7</v>
      </c>
      <c r="AG49" s="13" t="s">
        <v>588</v>
      </c>
      <c r="AH49" s="11" t="s">
        <v>588</v>
      </c>
      <c r="AI49" s="11" t="s">
        <v>588</v>
      </c>
      <c r="AJ49" s="11" t="s">
        <v>588</v>
      </c>
      <c r="AK49" s="13" t="s">
        <v>588</v>
      </c>
      <c r="AL49" s="11" t="s">
        <v>588</v>
      </c>
      <c r="AM49" s="13" t="s">
        <v>588</v>
      </c>
      <c r="AN49" s="11" t="s">
        <v>588</v>
      </c>
      <c r="AO49" s="13" t="s">
        <v>588</v>
      </c>
      <c r="AP49" s="13">
        <v>44550</v>
      </c>
      <c r="AQ49" s="11" t="s">
        <v>7</v>
      </c>
      <c r="AR49" s="11" t="s">
        <v>195</v>
      </c>
      <c r="AS49" s="11">
        <v>3</v>
      </c>
      <c r="AT49" s="11">
        <v>3</v>
      </c>
      <c r="AU49" s="13">
        <v>44585</v>
      </c>
      <c r="AV49" s="11" t="s">
        <v>12</v>
      </c>
      <c r="AW49" s="11" t="s">
        <v>20</v>
      </c>
      <c r="AX49" s="11" t="s">
        <v>588</v>
      </c>
      <c r="AY49" s="11" t="s">
        <v>20</v>
      </c>
      <c r="AZ49" s="13" t="s">
        <v>588</v>
      </c>
      <c r="BA49" s="11" t="s">
        <v>588</v>
      </c>
      <c r="BB49" s="11" t="s">
        <v>588</v>
      </c>
      <c r="BC49" s="11" t="s">
        <v>588</v>
      </c>
      <c r="BD49" s="11" t="s">
        <v>588</v>
      </c>
      <c r="BE49" s="13" t="s">
        <v>588</v>
      </c>
      <c r="BF49" s="11" t="s">
        <v>588</v>
      </c>
      <c r="BG49" s="11" t="s">
        <v>588</v>
      </c>
      <c r="BH49" s="11" t="s">
        <v>588</v>
      </c>
      <c r="BI49" s="11" t="s">
        <v>588</v>
      </c>
      <c r="BJ49" s="11">
        <v>9</v>
      </c>
      <c r="BK49" s="11">
        <v>9</v>
      </c>
      <c r="BL49" s="11" t="s">
        <v>8</v>
      </c>
      <c r="BM49" s="11">
        <v>2</v>
      </c>
      <c r="BN49" s="13">
        <v>44606</v>
      </c>
      <c r="BO49" s="11" t="s">
        <v>21</v>
      </c>
      <c r="BP49" s="11" t="s">
        <v>41</v>
      </c>
      <c r="BQ49" s="11" t="s">
        <v>588</v>
      </c>
      <c r="BR49" s="11" t="s">
        <v>42</v>
      </c>
      <c r="BS49" s="11" t="s">
        <v>41</v>
      </c>
      <c r="BT49" s="11" t="s">
        <v>588</v>
      </c>
      <c r="BU49" s="11" t="s">
        <v>42</v>
      </c>
      <c r="BV49" s="11" t="s">
        <v>588</v>
      </c>
      <c r="BW49" s="11" t="s">
        <v>588</v>
      </c>
      <c r="BX49" s="11" t="s">
        <v>588</v>
      </c>
    </row>
    <row r="50" spans="1:76" x14ac:dyDescent="0.25">
      <c r="A50" s="11">
        <v>202122</v>
      </c>
      <c r="B50" s="11" t="s">
        <v>365</v>
      </c>
      <c r="C50" s="11" t="s">
        <v>365</v>
      </c>
      <c r="D50" s="11" t="s">
        <v>16</v>
      </c>
      <c r="E50" s="11" t="s">
        <v>16</v>
      </c>
      <c r="F50" s="11">
        <v>1</v>
      </c>
      <c r="G50" s="11" t="s">
        <v>549</v>
      </c>
      <c r="H50" s="11" t="s">
        <v>959</v>
      </c>
      <c r="I50" s="13">
        <v>44522</v>
      </c>
      <c r="J50" s="11">
        <f t="shared" si="0"/>
        <v>22</v>
      </c>
      <c r="K50" s="11">
        <f t="shared" si="1"/>
        <v>11</v>
      </c>
      <c r="L50" s="11">
        <f t="shared" si="2"/>
        <v>2021</v>
      </c>
      <c r="M50" s="11" t="str">
        <f t="shared" si="3"/>
        <v>22112021</v>
      </c>
      <c r="N50" s="11" t="s">
        <v>17</v>
      </c>
      <c r="O50" s="11" t="s">
        <v>51</v>
      </c>
      <c r="P50" s="23">
        <v>-38.594887</v>
      </c>
      <c r="Q50" s="23">
        <v>145.52336199999999</v>
      </c>
      <c r="R50" s="11" t="s">
        <v>588</v>
      </c>
      <c r="S50" s="11" t="s">
        <v>588</v>
      </c>
      <c r="T50" s="11">
        <v>1</v>
      </c>
      <c r="U50" s="11">
        <v>3</v>
      </c>
      <c r="V50" s="13" t="s">
        <v>588</v>
      </c>
      <c r="W50" s="11" t="s">
        <v>588</v>
      </c>
      <c r="X50" s="11">
        <v>2</v>
      </c>
      <c r="Y50" s="11">
        <v>2</v>
      </c>
      <c r="Z50" s="11" t="s">
        <v>41</v>
      </c>
      <c r="AA50" s="13">
        <v>44522</v>
      </c>
      <c r="AB50" s="11">
        <f t="shared" si="4"/>
        <v>22</v>
      </c>
      <c r="AC50" s="11">
        <f t="shared" si="5"/>
        <v>11</v>
      </c>
      <c r="AD50" s="11">
        <f t="shared" si="6"/>
        <v>2021</v>
      </c>
      <c r="AE50" s="13" t="str">
        <f t="shared" si="7"/>
        <v>22112021</v>
      </c>
      <c r="AF50" s="11" t="s">
        <v>17</v>
      </c>
      <c r="AG50" s="13">
        <v>44529</v>
      </c>
      <c r="AH50" s="11">
        <v>29</v>
      </c>
      <c r="AI50" s="11">
        <v>11</v>
      </c>
      <c r="AJ50" s="11">
        <v>2021</v>
      </c>
      <c r="AK50" s="13" t="s">
        <v>998</v>
      </c>
      <c r="AL50" s="11" t="s">
        <v>17</v>
      </c>
      <c r="AM50" s="11" t="s">
        <v>20</v>
      </c>
      <c r="AN50" s="11" t="s">
        <v>588</v>
      </c>
      <c r="AO50" s="11" t="s">
        <v>20</v>
      </c>
      <c r="AP50" s="13" t="s">
        <v>588</v>
      </c>
      <c r="AQ50" s="11" t="s">
        <v>588</v>
      </c>
      <c r="AR50" s="11" t="s">
        <v>588</v>
      </c>
      <c r="AS50" s="11" t="s">
        <v>588</v>
      </c>
      <c r="AT50" s="11" t="s">
        <v>588</v>
      </c>
      <c r="AU50" s="13" t="s">
        <v>588</v>
      </c>
      <c r="AV50" s="11" t="s">
        <v>588</v>
      </c>
      <c r="AW50" s="11" t="s">
        <v>588</v>
      </c>
      <c r="AX50" s="11" t="s">
        <v>588</v>
      </c>
      <c r="AY50" s="11" t="s">
        <v>588</v>
      </c>
      <c r="AZ50" s="13" t="s">
        <v>588</v>
      </c>
      <c r="BA50" s="11" t="s">
        <v>588</v>
      </c>
      <c r="BB50" s="11" t="s">
        <v>588</v>
      </c>
      <c r="BC50" s="11" t="s">
        <v>588</v>
      </c>
      <c r="BD50" s="11" t="s">
        <v>588</v>
      </c>
      <c r="BE50" s="13" t="s">
        <v>588</v>
      </c>
      <c r="BF50" s="11" t="s">
        <v>588</v>
      </c>
      <c r="BG50" s="11" t="s">
        <v>588</v>
      </c>
      <c r="BH50" s="11" t="s">
        <v>588</v>
      </c>
      <c r="BI50" s="11" t="s">
        <v>588</v>
      </c>
      <c r="BJ50" s="11" t="s">
        <v>588</v>
      </c>
      <c r="BK50" s="11" t="s">
        <v>588</v>
      </c>
      <c r="BL50" s="11" t="s">
        <v>588</v>
      </c>
      <c r="BM50" s="11" t="s">
        <v>588</v>
      </c>
      <c r="BN50" s="11" t="s">
        <v>588</v>
      </c>
      <c r="BO50" s="11" t="s">
        <v>588</v>
      </c>
      <c r="BP50" s="11" t="s">
        <v>41</v>
      </c>
      <c r="BQ50" s="11" t="s">
        <v>588</v>
      </c>
      <c r="BR50" s="11" t="s">
        <v>42</v>
      </c>
      <c r="BS50" s="11" t="s">
        <v>588</v>
      </c>
      <c r="BT50" s="11" t="s">
        <v>588</v>
      </c>
      <c r="BU50" s="11" t="s">
        <v>588</v>
      </c>
      <c r="BV50" s="11" t="s">
        <v>588</v>
      </c>
      <c r="BW50" s="11" t="s">
        <v>588</v>
      </c>
      <c r="BX50" s="11" t="s">
        <v>588</v>
      </c>
    </row>
    <row r="51" spans="1:76" x14ac:dyDescent="0.25">
      <c r="A51" s="11">
        <v>202122</v>
      </c>
      <c r="B51" s="11" t="s">
        <v>365</v>
      </c>
      <c r="C51" s="11" t="s">
        <v>365</v>
      </c>
      <c r="D51" s="11" t="s">
        <v>16</v>
      </c>
      <c r="E51" s="11" t="s">
        <v>16</v>
      </c>
      <c r="F51" s="11">
        <v>2</v>
      </c>
      <c r="G51" s="11" t="s">
        <v>550</v>
      </c>
      <c r="H51" s="11" t="s">
        <v>960</v>
      </c>
      <c r="I51" s="13">
        <v>44543</v>
      </c>
      <c r="J51" s="11">
        <f t="shared" si="0"/>
        <v>13</v>
      </c>
      <c r="K51" s="11">
        <f t="shared" si="1"/>
        <v>12</v>
      </c>
      <c r="L51" s="11">
        <f t="shared" si="2"/>
        <v>2021</v>
      </c>
      <c r="M51" s="11" t="str">
        <f t="shared" si="3"/>
        <v>13122021</v>
      </c>
      <c r="N51" s="11" t="s">
        <v>7</v>
      </c>
      <c r="O51" s="11" t="s">
        <v>10</v>
      </c>
      <c r="P51" s="23">
        <v>-38.595038000000002</v>
      </c>
      <c r="Q51" s="23">
        <v>145.52314999999999</v>
      </c>
      <c r="R51" s="11" t="s">
        <v>588</v>
      </c>
      <c r="S51" s="11" t="s">
        <v>588</v>
      </c>
      <c r="T51" s="11">
        <v>1</v>
      </c>
      <c r="U51" s="11">
        <v>3</v>
      </c>
      <c r="V51" s="13" t="s">
        <v>588</v>
      </c>
      <c r="W51" s="11" t="s">
        <v>588</v>
      </c>
      <c r="X51" s="11">
        <v>2</v>
      </c>
      <c r="Y51" s="11">
        <v>2</v>
      </c>
      <c r="Z51" s="11" t="s">
        <v>41</v>
      </c>
      <c r="AA51" s="13">
        <v>44543</v>
      </c>
      <c r="AB51" s="11">
        <f t="shared" si="4"/>
        <v>13</v>
      </c>
      <c r="AC51" s="11">
        <f t="shared" si="5"/>
        <v>12</v>
      </c>
      <c r="AD51" s="11">
        <f t="shared" si="6"/>
        <v>2021</v>
      </c>
      <c r="AE51" s="13" t="str">
        <f t="shared" si="7"/>
        <v>13122021</v>
      </c>
      <c r="AF51" s="11" t="s">
        <v>7</v>
      </c>
      <c r="AG51" s="13">
        <v>44550</v>
      </c>
      <c r="AH51" s="11">
        <v>20</v>
      </c>
      <c r="AI51" s="11">
        <v>12</v>
      </c>
      <c r="AJ51" s="11">
        <v>2021</v>
      </c>
      <c r="AK51" s="13" t="s">
        <v>982</v>
      </c>
      <c r="AL51" s="11" t="s">
        <v>7</v>
      </c>
      <c r="AM51" s="11" t="s">
        <v>20</v>
      </c>
      <c r="AN51" s="11" t="s">
        <v>588</v>
      </c>
      <c r="AO51" s="11" t="s">
        <v>11</v>
      </c>
      <c r="AP51" s="13" t="s">
        <v>588</v>
      </c>
      <c r="AQ51" s="11" t="s">
        <v>588</v>
      </c>
      <c r="AR51" s="11" t="s">
        <v>588</v>
      </c>
      <c r="AS51" s="11" t="s">
        <v>588</v>
      </c>
      <c r="AT51" s="11" t="s">
        <v>588</v>
      </c>
      <c r="AU51" s="13" t="s">
        <v>588</v>
      </c>
      <c r="AV51" s="11" t="s">
        <v>588</v>
      </c>
      <c r="AW51" s="11" t="s">
        <v>588</v>
      </c>
      <c r="AX51" s="11" t="s">
        <v>588</v>
      </c>
      <c r="AY51" s="11" t="s">
        <v>588</v>
      </c>
      <c r="AZ51" s="13" t="s">
        <v>588</v>
      </c>
      <c r="BA51" s="11" t="s">
        <v>588</v>
      </c>
      <c r="BB51" s="11" t="s">
        <v>588</v>
      </c>
      <c r="BC51" s="11" t="s">
        <v>588</v>
      </c>
      <c r="BD51" s="11" t="s">
        <v>588</v>
      </c>
      <c r="BE51" s="13" t="s">
        <v>588</v>
      </c>
      <c r="BF51" s="11" t="s">
        <v>588</v>
      </c>
      <c r="BG51" s="11" t="s">
        <v>588</v>
      </c>
      <c r="BH51" s="11" t="s">
        <v>588</v>
      </c>
      <c r="BI51" s="11" t="s">
        <v>588</v>
      </c>
      <c r="BJ51" s="11" t="s">
        <v>588</v>
      </c>
      <c r="BK51" s="11" t="s">
        <v>588</v>
      </c>
      <c r="BL51" s="11" t="s">
        <v>588</v>
      </c>
      <c r="BM51" s="11" t="s">
        <v>588</v>
      </c>
      <c r="BN51" s="11" t="s">
        <v>588</v>
      </c>
      <c r="BO51" s="11" t="s">
        <v>588</v>
      </c>
      <c r="BP51" s="11" t="s">
        <v>8</v>
      </c>
      <c r="BQ51" s="11" t="s">
        <v>9</v>
      </c>
      <c r="BR51" s="11" t="s">
        <v>9</v>
      </c>
      <c r="BS51" s="11" t="s">
        <v>588</v>
      </c>
      <c r="BT51" s="11" t="s">
        <v>588</v>
      </c>
      <c r="BU51" s="11" t="s">
        <v>588</v>
      </c>
      <c r="BV51" s="11" t="s">
        <v>588</v>
      </c>
      <c r="BW51" s="11" t="s">
        <v>588</v>
      </c>
      <c r="BX51" s="11" t="s">
        <v>588</v>
      </c>
    </row>
    <row r="52" spans="1:76" x14ac:dyDescent="0.25">
      <c r="A52" s="11">
        <v>202122</v>
      </c>
      <c r="B52" s="11" t="s">
        <v>365</v>
      </c>
      <c r="C52" s="11" t="s">
        <v>365</v>
      </c>
      <c r="D52" s="11" t="s">
        <v>16</v>
      </c>
      <c r="E52" s="11" t="s">
        <v>16</v>
      </c>
      <c r="F52" s="11">
        <v>3</v>
      </c>
      <c r="G52" s="11" t="s">
        <v>551</v>
      </c>
      <c r="H52" s="11" t="s">
        <v>961</v>
      </c>
      <c r="I52" s="13">
        <v>44560</v>
      </c>
      <c r="J52" s="11">
        <f t="shared" si="0"/>
        <v>30</v>
      </c>
      <c r="K52" s="11">
        <f t="shared" si="1"/>
        <v>12</v>
      </c>
      <c r="L52" s="11">
        <f t="shared" si="2"/>
        <v>2021</v>
      </c>
      <c r="M52" s="11" t="str">
        <f t="shared" si="3"/>
        <v>30122021</v>
      </c>
      <c r="N52" s="11" t="s">
        <v>7</v>
      </c>
      <c r="O52" s="11" t="s">
        <v>10</v>
      </c>
      <c r="P52" s="23">
        <v>-38.594904999999997</v>
      </c>
      <c r="Q52" s="23">
        <v>145.52316300000001</v>
      </c>
      <c r="R52" s="11" t="s">
        <v>588</v>
      </c>
      <c r="S52" s="11" t="s">
        <v>588</v>
      </c>
      <c r="T52" s="11">
        <v>3</v>
      </c>
      <c r="U52" s="11">
        <v>3</v>
      </c>
      <c r="V52" s="13" t="s">
        <v>588</v>
      </c>
      <c r="W52" s="11" t="s">
        <v>588</v>
      </c>
      <c r="X52" s="11">
        <v>5</v>
      </c>
      <c r="Y52" s="11">
        <v>5</v>
      </c>
      <c r="Z52" s="11" t="s">
        <v>8</v>
      </c>
      <c r="AA52" s="13">
        <v>44585</v>
      </c>
      <c r="AB52" s="11">
        <f t="shared" si="4"/>
        <v>24</v>
      </c>
      <c r="AC52" s="11">
        <f t="shared" si="5"/>
        <v>1</v>
      </c>
      <c r="AD52" s="11">
        <f t="shared" si="6"/>
        <v>2022</v>
      </c>
      <c r="AE52" s="13" t="str">
        <f t="shared" si="7"/>
        <v>24012022</v>
      </c>
      <c r="AF52" s="11" t="s">
        <v>12</v>
      </c>
      <c r="AG52" s="13" t="s">
        <v>588</v>
      </c>
      <c r="AH52" s="11" t="s">
        <v>588</v>
      </c>
      <c r="AI52" s="11" t="s">
        <v>588</v>
      </c>
      <c r="AJ52" s="11" t="s">
        <v>588</v>
      </c>
      <c r="AK52" s="13" t="s">
        <v>588</v>
      </c>
      <c r="AL52" s="11" t="s">
        <v>588</v>
      </c>
      <c r="AM52" s="13" t="s">
        <v>588</v>
      </c>
      <c r="AN52" s="11" t="s">
        <v>588</v>
      </c>
      <c r="AO52" s="13" t="s">
        <v>588</v>
      </c>
      <c r="AP52" s="13">
        <v>44596</v>
      </c>
      <c r="AQ52" s="11" t="s">
        <v>21</v>
      </c>
      <c r="AR52" s="11" t="s">
        <v>195</v>
      </c>
      <c r="AS52" s="11">
        <v>2</v>
      </c>
      <c r="AT52" s="11">
        <v>3</v>
      </c>
      <c r="AU52" s="13">
        <v>44596</v>
      </c>
      <c r="AV52" s="11" t="s">
        <v>21</v>
      </c>
      <c r="AW52" s="11" t="s">
        <v>20</v>
      </c>
      <c r="AX52" s="11" t="s">
        <v>588</v>
      </c>
      <c r="AY52" s="11" t="s">
        <v>20</v>
      </c>
      <c r="AZ52" s="13" t="s">
        <v>588</v>
      </c>
      <c r="BA52" s="11" t="s">
        <v>588</v>
      </c>
      <c r="BB52" s="11" t="s">
        <v>588</v>
      </c>
      <c r="BC52" s="11" t="s">
        <v>588</v>
      </c>
      <c r="BD52" s="11" t="s">
        <v>588</v>
      </c>
      <c r="BE52" s="13" t="s">
        <v>588</v>
      </c>
      <c r="BF52" s="11" t="s">
        <v>588</v>
      </c>
      <c r="BG52" s="11" t="s">
        <v>588</v>
      </c>
      <c r="BH52" s="11" t="s">
        <v>588</v>
      </c>
      <c r="BI52" s="11" t="s">
        <v>588</v>
      </c>
      <c r="BJ52" s="11">
        <v>6</v>
      </c>
      <c r="BK52" s="11">
        <v>6</v>
      </c>
      <c r="BL52" s="11" t="s">
        <v>8</v>
      </c>
      <c r="BM52" s="11">
        <v>2</v>
      </c>
      <c r="BN52" s="13">
        <v>44627</v>
      </c>
      <c r="BO52" s="11" t="s">
        <v>22</v>
      </c>
      <c r="BP52" s="11" t="s">
        <v>8</v>
      </c>
      <c r="BQ52" s="11" t="s">
        <v>9</v>
      </c>
      <c r="BR52" s="11" t="s">
        <v>9</v>
      </c>
      <c r="BS52" s="11" t="s">
        <v>8</v>
      </c>
      <c r="BT52" s="11" t="s">
        <v>9</v>
      </c>
      <c r="BU52" s="11" t="s">
        <v>9</v>
      </c>
      <c r="BV52" s="11" t="s">
        <v>588</v>
      </c>
      <c r="BW52" s="11" t="s">
        <v>588</v>
      </c>
      <c r="BX52" s="11" t="s">
        <v>588</v>
      </c>
    </row>
    <row r="53" spans="1:76" x14ac:dyDescent="0.25">
      <c r="A53" s="11">
        <v>202122</v>
      </c>
      <c r="B53" s="11" t="s">
        <v>39</v>
      </c>
      <c r="C53" s="11" t="s">
        <v>39</v>
      </c>
      <c r="D53" s="11" t="s">
        <v>99</v>
      </c>
      <c r="E53" s="11" t="s">
        <v>16</v>
      </c>
      <c r="F53" s="11">
        <v>1</v>
      </c>
      <c r="G53" s="11" t="str">
        <f>CONCATENATE(A53,"_",B53,"_",F53)</f>
        <v>202122_Wilsons Rd 1st &amp; 2nd Bays West_1</v>
      </c>
      <c r="H53" s="11" t="s">
        <v>962</v>
      </c>
      <c r="I53" s="13">
        <v>44552</v>
      </c>
      <c r="J53" s="11">
        <f t="shared" si="0"/>
        <v>22</v>
      </c>
      <c r="K53" s="11">
        <f t="shared" si="1"/>
        <v>12</v>
      </c>
      <c r="L53" s="11">
        <f t="shared" si="2"/>
        <v>2021</v>
      </c>
      <c r="M53" s="11" t="str">
        <f t="shared" si="3"/>
        <v>22122021</v>
      </c>
      <c r="N53" s="11" t="s">
        <v>7</v>
      </c>
      <c r="O53" s="11" t="s">
        <v>10</v>
      </c>
      <c r="P53" s="23">
        <v>-38.669879999999999</v>
      </c>
      <c r="Q53" s="23">
        <v>145.59582</v>
      </c>
      <c r="R53" s="23" t="s">
        <v>588</v>
      </c>
      <c r="S53" s="23" t="s">
        <v>588</v>
      </c>
      <c r="T53" s="11">
        <v>3</v>
      </c>
      <c r="U53" s="11">
        <v>3</v>
      </c>
      <c r="V53" s="13" t="s">
        <v>588</v>
      </c>
      <c r="W53" s="11" t="s">
        <v>588</v>
      </c>
      <c r="X53" s="11">
        <v>2</v>
      </c>
      <c r="Y53" s="11">
        <v>2</v>
      </c>
      <c r="Z53" s="11" t="s">
        <v>41</v>
      </c>
      <c r="AA53" s="13">
        <v>44552</v>
      </c>
      <c r="AB53" s="11">
        <f t="shared" si="4"/>
        <v>22</v>
      </c>
      <c r="AC53" s="11">
        <f t="shared" si="5"/>
        <v>12</v>
      </c>
      <c r="AD53" s="11">
        <f t="shared" si="6"/>
        <v>2021</v>
      </c>
      <c r="AE53" s="13" t="str">
        <f t="shared" si="7"/>
        <v>22122021</v>
      </c>
      <c r="AF53" s="11" t="s">
        <v>7</v>
      </c>
      <c r="AG53" s="13">
        <v>44557</v>
      </c>
      <c r="AH53" s="11">
        <v>27</v>
      </c>
      <c r="AI53" s="11">
        <v>12</v>
      </c>
      <c r="AJ53" s="11">
        <v>2021</v>
      </c>
      <c r="AK53" s="13" t="s">
        <v>999</v>
      </c>
      <c r="AL53" s="11" t="s">
        <v>7</v>
      </c>
      <c r="AM53" s="11" t="s">
        <v>20</v>
      </c>
      <c r="AN53" s="11" t="s">
        <v>588</v>
      </c>
      <c r="AO53" s="11" t="s">
        <v>20</v>
      </c>
      <c r="AP53" s="13" t="s">
        <v>588</v>
      </c>
      <c r="AQ53" s="11" t="s">
        <v>588</v>
      </c>
      <c r="AR53" s="11" t="s">
        <v>588</v>
      </c>
      <c r="AS53" s="11" t="s">
        <v>588</v>
      </c>
      <c r="AT53" s="11" t="s">
        <v>588</v>
      </c>
      <c r="AU53" s="13" t="s">
        <v>588</v>
      </c>
      <c r="AV53" s="11" t="s">
        <v>588</v>
      </c>
      <c r="AW53" s="11" t="s">
        <v>588</v>
      </c>
      <c r="AX53" s="11" t="s">
        <v>588</v>
      </c>
      <c r="AY53" s="11" t="s">
        <v>588</v>
      </c>
      <c r="AZ53" s="13" t="s">
        <v>588</v>
      </c>
      <c r="BA53" s="11" t="s">
        <v>588</v>
      </c>
      <c r="BB53" s="11" t="s">
        <v>588</v>
      </c>
      <c r="BC53" s="11" t="s">
        <v>588</v>
      </c>
      <c r="BD53" s="11" t="s">
        <v>588</v>
      </c>
      <c r="BE53" s="13" t="s">
        <v>588</v>
      </c>
      <c r="BF53" s="11" t="s">
        <v>588</v>
      </c>
      <c r="BG53" s="11" t="s">
        <v>588</v>
      </c>
      <c r="BH53" s="11" t="s">
        <v>588</v>
      </c>
      <c r="BI53" s="11" t="s">
        <v>588</v>
      </c>
      <c r="BJ53" s="11" t="s">
        <v>588</v>
      </c>
      <c r="BK53" s="11" t="s">
        <v>588</v>
      </c>
      <c r="BL53" s="11" t="s">
        <v>588</v>
      </c>
      <c r="BM53" s="11" t="s">
        <v>588</v>
      </c>
      <c r="BN53" s="11" t="s">
        <v>588</v>
      </c>
      <c r="BO53" s="11" t="s">
        <v>588</v>
      </c>
      <c r="BP53" s="11" t="s">
        <v>8</v>
      </c>
      <c r="BQ53" s="11" t="s">
        <v>9</v>
      </c>
      <c r="BR53" s="11" t="s">
        <v>9</v>
      </c>
      <c r="BS53" s="11" t="s">
        <v>588</v>
      </c>
      <c r="BT53" s="11" t="s">
        <v>588</v>
      </c>
      <c r="BU53" s="11" t="s">
        <v>588</v>
      </c>
      <c r="BV53" s="11" t="s">
        <v>588</v>
      </c>
      <c r="BW53" s="11" t="s">
        <v>588</v>
      </c>
      <c r="BX53" s="11" t="s">
        <v>588</v>
      </c>
    </row>
    <row r="54" spans="1:76" x14ac:dyDescent="0.25">
      <c r="A54" s="11">
        <v>202122</v>
      </c>
      <c r="B54" s="11" t="s">
        <v>39</v>
      </c>
      <c r="C54" s="11" t="s">
        <v>39</v>
      </c>
      <c r="D54" s="11" t="s">
        <v>99</v>
      </c>
      <c r="E54" s="11" t="s">
        <v>16</v>
      </c>
      <c r="F54" s="11">
        <v>2</v>
      </c>
      <c r="G54" s="11" t="str">
        <f>CONCATENATE(A54,"_",B54,"_",F54)</f>
        <v>202122_Wilsons Rd 1st &amp; 2nd Bays West_2</v>
      </c>
      <c r="H54" s="11" t="s">
        <v>963</v>
      </c>
      <c r="I54" s="13">
        <v>44601</v>
      </c>
      <c r="J54" s="11">
        <f t="shared" si="0"/>
        <v>9</v>
      </c>
      <c r="K54" s="11">
        <f t="shared" si="1"/>
        <v>2</v>
      </c>
      <c r="L54" s="11">
        <f t="shared" si="2"/>
        <v>2022</v>
      </c>
      <c r="M54" s="11" t="str">
        <f t="shared" si="3"/>
        <v>09022022</v>
      </c>
      <c r="N54" s="11" t="s">
        <v>21</v>
      </c>
      <c r="O54" s="11" t="s">
        <v>10</v>
      </c>
      <c r="P54" s="23">
        <v>-38.670045000000002</v>
      </c>
      <c r="Q54" s="23">
        <v>145.59610000000001</v>
      </c>
      <c r="R54" s="23" t="s">
        <v>588</v>
      </c>
      <c r="S54" s="23" t="s">
        <v>588</v>
      </c>
      <c r="T54" s="11">
        <v>2</v>
      </c>
      <c r="U54" s="11">
        <v>2</v>
      </c>
      <c r="V54" s="13" t="s">
        <v>588</v>
      </c>
      <c r="W54" s="11" t="s">
        <v>588</v>
      </c>
      <c r="X54" s="11">
        <v>4</v>
      </c>
      <c r="Y54" s="11">
        <v>4</v>
      </c>
      <c r="Z54" s="11" t="s">
        <v>41</v>
      </c>
      <c r="AA54" s="13">
        <v>44609</v>
      </c>
      <c r="AB54" s="11">
        <f t="shared" si="4"/>
        <v>17</v>
      </c>
      <c r="AC54" s="11">
        <f t="shared" si="5"/>
        <v>2</v>
      </c>
      <c r="AD54" s="11">
        <f t="shared" si="6"/>
        <v>2022</v>
      </c>
      <c r="AE54" s="13" t="str">
        <f t="shared" si="7"/>
        <v>17022022</v>
      </c>
      <c r="AF54" s="11" t="s">
        <v>21</v>
      </c>
      <c r="AG54" s="13">
        <v>44613</v>
      </c>
      <c r="AH54" s="11">
        <v>21</v>
      </c>
      <c r="AI54" s="11">
        <v>2</v>
      </c>
      <c r="AJ54" s="11">
        <v>2022</v>
      </c>
      <c r="AK54" s="13" t="s">
        <v>1000</v>
      </c>
      <c r="AL54" s="11" t="s">
        <v>21</v>
      </c>
      <c r="AM54" s="11" t="s">
        <v>20</v>
      </c>
      <c r="AN54" s="11" t="s">
        <v>588</v>
      </c>
      <c r="AO54" s="11" t="s">
        <v>20</v>
      </c>
      <c r="AP54" s="13" t="s">
        <v>588</v>
      </c>
      <c r="AQ54" s="11" t="s">
        <v>588</v>
      </c>
      <c r="AR54" s="11" t="s">
        <v>588</v>
      </c>
      <c r="AS54" s="11" t="s">
        <v>588</v>
      </c>
      <c r="AT54" s="11" t="s">
        <v>588</v>
      </c>
      <c r="AU54" s="13" t="s">
        <v>588</v>
      </c>
      <c r="AV54" s="11" t="s">
        <v>588</v>
      </c>
      <c r="AW54" s="11" t="s">
        <v>588</v>
      </c>
      <c r="AX54" s="11" t="s">
        <v>588</v>
      </c>
      <c r="AY54" s="11" t="s">
        <v>588</v>
      </c>
      <c r="AZ54" s="13" t="s">
        <v>588</v>
      </c>
      <c r="BA54" s="11" t="s">
        <v>588</v>
      </c>
      <c r="BB54" s="11" t="s">
        <v>588</v>
      </c>
      <c r="BC54" s="11" t="s">
        <v>588</v>
      </c>
      <c r="BD54" s="11" t="s">
        <v>588</v>
      </c>
      <c r="BE54" s="13" t="s">
        <v>588</v>
      </c>
      <c r="BF54" s="11" t="s">
        <v>588</v>
      </c>
      <c r="BG54" s="11" t="s">
        <v>588</v>
      </c>
      <c r="BH54" s="11" t="s">
        <v>588</v>
      </c>
      <c r="BI54" s="11" t="s">
        <v>588</v>
      </c>
      <c r="BJ54" s="11" t="s">
        <v>588</v>
      </c>
      <c r="BK54" s="11" t="s">
        <v>588</v>
      </c>
      <c r="BL54" s="11" t="s">
        <v>588</v>
      </c>
      <c r="BM54" s="11" t="s">
        <v>588</v>
      </c>
      <c r="BN54" s="11" t="s">
        <v>588</v>
      </c>
      <c r="BO54" s="11" t="s">
        <v>588</v>
      </c>
      <c r="BP54" s="11" t="s">
        <v>8</v>
      </c>
      <c r="BQ54" s="11" t="s">
        <v>9</v>
      </c>
      <c r="BR54" s="11" t="s">
        <v>9</v>
      </c>
      <c r="BS54" s="11" t="s">
        <v>588</v>
      </c>
      <c r="BT54" s="11" t="s">
        <v>588</v>
      </c>
      <c r="BU54" s="11" t="s">
        <v>588</v>
      </c>
      <c r="BV54" s="11" t="s">
        <v>588</v>
      </c>
      <c r="BW54" s="11" t="s">
        <v>588</v>
      </c>
      <c r="BX54" s="11" t="s">
        <v>588</v>
      </c>
    </row>
    <row r="55" spans="1:76" x14ac:dyDescent="0.25">
      <c r="A55" s="11">
        <v>202122</v>
      </c>
      <c r="B55" s="11" t="s">
        <v>43</v>
      </c>
      <c r="C55" s="11" t="s">
        <v>43</v>
      </c>
      <c r="D55" s="11" t="s">
        <v>108</v>
      </c>
      <c r="E55" s="11" t="s">
        <v>109</v>
      </c>
      <c r="F55" s="11">
        <v>1</v>
      </c>
      <c r="G55" s="11" t="str">
        <f>CONCATENATE(A55,"_",B55,"_",F55)</f>
        <v>202122_Wilsons Rd 2nd Bay West End_1</v>
      </c>
      <c r="H55" s="11" t="s">
        <v>964</v>
      </c>
      <c r="I55" s="13">
        <v>44543</v>
      </c>
      <c r="J55" s="11">
        <f t="shared" si="0"/>
        <v>13</v>
      </c>
      <c r="K55" s="11">
        <f t="shared" si="1"/>
        <v>12</v>
      </c>
      <c r="L55" s="11">
        <f t="shared" si="2"/>
        <v>2021</v>
      </c>
      <c r="M55" s="11" t="str">
        <f t="shared" si="3"/>
        <v>13122021</v>
      </c>
      <c r="N55" s="11" t="s">
        <v>7</v>
      </c>
      <c r="O55" s="11" t="s">
        <v>10</v>
      </c>
      <c r="P55" s="23" t="s">
        <v>588</v>
      </c>
      <c r="Q55" s="23" t="s">
        <v>588</v>
      </c>
      <c r="R55" s="23">
        <v>-38.668225</v>
      </c>
      <c r="S55" s="23">
        <v>145.58932200000001</v>
      </c>
      <c r="T55" s="11">
        <v>2</v>
      </c>
      <c r="U55" s="11">
        <v>3</v>
      </c>
      <c r="V55" s="13" t="s">
        <v>588</v>
      </c>
      <c r="W55" s="11" t="s">
        <v>588</v>
      </c>
      <c r="X55" s="11">
        <v>2</v>
      </c>
      <c r="Y55" s="11">
        <v>2</v>
      </c>
      <c r="Z55" s="11" t="s">
        <v>41</v>
      </c>
      <c r="AA55" s="13">
        <v>44543</v>
      </c>
      <c r="AB55" s="11">
        <f t="shared" si="4"/>
        <v>13</v>
      </c>
      <c r="AC55" s="11">
        <f t="shared" si="5"/>
        <v>12</v>
      </c>
      <c r="AD55" s="11">
        <f t="shared" si="6"/>
        <v>2021</v>
      </c>
      <c r="AE55" s="13" t="str">
        <f t="shared" si="7"/>
        <v>13122021</v>
      </c>
      <c r="AF55" s="11" t="s">
        <v>7</v>
      </c>
      <c r="AG55" s="13">
        <v>44552</v>
      </c>
      <c r="AH55" s="11">
        <v>22</v>
      </c>
      <c r="AI55" s="11">
        <v>12</v>
      </c>
      <c r="AJ55" s="11">
        <v>2021</v>
      </c>
      <c r="AK55" s="13" t="s">
        <v>1001</v>
      </c>
      <c r="AL55" s="11" t="s">
        <v>7</v>
      </c>
      <c r="AM55" s="11" t="s">
        <v>20</v>
      </c>
      <c r="AN55" s="11" t="s">
        <v>588</v>
      </c>
      <c r="AO55" s="11" t="s">
        <v>20</v>
      </c>
      <c r="AP55" s="13" t="s">
        <v>588</v>
      </c>
      <c r="AQ55" s="11" t="s">
        <v>588</v>
      </c>
      <c r="AR55" s="11" t="s">
        <v>588</v>
      </c>
      <c r="AS55" s="11" t="s">
        <v>588</v>
      </c>
      <c r="AT55" s="11" t="s">
        <v>588</v>
      </c>
      <c r="AU55" s="13" t="s">
        <v>588</v>
      </c>
      <c r="AV55" s="11" t="s">
        <v>588</v>
      </c>
      <c r="AW55" s="11" t="s">
        <v>588</v>
      </c>
      <c r="AX55" s="11" t="s">
        <v>588</v>
      </c>
      <c r="AY55" s="11" t="s">
        <v>588</v>
      </c>
      <c r="AZ55" s="13" t="s">
        <v>588</v>
      </c>
      <c r="BA55" s="11" t="s">
        <v>588</v>
      </c>
      <c r="BB55" s="11" t="s">
        <v>588</v>
      </c>
      <c r="BC55" s="11" t="s">
        <v>588</v>
      </c>
      <c r="BD55" s="11" t="s">
        <v>588</v>
      </c>
      <c r="BE55" s="13" t="s">
        <v>588</v>
      </c>
      <c r="BF55" s="11" t="s">
        <v>588</v>
      </c>
      <c r="BG55" s="11" t="s">
        <v>588</v>
      </c>
      <c r="BH55" s="11" t="s">
        <v>588</v>
      </c>
      <c r="BI55" s="11" t="s">
        <v>588</v>
      </c>
      <c r="BJ55" s="11" t="s">
        <v>588</v>
      </c>
      <c r="BK55" s="11" t="s">
        <v>588</v>
      </c>
      <c r="BL55" s="11" t="s">
        <v>588</v>
      </c>
      <c r="BM55" s="11" t="s">
        <v>588</v>
      </c>
      <c r="BN55" s="11" t="s">
        <v>588</v>
      </c>
      <c r="BO55" s="11" t="s">
        <v>588</v>
      </c>
      <c r="BP55" s="11" t="s">
        <v>8</v>
      </c>
      <c r="BQ55" s="11" t="s">
        <v>9</v>
      </c>
      <c r="BR55" s="11" t="s">
        <v>9</v>
      </c>
      <c r="BS55" s="11" t="s">
        <v>588</v>
      </c>
      <c r="BT55" s="11" t="s">
        <v>588</v>
      </c>
      <c r="BU55" s="11" t="s">
        <v>588</v>
      </c>
      <c r="BV55" s="11" t="s">
        <v>588</v>
      </c>
      <c r="BW55" s="11" t="s">
        <v>588</v>
      </c>
      <c r="BX55" s="11" t="s">
        <v>588</v>
      </c>
    </row>
    <row r="56" spans="1:76" x14ac:dyDescent="0.25">
      <c r="A56" s="11">
        <v>202122</v>
      </c>
      <c r="B56" s="11" t="s">
        <v>43</v>
      </c>
      <c r="C56" s="11" t="s">
        <v>43</v>
      </c>
      <c r="D56" s="11" t="s">
        <v>108</v>
      </c>
      <c r="E56" s="11" t="s">
        <v>109</v>
      </c>
      <c r="F56" s="11">
        <v>2</v>
      </c>
      <c r="G56" s="11" t="str">
        <f>CONCATENATE(A56,"_",B56,"_",F56)</f>
        <v>202122_Wilsons Rd 2nd Bay West End_2</v>
      </c>
      <c r="H56" s="11" t="s">
        <v>965</v>
      </c>
      <c r="I56" s="13">
        <v>44571</v>
      </c>
      <c r="J56" s="11">
        <f t="shared" si="0"/>
        <v>10</v>
      </c>
      <c r="K56" s="11">
        <f t="shared" si="1"/>
        <v>1</v>
      </c>
      <c r="L56" s="11">
        <f t="shared" si="2"/>
        <v>2022</v>
      </c>
      <c r="M56" s="11" t="str">
        <f t="shared" si="3"/>
        <v>10012022</v>
      </c>
      <c r="N56" s="11" t="s">
        <v>12</v>
      </c>
      <c r="O56" s="11" t="s">
        <v>10</v>
      </c>
      <c r="P56" s="23">
        <v>-38.668658000000001</v>
      </c>
      <c r="Q56" s="23">
        <v>145.59118699999999</v>
      </c>
      <c r="R56" s="23" t="s">
        <v>588</v>
      </c>
      <c r="S56" s="23" t="s">
        <v>588</v>
      </c>
      <c r="T56" s="11">
        <v>3</v>
      </c>
      <c r="U56" s="11">
        <v>3</v>
      </c>
      <c r="V56" s="13">
        <v>44565</v>
      </c>
      <c r="W56" s="11" t="s">
        <v>219</v>
      </c>
      <c r="X56" s="11">
        <v>4</v>
      </c>
      <c r="Y56" s="11">
        <v>4</v>
      </c>
      <c r="Z56" s="11" t="s">
        <v>8</v>
      </c>
      <c r="AA56" s="13">
        <v>44583</v>
      </c>
      <c r="AB56" s="11">
        <f t="shared" si="4"/>
        <v>22</v>
      </c>
      <c r="AC56" s="11">
        <f t="shared" si="5"/>
        <v>1</v>
      </c>
      <c r="AD56" s="11">
        <f t="shared" si="6"/>
        <v>2022</v>
      </c>
      <c r="AE56" s="13" t="str">
        <f t="shared" si="7"/>
        <v>22012022</v>
      </c>
      <c r="AF56" s="11" t="s">
        <v>12</v>
      </c>
      <c r="AG56" s="13" t="s">
        <v>588</v>
      </c>
      <c r="AH56" s="11" t="s">
        <v>588</v>
      </c>
      <c r="AI56" s="11" t="s">
        <v>588</v>
      </c>
      <c r="AJ56" s="11" t="s">
        <v>588</v>
      </c>
      <c r="AK56" s="13" t="s">
        <v>588</v>
      </c>
      <c r="AL56" s="11" t="s">
        <v>588</v>
      </c>
      <c r="AM56" s="13" t="s">
        <v>588</v>
      </c>
      <c r="AN56" s="11" t="s">
        <v>588</v>
      </c>
      <c r="AO56" s="13" t="s">
        <v>588</v>
      </c>
      <c r="AP56" s="13">
        <v>44592</v>
      </c>
      <c r="AQ56" s="11" t="s">
        <v>12</v>
      </c>
      <c r="AR56" s="11" t="s">
        <v>195</v>
      </c>
      <c r="AS56" s="11">
        <v>1</v>
      </c>
      <c r="AT56" s="11">
        <v>3</v>
      </c>
      <c r="AU56" s="13">
        <v>44628</v>
      </c>
      <c r="AV56" s="11" t="s">
        <v>22</v>
      </c>
      <c r="AW56" s="11" t="s">
        <v>20</v>
      </c>
      <c r="AX56" s="11" t="s">
        <v>588</v>
      </c>
      <c r="AY56" s="11" t="s">
        <v>20</v>
      </c>
      <c r="AZ56" s="13" t="s">
        <v>588</v>
      </c>
      <c r="BA56" s="11" t="s">
        <v>588</v>
      </c>
      <c r="BB56" s="11" t="s">
        <v>588</v>
      </c>
      <c r="BC56" s="11" t="s">
        <v>588</v>
      </c>
      <c r="BD56" s="11" t="s">
        <v>588</v>
      </c>
      <c r="BE56" s="13" t="s">
        <v>588</v>
      </c>
      <c r="BF56" s="11" t="s">
        <v>588</v>
      </c>
      <c r="BG56" s="11" t="s">
        <v>588</v>
      </c>
      <c r="BH56" s="11" t="s">
        <v>588</v>
      </c>
      <c r="BI56" s="11" t="s">
        <v>588</v>
      </c>
      <c r="BJ56" s="11">
        <v>10</v>
      </c>
      <c r="BK56" s="11">
        <v>9</v>
      </c>
      <c r="BL56" s="11" t="s">
        <v>41</v>
      </c>
      <c r="BM56" s="11" t="s">
        <v>588</v>
      </c>
      <c r="BN56" s="11" t="s">
        <v>588</v>
      </c>
      <c r="BO56" s="11" t="s">
        <v>588</v>
      </c>
      <c r="BP56" s="11" t="s">
        <v>8</v>
      </c>
      <c r="BQ56" s="11" t="s">
        <v>9</v>
      </c>
      <c r="BR56" s="11" t="s">
        <v>9</v>
      </c>
      <c r="BS56" s="11" t="s">
        <v>8</v>
      </c>
      <c r="BT56" s="11" t="s">
        <v>9</v>
      </c>
      <c r="BU56" s="11" t="s">
        <v>9</v>
      </c>
      <c r="BV56" s="11" t="s">
        <v>220</v>
      </c>
      <c r="BW56" s="11" t="s">
        <v>588</v>
      </c>
      <c r="BX56" s="11" t="s">
        <v>588</v>
      </c>
    </row>
    <row r="57" spans="1:76" x14ac:dyDescent="0.25">
      <c r="A57" s="11">
        <v>202122</v>
      </c>
      <c r="B57" s="11" t="s">
        <v>54</v>
      </c>
      <c r="C57" s="11" t="s">
        <v>54</v>
      </c>
      <c r="D57" s="11" t="s">
        <v>101</v>
      </c>
      <c r="E57" s="11" t="s">
        <v>16</v>
      </c>
      <c r="F57" s="11">
        <v>1</v>
      </c>
      <c r="G57" s="11" t="str">
        <f>CONCATENATE(A57,"_",B57,"_",F57)</f>
        <v>202122_Wilsons Rd Eastward 3rd drain_1</v>
      </c>
      <c r="H57" s="11" t="s">
        <v>966</v>
      </c>
      <c r="I57" s="13">
        <v>44544</v>
      </c>
      <c r="J57" s="11">
        <f t="shared" si="0"/>
        <v>14</v>
      </c>
      <c r="K57" s="11">
        <f t="shared" si="1"/>
        <v>12</v>
      </c>
      <c r="L57" s="11">
        <f t="shared" si="2"/>
        <v>2021</v>
      </c>
      <c r="M57" s="11" t="str">
        <f t="shared" si="3"/>
        <v>14122021</v>
      </c>
      <c r="N57" s="11" t="s">
        <v>7</v>
      </c>
      <c r="O57" s="11" t="s">
        <v>10</v>
      </c>
      <c r="P57" s="23" t="s">
        <v>588</v>
      </c>
      <c r="Q57" s="23" t="s">
        <v>588</v>
      </c>
      <c r="R57" s="23">
        <v>-38.672972999999999</v>
      </c>
      <c r="S57" s="23">
        <v>145.599276</v>
      </c>
      <c r="T57" s="11">
        <v>1</v>
      </c>
      <c r="U57" s="11">
        <v>1</v>
      </c>
      <c r="V57" s="13" t="s">
        <v>588</v>
      </c>
      <c r="W57" s="11" t="s">
        <v>588</v>
      </c>
      <c r="X57" s="11">
        <v>3</v>
      </c>
      <c r="Y57" s="11">
        <v>3</v>
      </c>
      <c r="Z57" s="11" t="s">
        <v>41</v>
      </c>
      <c r="AA57" s="13">
        <v>44545</v>
      </c>
      <c r="AB57" s="11">
        <f t="shared" si="4"/>
        <v>15</v>
      </c>
      <c r="AC57" s="11">
        <f t="shared" si="5"/>
        <v>12</v>
      </c>
      <c r="AD57" s="11">
        <f t="shared" si="6"/>
        <v>2021</v>
      </c>
      <c r="AE57" s="13" t="str">
        <f t="shared" si="7"/>
        <v>15122021</v>
      </c>
      <c r="AF57" s="11" t="s">
        <v>7</v>
      </c>
      <c r="AG57" s="13">
        <v>44546</v>
      </c>
      <c r="AH57" s="11">
        <v>16</v>
      </c>
      <c r="AI57" s="11">
        <v>12</v>
      </c>
      <c r="AJ57" s="11">
        <v>2021</v>
      </c>
      <c r="AK57" s="13" t="s">
        <v>1002</v>
      </c>
      <c r="AL57" s="11" t="s">
        <v>7</v>
      </c>
      <c r="AM57" s="11" t="s">
        <v>20</v>
      </c>
      <c r="AN57" s="11" t="s">
        <v>588</v>
      </c>
      <c r="AO57" s="11" t="s">
        <v>20</v>
      </c>
      <c r="AP57" s="13" t="s">
        <v>588</v>
      </c>
      <c r="AQ57" s="11" t="s">
        <v>588</v>
      </c>
      <c r="AR57" s="11" t="s">
        <v>588</v>
      </c>
      <c r="AS57" s="11" t="s">
        <v>588</v>
      </c>
      <c r="AT57" s="11" t="s">
        <v>588</v>
      </c>
      <c r="AU57" s="13" t="s">
        <v>588</v>
      </c>
      <c r="AV57" s="11" t="s">
        <v>588</v>
      </c>
      <c r="AW57" s="11" t="s">
        <v>588</v>
      </c>
      <c r="AX57" s="11" t="s">
        <v>588</v>
      </c>
      <c r="AY57" s="11" t="s">
        <v>588</v>
      </c>
      <c r="AZ57" s="13" t="s">
        <v>588</v>
      </c>
      <c r="BA57" s="11" t="s">
        <v>588</v>
      </c>
      <c r="BB57" s="11" t="s">
        <v>588</v>
      </c>
      <c r="BC57" s="11" t="s">
        <v>588</v>
      </c>
      <c r="BD57" s="11" t="s">
        <v>588</v>
      </c>
      <c r="BE57" s="13" t="s">
        <v>588</v>
      </c>
      <c r="BF57" s="11" t="s">
        <v>588</v>
      </c>
      <c r="BG57" s="11" t="s">
        <v>588</v>
      </c>
      <c r="BH57" s="11" t="s">
        <v>588</v>
      </c>
      <c r="BI57" s="11" t="s">
        <v>588</v>
      </c>
      <c r="BJ57" s="11" t="s">
        <v>588</v>
      </c>
      <c r="BK57" s="11" t="s">
        <v>588</v>
      </c>
      <c r="BL57" s="11" t="s">
        <v>588</v>
      </c>
      <c r="BM57" s="11" t="s">
        <v>588</v>
      </c>
      <c r="BN57" s="11" t="s">
        <v>588</v>
      </c>
      <c r="BO57" s="11" t="s">
        <v>588</v>
      </c>
      <c r="BP57" s="11" t="s">
        <v>8</v>
      </c>
      <c r="BQ57" s="11" t="s">
        <v>9</v>
      </c>
      <c r="BR57" s="11" t="s">
        <v>9</v>
      </c>
      <c r="BS57" s="11" t="s">
        <v>588</v>
      </c>
      <c r="BT57" s="11" t="s">
        <v>588</v>
      </c>
      <c r="BU57" s="11" t="s">
        <v>588</v>
      </c>
      <c r="BV57" s="11" t="s">
        <v>588</v>
      </c>
      <c r="BW57" s="11" t="s">
        <v>588</v>
      </c>
      <c r="BX57" s="11" t="s">
        <v>588</v>
      </c>
    </row>
  </sheetData>
  <autoFilter ref="A1:BX57" xr:uid="{FB6626EB-474F-4A4E-BDF8-B2776B746EEA}">
    <sortState xmlns:xlrd2="http://schemas.microsoft.com/office/spreadsheetml/2017/richdata2" ref="A2:BX57">
      <sortCondition ref="B1:B57"/>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E1B0-BA02-4871-8358-ABE4827FDFC5}">
  <dimension ref="A1:BZ71"/>
  <sheetViews>
    <sheetView zoomScale="80" zoomScaleNormal="80" workbookViewId="0">
      <pane xSplit="9" ySplit="1" topLeftCell="BR26" activePane="bottomRight" state="frozen"/>
      <selection pane="topRight" activeCell="J1" sqref="J1"/>
      <selection pane="bottomLeft" activeCell="A2" sqref="A2"/>
      <selection pane="bottomRight" activeCell="BU35" sqref="BU35"/>
    </sheetView>
  </sheetViews>
  <sheetFormatPr defaultRowHeight="15" x14ac:dyDescent="0.25"/>
  <cols>
    <col min="1" max="1" width="10.28515625" style="11" bestFit="1" customWidth="1"/>
    <col min="2" max="2" width="15.140625" style="11" customWidth="1"/>
    <col min="3" max="3" width="12.28515625" style="11" customWidth="1"/>
    <col min="4" max="5" width="9.5703125" style="11" customWidth="1"/>
    <col min="6" max="6" width="9.140625" style="11" customWidth="1"/>
    <col min="7" max="7" width="10.28515625" style="11" customWidth="1"/>
    <col min="8" max="8" width="41.42578125" style="11" customWidth="1"/>
    <col min="9" max="9" width="15.7109375" style="11" customWidth="1"/>
    <col min="10" max="10" width="4.5703125" style="11" customWidth="1"/>
    <col min="11" max="11" width="6.7109375" style="11" customWidth="1"/>
    <col min="12" max="12" width="5.5703125" style="11" customWidth="1"/>
    <col min="13" max="13" width="21" style="11" customWidth="1"/>
    <col min="14" max="14" width="11.85546875" style="11" customWidth="1"/>
    <col min="15" max="15" width="15.7109375" style="11" customWidth="1"/>
    <col min="16" max="16" width="12.28515625" style="11" customWidth="1"/>
    <col min="17" max="17" width="12.85546875" style="11" customWidth="1"/>
    <col min="18" max="19" width="8.42578125" style="11" customWidth="1"/>
    <col min="20" max="20" width="13.7109375" style="11" bestFit="1" customWidth="1"/>
    <col min="21" max="21" width="13.7109375" style="11" customWidth="1"/>
    <col min="22" max="24" width="17.7109375" style="11" customWidth="1"/>
    <col min="25" max="25" width="12.85546875" style="11" customWidth="1"/>
    <col min="26" max="26" width="9.140625" style="11"/>
    <col min="27" max="27" width="23.28515625" style="11" bestFit="1" customWidth="1"/>
    <col min="28" max="28" width="4.5703125" style="11" bestFit="1" customWidth="1"/>
    <col min="29" max="29" width="6.7109375" style="11" bestFit="1" customWidth="1"/>
    <col min="30" max="30" width="5.5703125" style="11" bestFit="1" customWidth="1"/>
    <col min="31" max="31" width="24.28515625" style="11" bestFit="1" customWidth="1"/>
    <col min="32" max="32" width="12.5703125" style="11" customWidth="1"/>
    <col min="33" max="33" width="17.85546875" style="11" customWidth="1"/>
    <col min="34" max="36" width="8.42578125" style="11" bestFit="1" customWidth="1"/>
    <col min="37" max="37" width="22.7109375" style="11" bestFit="1" customWidth="1"/>
    <col min="38" max="38" width="9.140625" style="11"/>
    <col min="39" max="39" width="21" style="11" customWidth="1"/>
    <col min="40" max="40" width="19.7109375" style="11" customWidth="1"/>
    <col min="41" max="41" width="14.85546875" style="11" customWidth="1"/>
    <col min="42" max="42" width="12.140625" style="11" customWidth="1"/>
    <col min="43" max="43" width="15" style="11" customWidth="1"/>
    <col min="44" max="44" width="9.140625" style="11"/>
    <col min="45" max="45" width="12.7109375" style="11" customWidth="1"/>
    <col min="46" max="46" width="13.5703125" style="11" customWidth="1"/>
    <col min="47" max="47" width="25.42578125" style="11" bestFit="1" customWidth="1"/>
    <col min="48" max="48" width="19.85546875" style="11" bestFit="1" customWidth="1"/>
    <col min="49" max="49" width="20.7109375" style="11" customWidth="1"/>
    <col min="50" max="50" width="24.42578125" style="11" customWidth="1"/>
    <col min="51" max="51" width="23" style="11" bestFit="1" customWidth="1"/>
    <col min="52" max="52" width="23.7109375" style="11" bestFit="1" customWidth="1"/>
    <col min="53" max="53" width="23.7109375" style="11" customWidth="1"/>
    <col min="54" max="54" width="19.85546875" style="11" bestFit="1" customWidth="1"/>
    <col min="55" max="55" width="21.7109375" style="11" bestFit="1" customWidth="1"/>
    <col min="56" max="56" width="24.42578125" style="11" customWidth="1"/>
    <col min="57" max="57" width="23.7109375" style="11" bestFit="1" customWidth="1"/>
    <col min="58" max="60" width="17.85546875" style="11" customWidth="1"/>
    <col min="61" max="61" width="19" style="11" customWidth="1"/>
    <col min="62" max="62" width="26.5703125" style="11" customWidth="1"/>
    <col min="63" max="63" width="23.7109375" style="11" customWidth="1"/>
    <col min="64" max="64" width="22.85546875" style="11" customWidth="1"/>
    <col min="65" max="65" width="20.5703125" style="11" bestFit="1" customWidth="1"/>
    <col min="66" max="66" width="17.85546875" style="11" customWidth="1"/>
    <col min="67" max="67" width="12.140625" style="11" bestFit="1" customWidth="1"/>
    <col min="68" max="68" width="12.28515625" style="11" bestFit="1" customWidth="1"/>
    <col min="69" max="69" width="15.5703125" style="11" bestFit="1" customWidth="1"/>
    <col min="70" max="70" width="17.42578125" style="11" bestFit="1" customWidth="1"/>
    <col min="71" max="71" width="15" style="11" customWidth="1"/>
    <col min="72" max="72" width="3.28515625" style="11" customWidth="1"/>
    <col min="73" max="73" width="50.140625" style="11" bestFit="1" customWidth="1"/>
    <col min="74" max="74" width="5.7109375" style="11" customWidth="1"/>
    <col min="75" max="75" width="68" style="11" bestFit="1" customWidth="1"/>
    <col min="76" max="76" width="17.7109375" style="11" customWidth="1"/>
    <col min="77" max="77" width="19.28515625" style="11" customWidth="1"/>
    <col min="78" max="78" width="18.140625" style="11" customWidth="1"/>
    <col min="79" max="79" width="18.5703125" style="11" customWidth="1"/>
    <col min="80" max="16384" width="9.140625" style="11"/>
  </cols>
  <sheetData>
    <row r="1" spans="1:78" s="15" customFormat="1" ht="14.25" customHeight="1" x14ac:dyDescent="0.25">
      <c r="A1" s="12" t="s">
        <v>0</v>
      </c>
      <c r="B1" s="12" t="s">
        <v>139</v>
      </c>
      <c r="C1" s="9" t="s">
        <v>231</v>
      </c>
      <c r="D1" s="12" t="s">
        <v>1</v>
      </c>
      <c r="E1" s="12" t="s">
        <v>2</v>
      </c>
      <c r="F1" s="12" t="s">
        <v>140</v>
      </c>
      <c r="G1" s="12" t="s">
        <v>141</v>
      </c>
      <c r="H1" s="9" t="s">
        <v>593</v>
      </c>
      <c r="I1" s="12" t="s">
        <v>142</v>
      </c>
      <c r="J1" s="12" t="s">
        <v>589</v>
      </c>
      <c r="K1" s="12" t="s">
        <v>590</v>
      </c>
      <c r="L1" s="12" t="s">
        <v>591</v>
      </c>
      <c r="M1" s="9" t="s">
        <v>592</v>
      </c>
      <c r="N1" s="12" t="s">
        <v>143</v>
      </c>
      <c r="O1" s="12" t="s">
        <v>3</v>
      </c>
      <c r="P1" s="2" t="s">
        <v>212</v>
      </c>
      <c r="Q1" s="2"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9" t="s">
        <v>594</v>
      </c>
      <c r="AF1" s="12" t="s">
        <v>154</v>
      </c>
      <c r="AG1" s="12" t="s">
        <v>1003</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4" t="s">
        <v>596</v>
      </c>
      <c r="BV1" s="12" t="s">
        <v>190</v>
      </c>
      <c r="BW1" s="14" t="s">
        <v>597</v>
      </c>
      <c r="BX1" s="12" t="s">
        <v>191</v>
      </c>
      <c r="BY1" s="12" t="s">
        <v>192</v>
      </c>
      <c r="BZ1" s="12" t="s">
        <v>193</v>
      </c>
    </row>
    <row r="2" spans="1:78" x14ac:dyDescent="0.25">
      <c r="A2" s="11">
        <v>202021</v>
      </c>
      <c r="B2" s="11" t="s">
        <v>247</v>
      </c>
      <c r="C2" s="11" t="s">
        <v>247</v>
      </c>
      <c r="D2" s="11" t="s">
        <v>248</v>
      </c>
      <c r="E2" s="11" t="s">
        <v>353</v>
      </c>
      <c r="F2" s="11">
        <v>1</v>
      </c>
      <c r="G2" s="11" t="s">
        <v>1004</v>
      </c>
      <c r="H2" s="11" t="s">
        <v>1004</v>
      </c>
      <c r="I2" s="13">
        <v>44188</v>
      </c>
      <c r="J2" s="11">
        <v>23</v>
      </c>
      <c r="K2" s="11">
        <v>12</v>
      </c>
      <c r="L2" s="11">
        <v>2020</v>
      </c>
      <c r="M2" s="11" t="s">
        <v>1116</v>
      </c>
      <c r="N2" s="11" t="s">
        <v>7</v>
      </c>
      <c r="O2" s="11" t="s">
        <v>10</v>
      </c>
      <c r="P2" s="23">
        <v>-38.605359</v>
      </c>
      <c r="Q2" s="23">
        <v>145.532659</v>
      </c>
      <c r="R2" s="11" t="s">
        <v>588</v>
      </c>
      <c r="S2" s="11" t="s">
        <v>588</v>
      </c>
      <c r="T2" s="11">
        <v>1</v>
      </c>
      <c r="U2" s="11">
        <v>3</v>
      </c>
      <c r="V2" s="11" t="s">
        <v>588</v>
      </c>
      <c r="W2" s="11" t="s">
        <v>588</v>
      </c>
      <c r="X2" s="11">
        <v>2</v>
      </c>
      <c r="Y2" s="11">
        <v>2</v>
      </c>
      <c r="Z2" s="11" t="s">
        <v>41</v>
      </c>
      <c r="AA2" s="13">
        <v>44188</v>
      </c>
      <c r="AB2" s="11">
        <v>23</v>
      </c>
      <c r="AC2" s="11">
        <v>12</v>
      </c>
      <c r="AD2" s="11">
        <v>2020</v>
      </c>
      <c r="AE2" s="13" t="s">
        <v>1116</v>
      </c>
      <c r="AF2" s="11" t="s">
        <v>7</v>
      </c>
      <c r="AG2" s="13">
        <v>44207</v>
      </c>
      <c r="AH2" s="11">
        <v>11</v>
      </c>
      <c r="AI2" s="11">
        <v>1</v>
      </c>
      <c r="AJ2" s="11">
        <v>2021</v>
      </c>
      <c r="AK2" s="13" t="s">
        <v>1085</v>
      </c>
      <c r="AL2" s="11" t="s">
        <v>12</v>
      </c>
      <c r="AM2" s="11" t="s">
        <v>20</v>
      </c>
      <c r="AN2" s="11" t="s">
        <v>41</v>
      </c>
      <c r="AO2" s="11" t="s">
        <v>41</v>
      </c>
      <c r="AP2" s="11" t="s">
        <v>588</v>
      </c>
      <c r="AQ2" s="11" t="s">
        <v>588</v>
      </c>
      <c r="AR2" s="11" t="s">
        <v>588</v>
      </c>
      <c r="AS2" s="11" t="s">
        <v>588</v>
      </c>
      <c r="AT2" s="11" t="s">
        <v>588</v>
      </c>
      <c r="AU2" s="11" t="s">
        <v>588</v>
      </c>
      <c r="AV2" s="11" t="s">
        <v>588</v>
      </c>
      <c r="AW2" s="11" t="s">
        <v>588</v>
      </c>
      <c r="AX2" s="11" t="s">
        <v>588</v>
      </c>
      <c r="AY2" s="11" t="s">
        <v>588</v>
      </c>
      <c r="AZ2" s="11" t="s">
        <v>588</v>
      </c>
      <c r="BA2" s="11" t="s">
        <v>588</v>
      </c>
      <c r="BB2" s="11" t="s">
        <v>588</v>
      </c>
      <c r="BC2" s="11" t="s">
        <v>588</v>
      </c>
      <c r="BD2" s="11" t="s">
        <v>588</v>
      </c>
      <c r="BE2" s="11" t="s">
        <v>588</v>
      </c>
      <c r="BF2" s="11" t="s">
        <v>588</v>
      </c>
      <c r="BG2" s="11" t="s">
        <v>588</v>
      </c>
      <c r="BH2" s="11" t="s">
        <v>588</v>
      </c>
      <c r="BI2" s="11" t="s">
        <v>588</v>
      </c>
      <c r="BJ2" s="11" t="s">
        <v>588</v>
      </c>
      <c r="BK2" s="11" t="s">
        <v>588</v>
      </c>
      <c r="BL2" s="11" t="s">
        <v>588</v>
      </c>
      <c r="BM2" s="11" t="s">
        <v>588</v>
      </c>
      <c r="BN2" s="11" t="s">
        <v>588</v>
      </c>
      <c r="BO2" s="11" t="s">
        <v>588</v>
      </c>
      <c r="BP2" s="11" t="s">
        <v>588</v>
      </c>
      <c r="BQ2" s="11" t="s">
        <v>588</v>
      </c>
      <c r="BR2" s="11" t="s">
        <v>588</v>
      </c>
      <c r="BS2" s="11" t="s">
        <v>41</v>
      </c>
      <c r="BT2" s="11" t="s">
        <v>42</v>
      </c>
      <c r="BU2" s="11" t="s">
        <v>42</v>
      </c>
      <c r="BV2" s="11" t="s">
        <v>588</v>
      </c>
      <c r="BW2" s="11" t="s">
        <v>588</v>
      </c>
      <c r="BX2" s="11" t="s">
        <v>588</v>
      </c>
      <c r="BY2" s="11" t="s">
        <v>588</v>
      </c>
      <c r="BZ2" s="11" t="s">
        <v>588</v>
      </c>
    </row>
    <row r="3" spans="1:78" x14ac:dyDescent="0.25">
      <c r="A3" s="11">
        <v>202021</v>
      </c>
      <c r="B3" s="11" t="s">
        <v>247</v>
      </c>
      <c r="C3" s="11" t="s">
        <v>247</v>
      </c>
      <c r="D3" s="11" t="s">
        <v>248</v>
      </c>
      <c r="E3" s="11" t="s">
        <v>353</v>
      </c>
      <c r="F3" s="11">
        <v>2</v>
      </c>
      <c r="G3" s="11" t="s">
        <v>1005</v>
      </c>
      <c r="H3" s="11" t="s">
        <v>1005</v>
      </c>
      <c r="I3" s="13">
        <v>44207</v>
      </c>
      <c r="J3" s="11">
        <v>11</v>
      </c>
      <c r="K3" s="11">
        <v>1</v>
      </c>
      <c r="L3" s="11">
        <v>2021</v>
      </c>
      <c r="M3" s="11" t="s">
        <v>1085</v>
      </c>
      <c r="N3" s="11" t="s">
        <v>12</v>
      </c>
      <c r="O3" s="11" t="s">
        <v>10</v>
      </c>
      <c r="P3" s="23">
        <v>-38.608196999999997</v>
      </c>
      <c r="Q3" s="23">
        <v>145.534909</v>
      </c>
      <c r="R3" s="11" t="s">
        <v>588</v>
      </c>
      <c r="S3" s="11" t="s">
        <v>588</v>
      </c>
      <c r="T3" s="11">
        <v>2</v>
      </c>
      <c r="U3" s="11">
        <v>3</v>
      </c>
      <c r="V3" s="11" t="s">
        <v>588</v>
      </c>
      <c r="W3" s="11" t="s">
        <v>588</v>
      </c>
      <c r="X3" s="11">
        <v>2</v>
      </c>
      <c r="Y3" s="11">
        <v>2</v>
      </c>
      <c r="Z3" s="11" t="s">
        <v>41</v>
      </c>
      <c r="AA3" s="13">
        <v>44207</v>
      </c>
      <c r="AB3" s="11">
        <v>11</v>
      </c>
      <c r="AC3" s="11">
        <v>1</v>
      </c>
      <c r="AD3" s="11">
        <v>2021</v>
      </c>
      <c r="AE3" s="13" t="s">
        <v>1085</v>
      </c>
      <c r="AF3" s="11" t="s">
        <v>12</v>
      </c>
      <c r="AG3" s="13">
        <v>44231</v>
      </c>
      <c r="AH3" s="11">
        <v>4</v>
      </c>
      <c r="AI3" s="11">
        <v>2</v>
      </c>
      <c r="AJ3" s="11">
        <v>2021</v>
      </c>
      <c r="AK3" s="13" t="s">
        <v>1086</v>
      </c>
      <c r="AL3" s="11" t="s">
        <v>21</v>
      </c>
      <c r="AM3" s="11" t="s">
        <v>20</v>
      </c>
      <c r="AN3" s="11" t="s">
        <v>41</v>
      </c>
      <c r="AO3" s="11" t="s">
        <v>41</v>
      </c>
      <c r="AP3" s="11" t="s">
        <v>588</v>
      </c>
      <c r="AQ3" s="11" t="s">
        <v>588</v>
      </c>
      <c r="AR3" s="11" t="s">
        <v>588</v>
      </c>
      <c r="AS3" s="11" t="s">
        <v>588</v>
      </c>
      <c r="AT3" s="11" t="s">
        <v>588</v>
      </c>
      <c r="AU3" s="11" t="s">
        <v>588</v>
      </c>
      <c r="AV3" s="11" t="s">
        <v>588</v>
      </c>
      <c r="AW3" s="11" t="s">
        <v>588</v>
      </c>
      <c r="AX3" s="11" t="s">
        <v>588</v>
      </c>
      <c r="AY3" s="11" t="s">
        <v>588</v>
      </c>
      <c r="AZ3" s="11" t="s">
        <v>588</v>
      </c>
      <c r="BA3" s="11" t="s">
        <v>588</v>
      </c>
      <c r="BB3" s="11" t="s">
        <v>588</v>
      </c>
      <c r="BC3" s="11" t="s">
        <v>588</v>
      </c>
      <c r="BD3" s="11" t="s">
        <v>588</v>
      </c>
      <c r="BE3" s="11" t="s">
        <v>588</v>
      </c>
      <c r="BF3" s="11" t="s">
        <v>588</v>
      </c>
      <c r="BG3" s="11" t="s">
        <v>588</v>
      </c>
      <c r="BH3" s="11" t="s">
        <v>588</v>
      </c>
      <c r="BI3" s="11" t="s">
        <v>588</v>
      </c>
      <c r="BJ3" s="11" t="s">
        <v>588</v>
      </c>
      <c r="BK3" s="11" t="s">
        <v>588</v>
      </c>
      <c r="BL3" s="11" t="s">
        <v>588</v>
      </c>
      <c r="BM3" s="11" t="s">
        <v>588</v>
      </c>
      <c r="BN3" s="11" t="s">
        <v>588</v>
      </c>
      <c r="BO3" s="11" t="s">
        <v>588</v>
      </c>
      <c r="BP3" s="11" t="s">
        <v>588</v>
      </c>
      <c r="BQ3" s="11" t="s">
        <v>588</v>
      </c>
      <c r="BR3" s="11" t="s">
        <v>588</v>
      </c>
      <c r="BS3" s="11" t="s">
        <v>41</v>
      </c>
      <c r="BT3" s="11" t="s">
        <v>42</v>
      </c>
      <c r="BU3" s="11" t="s">
        <v>42</v>
      </c>
      <c r="BV3" s="11" t="s">
        <v>588</v>
      </c>
      <c r="BW3" s="11" t="s">
        <v>588</v>
      </c>
      <c r="BX3" s="11" t="s">
        <v>588</v>
      </c>
      <c r="BY3" s="11" t="s">
        <v>588</v>
      </c>
      <c r="BZ3" s="11" t="s">
        <v>588</v>
      </c>
    </row>
    <row r="4" spans="1:78" x14ac:dyDescent="0.25">
      <c r="A4" s="11">
        <v>202021</v>
      </c>
      <c r="B4" s="11" t="s">
        <v>247</v>
      </c>
      <c r="C4" s="11" t="s">
        <v>247</v>
      </c>
      <c r="D4" s="11" t="s">
        <v>248</v>
      </c>
      <c r="E4" s="11" t="s">
        <v>353</v>
      </c>
      <c r="F4" s="11">
        <v>3</v>
      </c>
      <c r="G4" s="11" t="s">
        <v>1006</v>
      </c>
      <c r="H4" s="11" t="s">
        <v>1006</v>
      </c>
      <c r="I4" s="13">
        <v>44231</v>
      </c>
      <c r="J4" s="11">
        <v>4</v>
      </c>
      <c r="K4" s="11">
        <v>2</v>
      </c>
      <c r="L4" s="11">
        <v>2021</v>
      </c>
      <c r="M4" s="11" t="s">
        <v>1086</v>
      </c>
      <c r="N4" s="11" t="s">
        <v>21</v>
      </c>
      <c r="O4" s="11" t="s">
        <v>10</v>
      </c>
      <c r="P4" s="23">
        <v>-38.606200000000001</v>
      </c>
      <c r="Q4" s="23">
        <v>145.53339800000001</v>
      </c>
      <c r="R4" s="11" t="s">
        <v>588</v>
      </c>
      <c r="S4" s="11" t="s">
        <v>588</v>
      </c>
      <c r="T4" s="11">
        <v>1</v>
      </c>
      <c r="U4" s="11">
        <v>3</v>
      </c>
      <c r="V4" s="11" t="s">
        <v>588</v>
      </c>
      <c r="W4" s="11" t="s">
        <v>588</v>
      </c>
      <c r="X4" s="11">
        <v>2</v>
      </c>
      <c r="Y4" s="11">
        <v>2</v>
      </c>
      <c r="Z4" s="11" t="s">
        <v>41</v>
      </c>
      <c r="AA4" s="13">
        <v>44231</v>
      </c>
      <c r="AB4" s="11">
        <v>4</v>
      </c>
      <c r="AC4" s="11">
        <v>2</v>
      </c>
      <c r="AD4" s="11">
        <v>2021</v>
      </c>
      <c r="AE4" s="13" t="s">
        <v>1086</v>
      </c>
      <c r="AF4" s="11" t="s">
        <v>21</v>
      </c>
      <c r="AG4" s="13">
        <v>44242</v>
      </c>
      <c r="AH4" s="11">
        <v>15</v>
      </c>
      <c r="AI4" s="11">
        <v>2</v>
      </c>
      <c r="AJ4" s="11">
        <v>2021</v>
      </c>
      <c r="AK4" s="13" t="s">
        <v>1087</v>
      </c>
      <c r="AL4" s="11" t="s">
        <v>21</v>
      </c>
      <c r="AM4" s="11" t="s">
        <v>20</v>
      </c>
      <c r="AN4" s="11" t="s">
        <v>41</v>
      </c>
      <c r="AO4" s="11" t="s">
        <v>41</v>
      </c>
      <c r="AP4" s="11" t="s">
        <v>588</v>
      </c>
      <c r="AQ4" s="11" t="s">
        <v>588</v>
      </c>
      <c r="AR4" s="11" t="s">
        <v>588</v>
      </c>
      <c r="AS4" s="11" t="s">
        <v>588</v>
      </c>
      <c r="AT4" s="11" t="s">
        <v>588</v>
      </c>
      <c r="AU4" s="11" t="s">
        <v>588</v>
      </c>
      <c r="AV4" s="11" t="s">
        <v>588</v>
      </c>
      <c r="AW4" s="11" t="s">
        <v>588</v>
      </c>
      <c r="AX4" s="11" t="s">
        <v>588</v>
      </c>
      <c r="AY4" s="11" t="s">
        <v>588</v>
      </c>
      <c r="AZ4" s="11" t="s">
        <v>588</v>
      </c>
      <c r="BA4" s="11" t="s">
        <v>588</v>
      </c>
      <c r="BB4" s="11" t="s">
        <v>588</v>
      </c>
      <c r="BC4" s="11" t="s">
        <v>588</v>
      </c>
      <c r="BD4" s="11" t="s">
        <v>588</v>
      </c>
      <c r="BE4" s="11" t="s">
        <v>588</v>
      </c>
      <c r="BF4" s="11" t="s">
        <v>588</v>
      </c>
      <c r="BG4" s="11" t="s">
        <v>588</v>
      </c>
      <c r="BH4" s="11" t="s">
        <v>588</v>
      </c>
      <c r="BI4" s="11" t="s">
        <v>588</v>
      </c>
      <c r="BJ4" s="11" t="s">
        <v>588</v>
      </c>
      <c r="BK4" s="11" t="s">
        <v>588</v>
      </c>
      <c r="BL4" s="11" t="s">
        <v>588</v>
      </c>
      <c r="BM4" s="11" t="s">
        <v>588</v>
      </c>
      <c r="BN4" s="11" t="s">
        <v>588</v>
      </c>
      <c r="BO4" s="11" t="s">
        <v>588</v>
      </c>
      <c r="BP4" s="11" t="s">
        <v>588</v>
      </c>
      <c r="BQ4" s="11" t="s">
        <v>588</v>
      </c>
      <c r="BR4" s="11" t="s">
        <v>588</v>
      </c>
      <c r="BS4" s="11" t="s">
        <v>41</v>
      </c>
      <c r="BT4" s="11" t="s">
        <v>42</v>
      </c>
      <c r="BU4" s="11" t="s">
        <v>42</v>
      </c>
      <c r="BV4" s="11" t="s">
        <v>588</v>
      </c>
      <c r="BW4" s="11" t="s">
        <v>588</v>
      </c>
      <c r="BX4" s="11" t="s">
        <v>588</v>
      </c>
      <c r="BY4" s="11" t="s">
        <v>588</v>
      </c>
      <c r="BZ4" s="11" t="s">
        <v>588</v>
      </c>
    </row>
    <row r="5" spans="1:78" x14ac:dyDescent="0.25">
      <c r="A5" s="11">
        <v>202021</v>
      </c>
      <c r="B5" s="11" t="s">
        <v>247</v>
      </c>
      <c r="C5" s="11" t="s">
        <v>247</v>
      </c>
      <c r="D5" s="11" t="s">
        <v>248</v>
      </c>
      <c r="E5" s="11" t="s">
        <v>353</v>
      </c>
      <c r="F5" s="11">
        <v>4</v>
      </c>
      <c r="G5" s="11" t="s">
        <v>1007</v>
      </c>
      <c r="H5" s="11" t="s">
        <v>1007</v>
      </c>
      <c r="I5" s="13">
        <v>44252</v>
      </c>
      <c r="J5" s="11">
        <v>25</v>
      </c>
      <c r="K5" s="11">
        <v>2</v>
      </c>
      <c r="L5" s="11">
        <v>2021</v>
      </c>
      <c r="M5" s="11" t="s">
        <v>1129</v>
      </c>
      <c r="N5" s="11" t="s">
        <v>21</v>
      </c>
      <c r="O5" s="11" t="s">
        <v>10</v>
      </c>
      <c r="P5" s="23">
        <v>-38.606056000000002</v>
      </c>
      <c r="Q5" s="23">
        <v>145.53320199999999</v>
      </c>
      <c r="R5" s="11" t="s">
        <v>588</v>
      </c>
      <c r="S5" s="11" t="s">
        <v>588</v>
      </c>
      <c r="T5" s="11">
        <v>1</v>
      </c>
      <c r="U5" s="11">
        <v>3</v>
      </c>
      <c r="V5" s="11" t="s">
        <v>588</v>
      </c>
      <c r="W5" s="11" t="s">
        <v>588</v>
      </c>
      <c r="X5" s="11">
        <v>2</v>
      </c>
      <c r="Y5" s="11">
        <v>2</v>
      </c>
      <c r="Z5" s="11" t="s">
        <v>8</v>
      </c>
      <c r="AA5" s="13">
        <v>44270</v>
      </c>
      <c r="AB5" s="11">
        <v>15</v>
      </c>
      <c r="AC5" s="11">
        <v>3</v>
      </c>
      <c r="AD5" s="11">
        <v>2021</v>
      </c>
      <c r="AE5" s="13" t="s">
        <v>1130</v>
      </c>
      <c r="AF5" s="11" t="s">
        <v>21</v>
      </c>
      <c r="AG5" s="11" t="s">
        <v>588</v>
      </c>
      <c r="AH5" s="11" t="s">
        <v>588</v>
      </c>
      <c r="AI5" s="11" t="s">
        <v>588</v>
      </c>
      <c r="AJ5" s="11" t="s">
        <v>588</v>
      </c>
      <c r="AK5" s="13" t="s">
        <v>588</v>
      </c>
      <c r="AL5" s="11" t="s">
        <v>588</v>
      </c>
      <c r="AM5" s="11" t="s">
        <v>588</v>
      </c>
      <c r="AN5" s="11" t="s">
        <v>588</v>
      </c>
      <c r="AO5" s="11" t="s">
        <v>588</v>
      </c>
      <c r="AP5" s="13">
        <v>44284</v>
      </c>
      <c r="AQ5" s="11" t="s">
        <v>22</v>
      </c>
      <c r="AR5" s="11" t="s">
        <v>194</v>
      </c>
      <c r="AS5" s="11">
        <v>1</v>
      </c>
      <c r="AT5" s="11">
        <v>1</v>
      </c>
      <c r="AU5" s="13">
        <v>44284</v>
      </c>
      <c r="AV5" s="13">
        <v>44307</v>
      </c>
      <c r="AW5" s="11" t="s">
        <v>72</v>
      </c>
      <c r="AX5" s="11" t="s">
        <v>20</v>
      </c>
      <c r="AY5" s="11" t="s">
        <v>41</v>
      </c>
      <c r="AZ5" s="11" t="s">
        <v>41</v>
      </c>
      <c r="BA5" s="11" t="s">
        <v>588</v>
      </c>
      <c r="BB5" s="11" t="s">
        <v>588</v>
      </c>
      <c r="BC5" s="11" t="s">
        <v>588</v>
      </c>
      <c r="BD5" s="11" t="s">
        <v>588</v>
      </c>
      <c r="BE5" s="11" t="s">
        <v>588</v>
      </c>
      <c r="BF5" s="11" t="s">
        <v>588</v>
      </c>
      <c r="BG5" s="11" t="s">
        <v>588</v>
      </c>
      <c r="BH5" s="11" t="s">
        <v>588</v>
      </c>
      <c r="BI5" s="11" t="s">
        <v>588</v>
      </c>
      <c r="BJ5" s="11" t="s">
        <v>588</v>
      </c>
      <c r="BK5" s="11" t="s">
        <v>588</v>
      </c>
      <c r="BL5" s="11" t="s">
        <v>588</v>
      </c>
      <c r="BM5" s="11">
        <v>2</v>
      </c>
      <c r="BN5" s="11">
        <v>2</v>
      </c>
      <c r="BO5" s="11" t="s">
        <v>41</v>
      </c>
      <c r="BP5" s="11" t="s">
        <v>588</v>
      </c>
      <c r="BQ5" s="11" t="s">
        <v>588</v>
      </c>
      <c r="BR5" s="11" t="s">
        <v>588</v>
      </c>
      <c r="BS5" s="11" t="s">
        <v>41</v>
      </c>
      <c r="BT5" s="11" t="s">
        <v>42</v>
      </c>
      <c r="BU5" s="11" t="s">
        <v>42</v>
      </c>
      <c r="BV5" s="11" t="s">
        <v>41</v>
      </c>
      <c r="BW5" s="11" t="s">
        <v>42</v>
      </c>
      <c r="BX5" s="11" t="s">
        <v>42</v>
      </c>
      <c r="BY5" s="11" t="s">
        <v>588</v>
      </c>
      <c r="BZ5" s="11" t="s">
        <v>588</v>
      </c>
    </row>
    <row r="6" spans="1:78" x14ac:dyDescent="0.25">
      <c r="A6" s="11">
        <v>202021</v>
      </c>
      <c r="B6" s="11" t="s">
        <v>57</v>
      </c>
      <c r="C6" s="11" t="s">
        <v>57</v>
      </c>
      <c r="D6" s="11" t="s">
        <v>84</v>
      </c>
      <c r="E6" s="11" t="s">
        <v>16</v>
      </c>
      <c r="F6" s="11">
        <v>1</v>
      </c>
      <c r="G6" s="11" t="s">
        <v>1008</v>
      </c>
      <c r="H6" s="11" t="s">
        <v>1008</v>
      </c>
      <c r="I6" s="13">
        <v>44115</v>
      </c>
      <c r="J6" s="11">
        <v>11</v>
      </c>
      <c r="K6" s="11">
        <v>10</v>
      </c>
      <c r="L6" s="11">
        <v>2020</v>
      </c>
      <c r="M6" s="11" t="s">
        <v>1131</v>
      </c>
      <c r="N6" s="11" t="s">
        <v>29</v>
      </c>
      <c r="O6" s="11" t="s">
        <v>36</v>
      </c>
      <c r="P6" s="23" t="s">
        <v>588</v>
      </c>
      <c r="Q6" s="23" t="s">
        <v>588</v>
      </c>
      <c r="R6" s="11" t="s">
        <v>588</v>
      </c>
      <c r="S6" s="11" t="s">
        <v>588</v>
      </c>
      <c r="T6" s="11">
        <v>3</v>
      </c>
      <c r="U6" s="11">
        <v>3</v>
      </c>
      <c r="V6" s="11" t="s">
        <v>588</v>
      </c>
      <c r="W6" s="11" t="s">
        <v>588</v>
      </c>
      <c r="X6" s="11">
        <v>4</v>
      </c>
      <c r="Y6" s="11">
        <v>4</v>
      </c>
      <c r="Z6" s="11" t="s">
        <v>41</v>
      </c>
      <c r="AA6" s="13">
        <v>44124</v>
      </c>
      <c r="AB6" s="11">
        <v>20</v>
      </c>
      <c r="AC6" s="11">
        <v>10</v>
      </c>
      <c r="AD6" s="11">
        <v>2020</v>
      </c>
      <c r="AE6" s="13" t="s">
        <v>1132</v>
      </c>
      <c r="AF6" s="11" t="s">
        <v>29</v>
      </c>
      <c r="AG6" s="13">
        <v>44126</v>
      </c>
      <c r="AH6" s="11">
        <v>22</v>
      </c>
      <c r="AI6" s="11">
        <v>10</v>
      </c>
      <c r="AJ6" s="11">
        <v>2020</v>
      </c>
      <c r="AK6" s="13" t="s">
        <v>1088</v>
      </c>
      <c r="AL6" s="11" t="s">
        <v>29</v>
      </c>
      <c r="AM6" s="11" t="s">
        <v>20</v>
      </c>
      <c r="AN6" s="11" t="s">
        <v>41</v>
      </c>
      <c r="AO6" s="11" t="s">
        <v>41</v>
      </c>
      <c r="AP6" s="11" t="s">
        <v>588</v>
      </c>
      <c r="AQ6" s="11" t="s">
        <v>588</v>
      </c>
      <c r="AR6" s="11" t="s">
        <v>588</v>
      </c>
      <c r="AS6" s="11" t="s">
        <v>588</v>
      </c>
      <c r="AT6" s="11" t="s">
        <v>588</v>
      </c>
      <c r="AU6" s="11" t="s">
        <v>588</v>
      </c>
      <c r="AV6" s="11" t="s">
        <v>588</v>
      </c>
      <c r="AW6" s="11" t="s">
        <v>588</v>
      </c>
      <c r="AX6" s="11" t="s">
        <v>588</v>
      </c>
      <c r="AY6" s="11" t="s">
        <v>588</v>
      </c>
      <c r="AZ6" s="11" t="s">
        <v>588</v>
      </c>
      <c r="BA6" s="11" t="s">
        <v>588</v>
      </c>
      <c r="BB6" s="11" t="s">
        <v>588</v>
      </c>
      <c r="BC6" s="11" t="s">
        <v>588</v>
      </c>
      <c r="BD6" s="11" t="s">
        <v>588</v>
      </c>
      <c r="BE6" s="11" t="s">
        <v>588</v>
      </c>
      <c r="BF6" s="11" t="s">
        <v>588</v>
      </c>
      <c r="BG6" s="11" t="s">
        <v>588</v>
      </c>
      <c r="BH6" s="11" t="s">
        <v>588</v>
      </c>
      <c r="BI6" s="11" t="s">
        <v>588</v>
      </c>
      <c r="BJ6" s="11" t="s">
        <v>588</v>
      </c>
      <c r="BK6" s="11" t="s">
        <v>588</v>
      </c>
      <c r="BL6" s="11" t="s">
        <v>588</v>
      </c>
      <c r="BM6" s="11" t="s">
        <v>588</v>
      </c>
      <c r="BN6" s="11" t="s">
        <v>588</v>
      </c>
      <c r="BO6" s="11" t="s">
        <v>588</v>
      </c>
      <c r="BP6" s="11" t="s">
        <v>588</v>
      </c>
      <c r="BQ6" s="11" t="s">
        <v>588</v>
      </c>
      <c r="BR6" s="11" t="s">
        <v>588</v>
      </c>
      <c r="BS6" s="11" t="s">
        <v>8</v>
      </c>
      <c r="BT6" s="11" t="s">
        <v>9</v>
      </c>
      <c r="BU6" s="11" t="s">
        <v>9</v>
      </c>
      <c r="BV6" s="11" t="s">
        <v>588</v>
      </c>
      <c r="BW6" s="11" t="s">
        <v>588</v>
      </c>
      <c r="BX6" s="11" t="s">
        <v>588</v>
      </c>
      <c r="BY6" s="11" t="s">
        <v>588</v>
      </c>
      <c r="BZ6" s="11" t="s">
        <v>588</v>
      </c>
    </row>
    <row r="7" spans="1:78" x14ac:dyDescent="0.25">
      <c r="A7" s="11">
        <v>202021</v>
      </c>
      <c r="B7" s="11" t="s">
        <v>57</v>
      </c>
      <c r="C7" s="11" t="s">
        <v>57</v>
      </c>
      <c r="D7" s="11" t="s">
        <v>84</v>
      </c>
      <c r="E7" s="11" t="s">
        <v>16</v>
      </c>
      <c r="F7" s="11">
        <v>2</v>
      </c>
      <c r="G7" s="11" t="s">
        <v>1009</v>
      </c>
      <c r="H7" s="11" t="s">
        <v>1009</v>
      </c>
      <c r="I7" s="13">
        <v>44133</v>
      </c>
      <c r="J7" s="11">
        <v>29</v>
      </c>
      <c r="K7" s="11">
        <v>10</v>
      </c>
      <c r="L7" s="11">
        <v>2020</v>
      </c>
      <c r="M7" s="11" t="s">
        <v>1133</v>
      </c>
      <c r="N7" s="11" t="s">
        <v>29</v>
      </c>
      <c r="O7" s="11" t="s">
        <v>10</v>
      </c>
      <c r="P7" s="23" t="s">
        <v>588</v>
      </c>
      <c r="Q7" s="23" t="s">
        <v>588</v>
      </c>
      <c r="R7" s="11" t="s">
        <v>588</v>
      </c>
      <c r="S7" s="11" t="s">
        <v>588</v>
      </c>
      <c r="T7" s="11">
        <v>2</v>
      </c>
      <c r="U7" s="11">
        <v>2</v>
      </c>
      <c r="V7" s="11" t="s">
        <v>588</v>
      </c>
      <c r="W7" s="11" t="s">
        <v>1621</v>
      </c>
      <c r="X7" s="11">
        <v>4</v>
      </c>
      <c r="Y7" s="11">
        <v>4</v>
      </c>
      <c r="Z7" s="11" t="s">
        <v>41</v>
      </c>
      <c r="AA7" s="13">
        <v>44137</v>
      </c>
      <c r="AB7" s="11">
        <v>2</v>
      </c>
      <c r="AC7" s="11">
        <v>11</v>
      </c>
      <c r="AD7" s="11">
        <v>2020</v>
      </c>
      <c r="AE7" s="13" t="s">
        <v>1134</v>
      </c>
      <c r="AF7" s="11" t="s">
        <v>17</v>
      </c>
      <c r="AG7" s="13">
        <v>44139</v>
      </c>
      <c r="AH7" s="11">
        <v>4</v>
      </c>
      <c r="AI7" s="11">
        <v>11</v>
      </c>
      <c r="AJ7" s="11">
        <v>2020</v>
      </c>
      <c r="AK7" s="13" t="s">
        <v>1089</v>
      </c>
      <c r="AL7" s="11" t="s">
        <v>17</v>
      </c>
      <c r="AM7" s="11" t="s">
        <v>20</v>
      </c>
      <c r="AN7" s="11" t="s">
        <v>41</v>
      </c>
      <c r="AO7" s="11" t="s">
        <v>41</v>
      </c>
      <c r="AP7" s="11" t="s">
        <v>588</v>
      </c>
      <c r="AQ7" s="11" t="s">
        <v>588</v>
      </c>
      <c r="AR7" s="11" t="s">
        <v>588</v>
      </c>
      <c r="AS7" s="11" t="s">
        <v>588</v>
      </c>
      <c r="AT7" s="11" t="s">
        <v>588</v>
      </c>
      <c r="AU7" s="11" t="s">
        <v>588</v>
      </c>
      <c r="AV7" s="11" t="s">
        <v>588</v>
      </c>
      <c r="AW7" s="11" t="s">
        <v>588</v>
      </c>
      <c r="AX7" s="11" t="s">
        <v>588</v>
      </c>
      <c r="AY7" s="11" t="s">
        <v>588</v>
      </c>
      <c r="AZ7" s="11" t="s">
        <v>588</v>
      </c>
      <c r="BA7" s="11" t="s">
        <v>588</v>
      </c>
      <c r="BB7" s="11" t="s">
        <v>588</v>
      </c>
      <c r="BC7" s="11" t="s">
        <v>588</v>
      </c>
      <c r="BD7" s="11" t="s">
        <v>588</v>
      </c>
      <c r="BE7" s="11" t="s">
        <v>588</v>
      </c>
      <c r="BF7" s="11" t="s">
        <v>588</v>
      </c>
      <c r="BG7" s="11" t="s">
        <v>588</v>
      </c>
      <c r="BH7" s="11" t="s">
        <v>588</v>
      </c>
      <c r="BI7" s="11" t="s">
        <v>588</v>
      </c>
      <c r="BJ7" s="11" t="s">
        <v>588</v>
      </c>
      <c r="BK7" s="11" t="s">
        <v>588</v>
      </c>
      <c r="BL7" s="11" t="s">
        <v>588</v>
      </c>
      <c r="BM7" s="11" t="s">
        <v>588</v>
      </c>
      <c r="BN7" s="11" t="s">
        <v>588</v>
      </c>
      <c r="BO7" s="11" t="s">
        <v>588</v>
      </c>
      <c r="BP7" s="11" t="s">
        <v>588</v>
      </c>
      <c r="BQ7" s="11" t="s">
        <v>588</v>
      </c>
      <c r="BR7" s="11" t="s">
        <v>588</v>
      </c>
      <c r="BS7" s="11" t="s">
        <v>8</v>
      </c>
      <c r="BT7" s="11" t="s">
        <v>9</v>
      </c>
      <c r="BU7" s="11" t="s">
        <v>9</v>
      </c>
      <c r="BV7" s="11" t="s">
        <v>588</v>
      </c>
      <c r="BW7" s="11" t="s">
        <v>588</v>
      </c>
      <c r="BX7" s="11" t="s">
        <v>588</v>
      </c>
      <c r="BY7" s="11" t="s">
        <v>588</v>
      </c>
      <c r="BZ7" s="11" t="s">
        <v>588</v>
      </c>
    </row>
    <row r="8" spans="1:78" x14ac:dyDescent="0.25">
      <c r="A8" s="11">
        <v>202021</v>
      </c>
      <c r="B8" s="11" t="s">
        <v>57</v>
      </c>
      <c r="C8" s="11" t="s">
        <v>57</v>
      </c>
      <c r="D8" s="11" t="s">
        <v>84</v>
      </c>
      <c r="E8" s="11" t="s">
        <v>16</v>
      </c>
      <c r="F8" s="11">
        <v>3</v>
      </c>
      <c r="G8" s="11" t="s">
        <v>1010</v>
      </c>
      <c r="H8" s="11" t="s">
        <v>1010</v>
      </c>
      <c r="I8" s="13">
        <v>44174</v>
      </c>
      <c r="J8" s="11">
        <v>9</v>
      </c>
      <c r="K8" s="11">
        <v>12</v>
      </c>
      <c r="L8" s="11">
        <v>2020</v>
      </c>
      <c r="M8" s="11" t="s">
        <v>1135</v>
      </c>
      <c r="N8" s="11" t="s">
        <v>7</v>
      </c>
      <c r="O8" s="11" t="s">
        <v>36</v>
      </c>
      <c r="P8" s="23" t="s">
        <v>588</v>
      </c>
      <c r="Q8" s="23" t="s">
        <v>588</v>
      </c>
      <c r="R8" s="11" t="s">
        <v>588</v>
      </c>
      <c r="S8" s="11" t="s">
        <v>588</v>
      </c>
      <c r="T8" s="11">
        <v>3</v>
      </c>
      <c r="U8" s="11">
        <v>3</v>
      </c>
      <c r="V8" s="11" t="s">
        <v>588</v>
      </c>
      <c r="W8" s="11" t="s">
        <v>588</v>
      </c>
      <c r="X8" s="11">
        <v>6</v>
      </c>
      <c r="Y8" s="11">
        <v>6</v>
      </c>
      <c r="Z8" s="11" t="s">
        <v>8</v>
      </c>
      <c r="AA8" s="13">
        <v>44199</v>
      </c>
      <c r="AB8" s="11">
        <v>3</v>
      </c>
      <c r="AC8" s="11">
        <v>1</v>
      </c>
      <c r="AD8" s="11">
        <v>2021</v>
      </c>
      <c r="AE8" s="13" t="s">
        <v>1136</v>
      </c>
      <c r="AF8" s="11" t="s">
        <v>12</v>
      </c>
      <c r="AG8" s="11" t="s">
        <v>588</v>
      </c>
      <c r="AH8" s="11" t="s">
        <v>588</v>
      </c>
      <c r="AI8" s="11" t="s">
        <v>588</v>
      </c>
      <c r="AJ8" s="11" t="s">
        <v>588</v>
      </c>
      <c r="AK8" s="13" t="s">
        <v>588</v>
      </c>
      <c r="AL8" s="11" t="s">
        <v>588</v>
      </c>
      <c r="AM8" s="11" t="s">
        <v>588</v>
      </c>
      <c r="AN8" s="11" t="s">
        <v>588</v>
      </c>
      <c r="AO8" s="11" t="s">
        <v>588</v>
      </c>
      <c r="AP8" s="13">
        <v>44202</v>
      </c>
      <c r="AQ8" s="11" t="s">
        <v>12</v>
      </c>
      <c r="AR8" s="11" t="s">
        <v>195</v>
      </c>
      <c r="AS8" s="11">
        <v>2</v>
      </c>
      <c r="AT8" s="11">
        <v>3</v>
      </c>
      <c r="AU8" s="13">
        <v>44209</v>
      </c>
      <c r="AV8" s="13">
        <v>44210</v>
      </c>
      <c r="AW8" s="11" t="s">
        <v>12</v>
      </c>
      <c r="AX8" s="11" t="s">
        <v>20</v>
      </c>
      <c r="AY8" s="11" t="s">
        <v>41</v>
      </c>
      <c r="AZ8" s="11" t="s">
        <v>41</v>
      </c>
      <c r="BA8" s="13">
        <v>44210</v>
      </c>
      <c r="BB8" s="13">
        <v>44211</v>
      </c>
      <c r="BC8" s="11" t="s">
        <v>12</v>
      </c>
      <c r="BD8" s="11" t="s">
        <v>20</v>
      </c>
      <c r="BE8" s="11" t="s">
        <v>41</v>
      </c>
      <c r="BF8" s="11" t="s">
        <v>41</v>
      </c>
      <c r="BG8" s="11" t="s">
        <v>588</v>
      </c>
      <c r="BH8" s="11" t="s">
        <v>588</v>
      </c>
      <c r="BI8" s="11" t="s">
        <v>588</v>
      </c>
      <c r="BJ8" s="11" t="s">
        <v>588</v>
      </c>
      <c r="BK8" s="11" t="s">
        <v>588</v>
      </c>
      <c r="BL8" s="11" t="s">
        <v>588</v>
      </c>
      <c r="BM8" s="11">
        <v>4</v>
      </c>
      <c r="BN8" s="11">
        <v>4</v>
      </c>
      <c r="BO8" s="11" t="s">
        <v>41</v>
      </c>
      <c r="BP8" s="11" t="s">
        <v>588</v>
      </c>
      <c r="BQ8" s="11" t="s">
        <v>588</v>
      </c>
      <c r="BR8" s="11" t="s">
        <v>588</v>
      </c>
      <c r="BS8" s="11" t="s">
        <v>8</v>
      </c>
      <c r="BT8" s="11" t="s">
        <v>9</v>
      </c>
      <c r="BU8" s="11" t="s">
        <v>9</v>
      </c>
      <c r="BV8" s="11" t="s">
        <v>8</v>
      </c>
      <c r="BW8" s="11" t="s">
        <v>97</v>
      </c>
      <c r="BX8" s="11" t="s">
        <v>97</v>
      </c>
      <c r="BY8" s="11" t="s">
        <v>588</v>
      </c>
      <c r="BZ8" s="11" t="s">
        <v>588</v>
      </c>
    </row>
    <row r="9" spans="1:78" x14ac:dyDescent="0.25">
      <c r="A9" s="11">
        <v>202021</v>
      </c>
      <c r="B9" s="11" t="s">
        <v>23</v>
      </c>
      <c r="C9" s="11" t="s">
        <v>23</v>
      </c>
      <c r="D9" s="11" t="s">
        <v>61</v>
      </c>
      <c r="E9" s="11" t="s">
        <v>16</v>
      </c>
      <c r="F9" s="11">
        <v>1</v>
      </c>
      <c r="G9" s="11" t="s">
        <v>1011</v>
      </c>
      <c r="H9" s="11" t="s">
        <v>1011</v>
      </c>
      <c r="I9" s="13">
        <v>44125</v>
      </c>
      <c r="J9" s="11">
        <v>21</v>
      </c>
      <c r="K9" s="11">
        <v>10</v>
      </c>
      <c r="L9" s="11">
        <v>2020</v>
      </c>
      <c r="M9" s="11" t="s">
        <v>1137</v>
      </c>
      <c r="N9" s="11" t="s">
        <v>29</v>
      </c>
      <c r="O9" s="11" t="s">
        <v>19</v>
      </c>
      <c r="P9" s="23" t="s">
        <v>588</v>
      </c>
      <c r="Q9" s="23" t="s">
        <v>588</v>
      </c>
      <c r="R9" s="11" t="s">
        <v>588</v>
      </c>
      <c r="S9" s="11" t="s">
        <v>588</v>
      </c>
      <c r="T9" s="11">
        <v>3</v>
      </c>
      <c r="U9" s="11">
        <v>3</v>
      </c>
      <c r="V9" s="11" t="s">
        <v>588</v>
      </c>
      <c r="W9" s="11" t="s">
        <v>588</v>
      </c>
      <c r="X9" s="11">
        <v>11</v>
      </c>
      <c r="Y9" s="11">
        <v>11</v>
      </c>
      <c r="Z9" s="11" t="s">
        <v>8</v>
      </c>
      <c r="AA9" s="13">
        <v>44156</v>
      </c>
      <c r="AB9" s="11">
        <v>21</v>
      </c>
      <c r="AC9" s="11">
        <v>11</v>
      </c>
      <c r="AD9" s="11">
        <v>2020</v>
      </c>
      <c r="AE9" s="13" t="s">
        <v>1138</v>
      </c>
      <c r="AF9" s="11" t="s">
        <v>17</v>
      </c>
      <c r="AG9" s="11" t="s">
        <v>588</v>
      </c>
      <c r="AH9" s="11" t="s">
        <v>588</v>
      </c>
      <c r="AI9" s="11" t="s">
        <v>588</v>
      </c>
      <c r="AJ9" s="11" t="s">
        <v>588</v>
      </c>
      <c r="AK9" s="13" t="s">
        <v>588</v>
      </c>
      <c r="AL9" s="11" t="s">
        <v>588</v>
      </c>
      <c r="AM9" s="11" t="s">
        <v>588</v>
      </c>
      <c r="AN9" s="11" t="s">
        <v>588</v>
      </c>
      <c r="AO9" s="11" t="s">
        <v>588</v>
      </c>
      <c r="AP9" s="13">
        <v>44158</v>
      </c>
      <c r="AQ9" s="11" t="s">
        <v>17</v>
      </c>
      <c r="AR9" s="11" t="s">
        <v>195</v>
      </c>
      <c r="AS9" s="11">
        <v>1</v>
      </c>
      <c r="AT9" s="11">
        <v>3</v>
      </c>
      <c r="AU9" s="13">
        <v>44182</v>
      </c>
      <c r="AV9" s="13">
        <v>44185</v>
      </c>
      <c r="AW9" s="11" t="s">
        <v>7</v>
      </c>
      <c r="AX9" s="11" t="s">
        <v>20</v>
      </c>
      <c r="AY9" s="11" t="s">
        <v>41</v>
      </c>
      <c r="AZ9" s="11" t="s">
        <v>41</v>
      </c>
      <c r="BA9" s="11" t="s">
        <v>588</v>
      </c>
      <c r="BB9" s="11" t="s">
        <v>588</v>
      </c>
      <c r="BC9" s="11" t="s">
        <v>588</v>
      </c>
      <c r="BD9" s="11" t="s">
        <v>588</v>
      </c>
      <c r="BE9" s="11" t="s">
        <v>588</v>
      </c>
      <c r="BF9" s="11" t="s">
        <v>588</v>
      </c>
      <c r="BG9" s="11" t="s">
        <v>588</v>
      </c>
      <c r="BH9" s="11" t="s">
        <v>588</v>
      </c>
      <c r="BI9" s="11" t="s">
        <v>588</v>
      </c>
      <c r="BJ9" s="11" t="s">
        <v>588</v>
      </c>
      <c r="BK9" s="11" t="s">
        <v>588</v>
      </c>
      <c r="BL9" s="11" t="s">
        <v>588</v>
      </c>
      <c r="BM9" s="11">
        <v>12</v>
      </c>
      <c r="BN9" s="11">
        <v>12</v>
      </c>
      <c r="BO9" s="11" t="s">
        <v>41</v>
      </c>
      <c r="BP9" s="11" t="s">
        <v>588</v>
      </c>
      <c r="BQ9" s="11" t="s">
        <v>588</v>
      </c>
      <c r="BR9" s="11" t="s">
        <v>588</v>
      </c>
      <c r="BS9" s="11" t="s">
        <v>8</v>
      </c>
      <c r="BT9" s="11" t="s">
        <v>9</v>
      </c>
      <c r="BU9" s="11" t="s">
        <v>9</v>
      </c>
      <c r="BV9" s="11" t="s">
        <v>8</v>
      </c>
      <c r="BW9" s="11" t="s">
        <v>96</v>
      </c>
      <c r="BX9" s="11" t="s">
        <v>96</v>
      </c>
      <c r="BY9" s="11" t="s">
        <v>588</v>
      </c>
      <c r="BZ9" s="11" t="s">
        <v>588</v>
      </c>
    </row>
    <row r="10" spans="1:78" x14ac:dyDescent="0.25">
      <c r="A10" s="11">
        <v>202021</v>
      </c>
      <c r="B10" s="11" t="s">
        <v>23</v>
      </c>
      <c r="C10" s="11" t="s">
        <v>23</v>
      </c>
      <c r="D10" s="11" t="s">
        <v>61</v>
      </c>
      <c r="E10" s="11" t="s">
        <v>16</v>
      </c>
      <c r="F10" s="11">
        <v>2</v>
      </c>
      <c r="G10" s="11" t="s">
        <v>1012</v>
      </c>
      <c r="H10" s="11" t="s">
        <v>1012</v>
      </c>
      <c r="I10" s="13">
        <v>44197</v>
      </c>
      <c r="J10" s="11">
        <v>1</v>
      </c>
      <c r="K10" s="11">
        <v>1</v>
      </c>
      <c r="L10" s="11">
        <v>2021</v>
      </c>
      <c r="M10" s="11" t="s">
        <v>1139</v>
      </c>
      <c r="N10" s="11" t="s">
        <v>12</v>
      </c>
      <c r="O10" s="11" t="s">
        <v>19</v>
      </c>
      <c r="P10" s="23" t="s">
        <v>588</v>
      </c>
      <c r="Q10" s="23" t="s">
        <v>588</v>
      </c>
      <c r="R10" s="11" t="s">
        <v>588</v>
      </c>
      <c r="S10" s="11" t="s">
        <v>588</v>
      </c>
      <c r="T10" s="11">
        <v>3</v>
      </c>
      <c r="U10" s="11">
        <v>3</v>
      </c>
      <c r="V10" s="13">
        <v>44129</v>
      </c>
      <c r="W10" s="11" t="s">
        <v>223</v>
      </c>
      <c r="X10" s="11">
        <v>5</v>
      </c>
      <c r="Y10" s="11">
        <v>5</v>
      </c>
      <c r="Z10" s="11" t="s">
        <v>41</v>
      </c>
      <c r="AA10" s="13">
        <v>44210</v>
      </c>
      <c r="AB10" s="11">
        <v>14</v>
      </c>
      <c r="AC10" s="11">
        <v>1</v>
      </c>
      <c r="AD10" s="11">
        <v>2021</v>
      </c>
      <c r="AE10" s="13" t="s">
        <v>1095</v>
      </c>
      <c r="AF10" s="11" t="s">
        <v>12</v>
      </c>
      <c r="AG10" s="13">
        <v>44215</v>
      </c>
      <c r="AH10" s="11">
        <v>19</v>
      </c>
      <c r="AI10" s="11">
        <v>1</v>
      </c>
      <c r="AJ10" s="11">
        <v>2021</v>
      </c>
      <c r="AK10" s="13" t="s">
        <v>1090</v>
      </c>
      <c r="AL10" s="11" t="s">
        <v>12</v>
      </c>
      <c r="AM10" s="11" t="s">
        <v>20</v>
      </c>
      <c r="AN10" s="11" t="s">
        <v>41</v>
      </c>
      <c r="AO10" s="11" t="s">
        <v>41</v>
      </c>
      <c r="AP10" s="11" t="s">
        <v>588</v>
      </c>
      <c r="AQ10" s="11" t="s">
        <v>588</v>
      </c>
      <c r="AR10" s="11" t="s">
        <v>588</v>
      </c>
      <c r="AS10" s="11" t="s">
        <v>588</v>
      </c>
      <c r="AT10" s="11" t="s">
        <v>588</v>
      </c>
      <c r="AU10" s="11" t="s">
        <v>588</v>
      </c>
      <c r="AV10" s="11" t="s">
        <v>588</v>
      </c>
      <c r="AW10" s="11" t="s">
        <v>588</v>
      </c>
      <c r="AX10" s="11" t="s">
        <v>588</v>
      </c>
      <c r="AY10" s="11" t="s">
        <v>588</v>
      </c>
      <c r="AZ10" s="11" t="s">
        <v>588</v>
      </c>
      <c r="BA10" s="11" t="s">
        <v>588</v>
      </c>
      <c r="BB10" s="11" t="s">
        <v>588</v>
      </c>
      <c r="BC10" s="11" t="s">
        <v>588</v>
      </c>
      <c r="BD10" s="11" t="s">
        <v>588</v>
      </c>
      <c r="BE10" s="11" t="s">
        <v>588</v>
      </c>
      <c r="BF10" s="11" t="s">
        <v>588</v>
      </c>
      <c r="BG10" s="11" t="s">
        <v>588</v>
      </c>
      <c r="BH10" s="11" t="s">
        <v>588</v>
      </c>
      <c r="BI10" s="11" t="s">
        <v>588</v>
      </c>
      <c r="BJ10" s="11" t="s">
        <v>588</v>
      </c>
      <c r="BK10" s="11" t="s">
        <v>588</v>
      </c>
      <c r="BL10" s="11" t="s">
        <v>588</v>
      </c>
      <c r="BM10" s="11" t="s">
        <v>588</v>
      </c>
      <c r="BN10" s="11" t="s">
        <v>588</v>
      </c>
      <c r="BO10" s="11" t="s">
        <v>588</v>
      </c>
      <c r="BP10" s="11" t="s">
        <v>588</v>
      </c>
      <c r="BQ10" s="11" t="s">
        <v>588</v>
      </c>
      <c r="BR10" s="11" t="s">
        <v>588</v>
      </c>
      <c r="BS10" s="11" t="s">
        <v>8</v>
      </c>
      <c r="BT10" s="11" t="s">
        <v>96</v>
      </c>
      <c r="BU10" s="11" t="s">
        <v>96</v>
      </c>
      <c r="BV10" s="11" t="s">
        <v>588</v>
      </c>
      <c r="BW10" s="11" t="s">
        <v>588</v>
      </c>
      <c r="BX10" s="11" t="s">
        <v>588</v>
      </c>
      <c r="BY10" s="11" t="s">
        <v>588</v>
      </c>
      <c r="BZ10" s="11" t="s">
        <v>588</v>
      </c>
    </row>
    <row r="11" spans="1:78" x14ac:dyDescent="0.25">
      <c r="A11" s="11">
        <v>202021</v>
      </c>
      <c r="B11" s="11" t="s">
        <v>23</v>
      </c>
      <c r="C11" s="11" t="s">
        <v>23</v>
      </c>
      <c r="D11" s="11" t="s">
        <v>61</v>
      </c>
      <c r="E11" s="11" t="s">
        <v>16</v>
      </c>
      <c r="F11" s="11">
        <v>3</v>
      </c>
      <c r="G11" s="11" t="s">
        <v>1013</v>
      </c>
      <c r="H11" s="11" t="s">
        <v>1013</v>
      </c>
      <c r="I11" s="13">
        <v>44223</v>
      </c>
      <c r="J11" s="11">
        <v>27</v>
      </c>
      <c r="K11" s="11">
        <v>1</v>
      </c>
      <c r="L11" s="11">
        <v>2021</v>
      </c>
      <c r="M11" s="11" t="s">
        <v>1117</v>
      </c>
      <c r="N11" s="11" t="s">
        <v>12</v>
      </c>
      <c r="O11" s="11" t="s">
        <v>19</v>
      </c>
      <c r="P11" s="23" t="s">
        <v>588</v>
      </c>
      <c r="Q11" s="23" t="s">
        <v>588</v>
      </c>
      <c r="R11" s="11" t="s">
        <v>588</v>
      </c>
      <c r="S11" s="11" t="s">
        <v>588</v>
      </c>
      <c r="T11" s="11">
        <v>3</v>
      </c>
      <c r="U11" s="11">
        <v>3</v>
      </c>
      <c r="V11" s="13">
        <v>44225</v>
      </c>
      <c r="W11" s="11" t="s">
        <v>223</v>
      </c>
      <c r="X11" s="11">
        <v>9</v>
      </c>
      <c r="Y11" s="11">
        <v>8</v>
      </c>
      <c r="Z11" s="11" t="s">
        <v>8</v>
      </c>
      <c r="AA11" s="13">
        <v>44248</v>
      </c>
      <c r="AB11" s="11">
        <v>21</v>
      </c>
      <c r="AC11" s="11">
        <v>2</v>
      </c>
      <c r="AD11" s="11">
        <v>2021</v>
      </c>
      <c r="AE11" s="13" t="s">
        <v>1140</v>
      </c>
      <c r="AF11" s="11" t="s">
        <v>21</v>
      </c>
      <c r="AG11" s="11" t="s">
        <v>588</v>
      </c>
      <c r="AH11" s="11" t="s">
        <v>588</v>
      </c>
      <c r="AI11" s="11" t="s">
        <v>588</v>
      </c>
      <c r="AJ11" s="11" t="s">
        <v>588</v>
      </c>
      <c r="AK11" s="13" t="s">
        <v>588</v>
      </c>
      <c r="AL11" s="11" t="s">
        <v>588</v>
      </c>
      <c r="AM11" s="11" t="s">
        <v>588</v>
      </c>
      <c r="AN11" s="11" t="s">
        <v>588</v>
      </c>
      <c r="AO11" s="11" t="s">
        <v>588</v>
      </c>
      <c r="AP11" s="13">
        <v>44254</v>
      </c>
      <c r="AQ11" s="11" t="s">
        <v>21</v>
      </c>
      <c r="AR11" s="11" t="s">
        <v>195</v>
      </c>
      <c r="AS11" s="11">
        <v>3</v>
      </c>
      <c r="AT11" s="11">
        <v>3</v>
      </c>
      <c r="AU11" s="13">
        <v>44255</v>
      </c>
      <c r="AV11" s="13">
        <v>44257</v>
      </c>
      <c r="AW11" s="11" t="s">
        <v>22</v>
      </c>
      <c r="AX11" s="11" t="s">
        <v>20</v>
      </c>
      <c r="AY11" s="11" t="s">
        <v>41</v>
      </c>
      <c r="AZ11" s="11" t="s">
        <v>41</v>
      </c>
      <c r="BA11" s="13">
        <v>44257</v>
      </c>
      <c r="BB11" s="13">
        <v>44258</v>
      </c>
      <c r="BC11" s="11" t="s">
        <v>22</v>
      </c>
      <c r="BD11" s="11" t="s">
        <v>20</v>
      </c>
      <c r="BE11" s="11" t="s">
        <v>41</v>
      </c>
      <c r="BF11" s="11" t="s">
        <v>41</v>
      </c>
      <c r="BG11" s="13">
        <v>44283</v>
      </c>
      <c r="BH11" s="13">
        <v>44285</v>
      </c>
      <c r="BI11" s="11" t="s">
        <v>22</v>
      </c>
      <c r="BJ11" s="11" t="s">
        <v>20</v>
      </c>
      <c r="BK11" s="11" t="s">
        <v>41</v>
      </c>
      <c r="BL11" s="11" t="s">
        <v>41</v>
      </c>
      <c r="BM11" s="11">
        <v>36</v>
      </c>
      <c r="BN11" s="11">
        <v>23</v>
      </c>
      <c r="BO11" s="11" t="s">
        <v>41</v>
      </c>
      <c r="BP11" s="11" t="s">
        <v>588</v>
      </c>
      <c r="BQ11" s="11" t="s">
        <v>588</v>
      </c>
      <c r="BR11" s="11" t="s">
        <v>588</v>
      </c>
      <c r="BS11" s="11" t="s">
        <v>8</v>
      </c>
      <c r="BT11" s="11" t="s">
        <v>9</v>
      </c>
      <c r="BU11" s="11" t="s">
        <v>9</v>
      </c>
      <c r="BV11" s="11" t="s">
        <v>8</v>
      </c>
      <c r="BW11" s="11" t="s">
        <v>98</v>
      </c>
      <c r="BX11" s="11" t="s">
        <v>98</v>
      </c>
      <c r="BY11" s="11" t="s">
        <v>588</v>
      </c>
      <c r="BZ11" s="11" t="s">
        <v>588</v>
      </c>
    </row>
    <row r="12" spans="1:78" x14ac:dyDescent="0.25">
      <c r="A12" s="11">
        <v>202021</v>
      </c>
      <c r="B12" s="11" t="s">
        <v>14</v>
      </c>
      <c r="C12" s="11" t="s">
        <v>14</v>
      </c>
      <c r="D12" s="11" t="s">
        <v>82</v>
      </c>
      <c r="E12" s="11" t="s">
        <v>16</v>
      </c>
      <c r="F12" s="11">
        <v>1</v>
      </c>
      <c r="G12" s="11" t="s">
        <v>1014</v>
      </c>
      <c r="H12" s="11" t="s">
        <v>1014</v>
      </c>
      <c r="I12" s="13">
        <v>44188</v>
      </c>
      <c r="J12" s="11">
        <v>23</v>
      </c>
      <c r="K12" s="11">
        <v>12</v>
      </c>
      <c r="L12" s="11">
        <v>2020</v>
      </c>
      <c r="M12" s="11" t="s">
        <v>1116</v>
      </c>
      <c r="N12" s="11" t="s">
        <v>7</v>
      </c>
      <c r="O12" s="11" t="s">
        <v>19</v>
      </c>
      <c r="P12" s="23">
        <v>-38.659829999999999</v>
      </c>
      <c r="Q12" s="23">
        <v>145.58072999999999</v>
      </c>
      <c r="R12" s="11" t="s">
        <v>588</v>
      </c>
      <c r="S12" s="11" t="s">
        <v>588</v>
      </c>
      <c r="T12" s="11">
        <v>2</v>
      </c>
      <c r="U12" s="11">
        <v>3</v>
      </c>
      <c r="V12" s="13">
        <v>45290</v>
      </c>
      <c r="W12" s="11" t="s">
        <v>223</v>
      </c>
      <c r="X12" s="11">
        <v>3</v>
      </c>
      <c r="Y12" s="11">
        <v>3</v>
      </c>
      <c r="Z12" s="11" t="s">
        <v>41</v>
      </c>
      <c r="AA12" s="13">
        <v>44193</v>
      </c>
      <c r="AB12" s="11">
        <v>28</v>
      </c>
      <c r="AC12" s="11">
        <v>12</v>
      </c>
      <c r="AD12" s="11">
        <v>2020</v>
      </c>
      <c r="AE12" s="13" t="s">
        <v>1119</v>
      </c>
      <c r="AF12" s="11" t="s">
        <v>7</v>
      </c>
      <c r="AG12" s="13">
        <v>44203</v>
      </c>
      <c r="AH12" s="11">
        <v>7</v>
      </c>
      <c r="AI12" s="11">
        <v>1</v>
      </c>
      <c r="AJ12" s="11">
        <v>2021</v>
      </c>
      <c r="AK12" s="13" t="s">
        <v>1091</v>
      </c>
      <c r="AL12" s="11" t="s">
        <v>12</v>
      </c>
      <c r="AM12" s="11" t="s">
        <v>20</v>
      </c>
      <c r="AN12" s="11" t="s">
        <v>41</v>
      </c>
      <c r="AO12" s="11" t="s">
        <v>41</v>
      </c>
      <c r="AP12" s="11" t="s">
        <v>588</v>
      </c>
      <c r="AQ12" s="11" t="s">
        <v>588</v>
      </c>
      <c r="AR12" s="11" t="s">
        <v>588</v>
      </c>
      <c r="AS12" s="11" t="s">
        <v>588</v>
      </c>
      <c r="AT12" s="11" t="s">
        <v>588</v>
      </c>
      <c r="AU12" s="11" t="s">
        <v>588</v>
      </c>
      <c r="AV12" s="11" t="s">
        <v>588</v>
      </c>
      <c r="AW12" s="11" t="s">
        <v>588</v>
      </c>
      <c r="AX12" s="11" t="s">
        <v>588</v>
      </c>
      <c r="AY12" s="11" t="s">
        <v>588</v>
      </c>
      <c r="AZ12" s="11" t="s">
        <v>588</v>
      </c>
      <c r="BA12" s="11" t="s">
        <v>588</v>
      </c>
      <c r="BB12" s="11" t="s">
        <v>588</v>
      </c>
      <c r="BC12" s="11" t="s">
        <v>588</v>
      </c>
      <c r="BD12" s="11" t="s">
        <v>588</v>
      </c>
      <c r="BE12" s="11" t="s">
        <v>588</v>
      </c>
      <c r="BF12" s="11" t="s">
        <v>588</v>
      </c>
      <c r="BG12" s="11" t="s">
        <v>588</v>
      </c>
      <c r="BH12" s="11" t="s">
        <v>588</v>
      </c>
      <c r="BI12" s="11" t="s">
        <v>588</v>
      </c>
      <c r="BJ12" s="11" t="s">
        <v>588</v>
      </c>
      <c r="BK12" s="11" t="s">
        <v>588</v>
      </c>
      <c r="BL12" s="11" t="s">
        <v>588</v>
      </c>
      <c r="BM12" s="11" t="s">
        <v>588</v>
      </c>
      <c r="BN12" s="11" t="s">
        <v>588</v>
      </c>
      <c r="BO12" s="11" t="s">
        <v>588</v>
      </c>
      <c r="BP12" s="11" t="s">
        <v>588</v>
      </c>
      <c r="BQ12" s="11" t="s">
        <v>588</v>
      </c>
      <c r="BR12" s="11" t="s">
        <v>588</v>
      </c>
      <c r="BS12" s="11" t="s">
        <v>8</v>
      </c>
      <c r="BT12" s="11" t="s">
        <v>9</v>
      </c>
      <c r="BU12" s="11" t="s">
        <v>9</v>
      </c>
      <c r="BV12" s="11" t="s">
        <v>588</v>
      </c>
      <c r="BW12" s="11" t="s">
        <v>588</v>
      </c>
      <c r="BX12" s="11" t="s">
        <v>588</v>
      </c>
      <c r="BY12" s="11" t="s">
        <v>588</v>
      </c>
      <c r="BZ12" s="11" t="s">
        <v>588</v>
      </c>
    </row>
    <row r="13" spans="1:78" x14ac:dyDescent="0.25">
      <c r="A13" s="11">
        <v>202021</v>
      </c>
      <c r="B13" s="11" t="s">
        <v>460</v>
      </c>
      <c r="C13" s="11" t="s">
        <v>460</v>
      </c>
      <c r="D13" s="11" t="s">
        <v>388</v>
      </c>
      <c r="E13" s="11" t="s">
        <v>267</v>
      </c>
      <c r="F13" s="11">
        <v>1</v>
      </c>
      <c r="G13" s="11" t="s">
        <v>1015</v>
      </c>
      <c r="H13" s="11" t="s">
        <v>1015</v>
      </c>
      <c r="I13" s="13">
        <v>44213</v>
      </c>
      <c r="J13" s="11">
        <v>17</v>
      </c>
      <c r="K13" s="11">
        <v>1</v>
      </c>
      <c r="L13" s="11">
        <v>2021</v>
      </c>
      <c r="M13" s="11" t="s">
        <v>1112</v>
      </c>
      <c r="N13" s="11" t="s">
        <v>12</v>
      </c>
      <c r="O13" s="11" t="s">
        <v>51</v>
      </c>
      <c r="P13" s="23">
        <v>-38.644019999999998</v>
      </c>
      <c r="Q13" s="23">
        <v>145.558153</v>
      </c>
      <c r="R13" s="11" t="s">
        <v>588</v>
      </c>
      <c r="S13" s="11" t="s">
        <v>588</v>
      </c>
      <c r="T13" s="11">
        <v>1</v>
      </c>
      <c r="U13" s="11">
        <v>1</v>
      </c>
      <c r="V13" s="11" t="s">
        <v>588</v>
      </c>
      <c r="W13" s="11" t="s">
        <v>588</v>
      </c>
      <c r="X13" s="11">
        <v>2</v>
      </c>
      <c r="Y13" s="11">
        <v>2</v>
      </c>
      <c r="Z13" s="11" t="s">
        <v>41</v>
      </c>
      <c r="AA13" s="13">
        <v>44213</v>
      </c>
      <c r="AB13" s="11">
        <v>17</v>
      </c>
      <c r="AC13" s="11">
        <v>1</v>
      </c>
      <c r="AD13" s="11">
        <v>2021</v>
      </c>
      <c r="AE13" s="13" t="s">
        <v>1112</v>
      </c>
      <c r="AF13" s="11" t="s">
        <v>12</v>
      </c>
      <c r="AG13" s="13">
        <v>44216</v>
      </c>
      <c r="AH13" s="11">
        <v>20</v>
      </c>
      <c r="AI13" s="11">
        <v>1</v>
      </c>
      <c r="AJ13" s="11">
        <v>2021</v>
      </c>
      <c r="AK13" s="13" t="s">
        <v>1092</v>
      </c>
      <c r="AL13" s="11" t="s">
        <v>12</v>
      </c>
      <c r="AM13" s="11" t="s">
        <v>20</v>
      </c>
      <c r="AN13" s="11" t="s">
        <v>41</v>
      </c>
      <c r="AO13" s="11" t="s">
        <v>41</v>
      </c>
      <c r="AP13" s="11" t="s">
        <v>588</v>
      </c>
      <c r="AQ13" s="11" t="s">
        <v>588</v>
      </c>
      <c r="AR13" s="11" t="s">
        <v>588</v>
      </c>
      <c r="AS13" s="11" t="s">
        <v>588</v>
      </c>
      <c r="AT13" s="11" t="s">
        <v>588</v>
      </c>
      <c r="AU13" s="11" t="s">
        <v>588</v>
      </c>
      <c r="AV13" s="11" t="s">
        <v>588</v>
      </c>
      <c r="AW13" s="11" t="s">
        <v>588</v>
      </c>
      <c r="AX13" s="11" t="s">
        <v>588</v>
      </c>
      <c r="AY13" s="11" t="s">
        <v>588</v>
      </c>
      <c r="AZ13" s="11" t="s">
        <v>588</v>
      </c>
      <c r="BA13" s="11" t="s">
        <v>588</v>
      </c>
      <c r="BB13" s="11" t="s">
        <v>588</v>
      </c>
      <c r="BC13" s="11" t="s">
        <v>588</v>
      </c>
      <c r="BD13" s="11" t="s">
        <v>588</v>
      </c>
      <c r="BE13" s="11" t="s">
        <v>588</v>
      </c>
      <c r="BF13" s="11" t="s">
        <v>588</v>
      </c>
      <c r="BG13" s="11" t="s">
        <v>588</v>
      </c>
      <c r="BH13" s="11" t="s">
        <v>588</v>
      </c>
      <c r="BI13" s="11" t="s">
        <v>588</v>
      </c>
      <c r="BJ13" s="11" t="s">
        <v>588</v>
      </c>
      <c r="BK13" s="11" t="s">
        <v>588</v>
      </c>
      <c r="BL13" s="11" t="s">
        <v>588</v>
      </c>
      <c r="BM13" s="11" t="s">
        <v>588</v>
      </c>
      <c r="BN13" s="11" t="s">
        <v>588</v>
      </c>
      <c r="BO13" s="11" t="s">
        <v>588</v>
      </c>
      <c r="BP13" s="11" t="s">
        <v>588</v>
      </c>
      <c r="BQ13" s="11" t="s">
        <v>588</v>
      </c>
      <c r="BR13" s="11" t="s">
        <v>588</v>
      </c>
      <c r="BS13" s="11" t="s">
        <v>41</v>
      </c>
      <c r="BT13" s="11" t="s">
        <v>42</v>
      </c>
      <c r="BU13" s="11" t="s">
        <v>42</v>
      </c>
      <c r="BV13" s="11" t="s">
        <v>588</v>
      </c>
      <c r="BW13" s="11" t="s">
        <v>588</v>
      </c>
      <c r="BX13" s="11" t="s">
        <v>588</v>
      </c>
      <c r="BY13" s="11" t="s">
        <v>588</v>
      </c>
      <c r="BZ13" s="11" t="s">
        <v>588</v>
      </c>
    </row>
    <row r="14" spans="1:78" x14ac:dyDescent="0.25">
      <c r="A14" s="11">
        <v>202021</v>
      </c>
      <c r="B14" s="11" t="s">
        <v>269</v>
      </c>
      <c r="C14" s="11" t="s">
        <v>269</v>
      </c>
      <c r="D14" s="11" t="s">
        <v>270</v>
      </c>
      <c r="E14" s="11" t="s">
        <v>16</v>
      </c>
      <c r="F14" s="11">
        <v>1</v>
      </c>
      <c r="G14" s="11" t="s">
        <v>1016</v>
      </c>
      <c r="H14" s="11" t="s">
        <v>1016</v>
      </c>
      <c r="I14" s="13">
        <v>44193</v>
      </c>
      <c r="J14" s="11">
        <v>28</v>
      </c>
      <c r="K14" s="11">
        <v>12</v>
      </c>
      <c r="L14" s="11">
        <v>2020</v>
      </c>
      <c r="M14" s="11" t="s">
        <v>1119</v>
      </c>
      <c r="N14" s="11" t="s">
        <v>7</v>
      </c>
      <c r="O14" s="11" t="s">
        <v>10</v>
      </c>
      <c r="P14" s="23">
        <v>-38.631542000000003</v>
      </c>
      <c r="Q14" s="23">
        <v>145.55062699999999</v>
      </c>
      <c r="R14" s="11" t="s">
        <v>588</v>
      </c>
      <c r="S14" s="11" t="s">
        <v>588</v>
      </c>
      <c r="T14" s="11">
        <v>2</v>
      </c>
      <c r="U14" s="11">
        <v>3</v>
      </c>
      <c r="V14" s="11" t="s">
        <v>588</v>
      </c>
      <c r="W14" s="11" t="s">
        <v>588</v>
      </c>
      <c r="X14" s="11">
        <v>3</v>
      </c>
      <c r="Y14" s="11">
        <v>3</v>
      </c>
      <c r="Z14" s="11" t="s">
        <v>41</v>
      </c>
      <c r="AA14" s="13">
        <v>44202</v>
      </c>
      <c r="AB14" s="11">
        <v>6</v>
      </c>
      <c r="AC14" s="11">
        <v>1</v>
      </c>
      <c r="AD14" s="11">
        <v>2021</v>
      </c>
      <c r="AE14" s="13" t="s">
        <v>1104</v>
      </c>
      <c r="AF14" s="11" t="s">
        <v>12</v>
      </c>
      <c r="AG14" s="13">
        <v>44227</v>
      </c>
      <c r="AH14" s="11">
        <v>31</v>
      </c>
      <c r="AI14" s="11">
        <v>1</v>
      </c>
      <c r="AJ14" s="11">
        <v>2021</v>
      </c>
      <c r="AK14" s="13" t="s">
        <v>1093</v>
      </c>
      <c r="AL14" s="11" t="s">
        <v>12</v>
      </c>
      <c r="AM14" s="11" t="s">
        <v>20</v>
      </c>
      <c r="AN14" s="11" t="s">
        <v>41</v>
      </c>
      <c r="AO14" s="11" t="s">
        <v>41</v>
      </c>
      <c r="AP14" s="11" t="s">
        <v>588</v>
      </c>
      <c r="AQ14" s="11" t="s">
        <v>588</v>
      </c>
      <c r="AR14" s="11" t="s">
        <v>588</v>
      </c>
      <c r="AS14" s="11" t="s">
        <v>588</v>
      </c>
      <c r="AT14" s="11" t="s">
        <v>588</v>
      </c>
      <c r="AU14" s="11" t="s">
        <v>588</v>
      </c>
      <c r="AV14" s="11" t="s">
        <v>588</v>
      </c>
      <c r="AW14" s="11" t="s">
        <v>588</v>
      </c>
      <c r="AX14" s="11" t="s">
        <v>588</v>
      </c>
      <c r="AY14" s="11" t="s">
        <v>588</v>
      </c>
      <c r="AZ14" s="11" t="s">
        <v>588</v>
      </c>
      <c r="BA14" s="11" t="s">
        <v>588</v>
      </c>
      <c r="BB14" s="11" t="s">
        <v>588</v>
      </c>
      <c r="BC14" s="11" t="s">
        <v>588</v>
      </c>
      <c r="BD14" s="11" t="s">
        <v>588</v>
      </c>
      <c r="BE14" s="11" t="s">
        <v>588</v>
      </c>
      <c r="BF14" s="11" t="s">
        <v>588</v>
      </c>
      <c r="BG14" s="11" t="s">
        <v>588</v>
      </c>
      <c r="BH14" s="11" t="s">
        <v>588</v>
      </c>
      <c r="BI14" s="11" t="s">
        <v>588</v>
      </c>
      <c r="BJ14" s="11" t="s">
        <v>588</v>
      </c>
      <c r="BK14" s="11" t="s">
        <v>588</v>
      </c>
      <c r="BL14" s="11" t="s">
        <v>588</v>
      </c>
      <c r="BM14" s="11" t="s">
        <v>588</v>
      </c>
      <c r="BN14" s="11" t="s">
        <v>588</v>
      </c>
      <c r="BO14" s="11" t="s">
        <v>588</v>
      </c>
      <c r="BP14" s="11" t="s">
        <v>588</v>
      </c>
      <c r="BQ14" s="11" t="s">
        <v>588</v>
      </c>
      <c r="BR14" s="11" t="s">
        <v>588</v>
      </c>
      <c r="BS14" s="11" t="s">
        <v>41</v>
      </c>
      <c r="BT14" s="11" t="s">
        <v>42</v>
      </c>
      <c r="BU14" s="11" t="s">
        <v>42</v>
      </c>
      <c r="BV14" s="11" t="s">
        <v>588</v>
      </c>
      <c r="BW14" s="11" t="s">
        <v>588</v>
      </c>
      <c r="BX14" s="11" t="s">
        <v>588</v>
      </c>
      <c r="BY14" s="11" t="s">
        <v>588</v>
      </c>
      <c r="BZ14" s="11" t="s">
        <v>588</v>
      </c>
    </row>
    <row r="15" spans="1:78" x14ac:dyDescent="0.25">
      <c r="A15" s="11">
        <v>202021</v>
      </c>
      <c r="B15" s="11" t="s">
        <v>284</v>
      </c>
      <c r="C15" s="11" t="s">
        <v>284</v>
      </c>
      <c r="D15" s="11" t="s">
        <v>285</v>
      </c>
      <c r="E15" s="11" t="s">
        <v>16</v>
      </c>
      <c r="F15" s="11">
        <v>1</v>
      </c>
      <c r="G15" s="11" t="s">
        <v>1017</v>
      </c>
      <c r="H15" s="11" t="s">
        <v>1017</v>
      </c>
      <c r="I15" s="13">
        <v>44174</v>
      </c>
      <c r="J15" s="11">
        <v>9</v>
      </c>
      <c r="K15" s="11">
        <v>12</v>
      </c>
      <c r="L15" s="11">
        <v>2020</v>
      </c>
      <c r="M15" s="11" t="s">
        <v>1135</v>
      </c>
      <c r="N15" s="11" t="s">
        <v>7</v>
      </c>
      <c r="O15" s="11" t="s">
        <v>51</v>
      </c>
      <c r="P15" s="23">
        <v>-38.586604999999999</v>
      </c>
      <c r="Q15" s="23">
        <v>145.51469499999999</v>
      </c>
      <c r="R15" s="11" t="s">
        <v>588</v>
      </c>
      <c r="S15" s="11" t="s">
        <v>588</v>
      </c>
      <c r="T15" s="11">
        <v>1</v>
      </c>
      <c r="U15" s="11">
        <v>3</v>
      </c>
      <c r="V15" s="11" t="s">
        <v>588</v>
      </c>
      <c r="W15" s="11" t="s">
        <v>588</v>
      </c>
      <c r="X15" s="11">
        <v>2</v>
      </c>
      <c r="Y15" s="11">
        <v>2</v>
      </c>
      <c r="Z15" s="11" t="s">
        <v>41</v>
      </c>
      <c r="AA15" s="13">
        <v>44174</v>
      </c>
      <c r="AB15" s="11">
        <v>9</v>
      </c>
      <c r="AC15" s="11">
        <v>12</v>
      </c>
      <c r="AD15" s="11">
        <v>2020</v>
      </c>
      <c r="AE15" s="13" t="s">
        <v>1135</v>
      </c>
      <c r="AF15" s="11" t="s">
        <v>7</v>
      </c>
      <c r="AG15" s="13">
        <v>44177</v>
      </c>
      <c r="AH15" s="11">
        <v>12</v>
      </c>
      <c r="AI15" s="11">
        <v>12</v>
      </c>
      <c r="AJ15" s="11">
        <v>2020</v>
      </c>
      <c r="AK15" s="13" t="s">
        <v>1094</v>
      </c>
      <c r="AL15" s="11" t="s">
        <v>7</v>
      </c>
      <c r="AM15" s="11" t="s">
        <v>20</v>
      </c>
      <c r="AN15" s="11" t="s">
        <v>41</v>
      </c>
      <c r="AO15" s="11" t="s">
        <v>41</v>
      </c>
      <c r="AP15" s="11" t="s">
        <v>588</v>
      </c>
      <c r="AQ15" s="11" t="s">
        <v>588</v>
      </c>
      <c r="AR15" s="11" t="s">
        <v>588</v>
      </c>
      <c r="AS15" s="11" t="s">
        <v>588</v>
      </c>
      <c r="AT15" s="11" t="s">
        <v>588</v>
      </c>
      <c r="AU15" s="11" t="s">
        <v>588</v>
      </c>
      <c r="AV15" s="11" t="s">
        <v>588</v>
      </c>
      <c r="AW15" s="11" t="s">
        <v>588</v>
      </c>
      <c r="AX15" s="11" t="s">
        <v>588</v>
      </c>
      <c r="AY15" s="11" t="s">
        <v>588</v>
      </c>
      <c r="AZ15" s="11" t="s">
        <v>588</v>
      </c>
      <c r="BA15" s="11" t="s">
        <v>588</v>
      </c>
      <c r="BB15" s="11" t="s">
        <v>588</v>
      </c>
      <c r="BC15" s="11" t="s">
        <v>588</v>
      </c>
      <c r="BD15" s="11" t="s">
        <v>588</v>
      </c>
      <c r="BE15" s="11" t="s">
        <v>588</v>
      </c>
      <c r="BF15" s="11" t="s">
        <v>588</v>
      </c>
      <c r="BG15" s="11" t="s">
        <v>588</v>
      </c>
      <c r="BH15" s="11" t="s">
        <v>588</v>
      </c>
      <c r="BI15" s="11" t="s">
        <v>588</v>
      </c>
      <c r="BJ15" s="11" t="s">
        <v>588</v>
      </c>
      <c r="BK15" s="11" t="s">
        <v>588</v>
      </c>
      <c r="BL15" s="11" t="s">
        <v>588</v>
      </c>
      <c r="BM15" s="11" t="s">
        <v>588</v>
      </c>
      <c r="BN15" s="11" t="s">
        <v>588</v>
      </c>
      <c r="BO15" s="11" t="s">
        <v>588</v>
      </c>
      <c r="BP15" s="11" t="s">
        <v>588</v>
      </c>
      <c r="BQ15" s="11" t="s">
        <v>588</v>
      </c>
      <c r="BR15" s="11" t="s">
        <v>588</v>
      </c>
      <c r="BS15" s="11" t="s">
        <v>41</v>
      </c>
      <c r="BT15" s="11" t="s">
        <v>42</v>
      </c>
      <c r="BU15" s="11" t="s">
        <v>42</v>
      </c>
      <c r="BV15" s="11" t="s">
        <v>588</v>
      </c>
      <c r="BW15" s="11" t="s">
        <v>588</v>
      </c>
      <c r="BX15" s="11" t="s">
        <v>588</v>
      </c>
      <c r="BY15" s="11" t="s">
        <v>588</v>
      </c>
      <c r="BZ15" s="11" t="s">
        <v>588</v>
      </c>
    </row>
    <row r="16" spans="1:78" x14ac:dyDescent="0.25">
      <c r="A16" s="11">
        <v>202021</v>
      </c>
      <c r="B16" s="11" t="s">
        <v>284</v>
      </c>
      <c r="C16" s="11" t="s">
        <v>284</v>
      </c>
      <c r="D16" s="11" t="s">
        <v>285</v>
      </c>
      <c r="E16" s="11" t="s">
        <v>16</v>
      </c>
      <c r="F16" s="11">
        <v>2</v>
      </c>
      <c r="G16" s="11" t="s">
        <v>1018</v>
      </c>
      <c r="H16" s="11" t="s">
        <v>1018</v>
      </c>
      <c r="I16" s="13">
        <v>44207</v>
      </c>
      <c r="J16" s="11">
        <v>11</v>
      </c>
      <c r="K16" s="11">
        <v>1</v>
      </c>
      <c r="L16" s="11">
        <v>2021</v>
      </c>
      <c r="M16" s="11" t="s">
        <v>1085</v>
      </c>
      <c r="N16" s="11" t="s">
        <v>12</v>
      </c>
      <c r="O16" s="11" t="s">
        <v>51</v>
      </c>
      <c r="P16" s="23">
        <v>-38.589194999999997</v>
      </c>
      <c r="Q16" s="23">
        <v>145.51688200000001</v>
      </c>
      <c r="R16" s="11" t="s">
        <v>588</v>
      </c>
      <c r="S16" s="11" t="s">
        <v>588</v>
      </c>
      <c r="T16" s="11">
        <v>3</v>
      </c>
      <c r="U16" s="11">
        <v>3</v>
      </c>
      <c r="V16" s="11" t="s">
        <v>588</v>
      </c>
      <c r="W16" s="11" t="s">
        <v>588</v>
      </c>
      <c r="X16" s="11">
        <v>2</v>
      </c>
      <c r="Y16" s="11">
        <v>2</v>
      </c>
      <c r="Z16" s="11" t="s">
        <v>41</v>
      </c>
      <c r="AA16" s="13">
        <v>44207</v>
      </c>
      <c r="AB16" s="11">
        <v>11</v>
      </c>
      <c r="AC16" s="11">
        <v>1</v>
      </c>
      <c r="AD16" s="11">
        <v>2021</v>
      </c>
      <c r="AE16" s="13" t="s">
        <v>1085</v>
      </c>
      <c r="AF16" s="11" t="s">
        <v>12</v>
      </c>
      <c r="AG16" s="13">
        <v>44210</v>
      </c>
      <c r="AH16" s="11">
        <v>14</v>
      </c>
      <c r="AI16" s="11">
        <v>1</v>
      </c>
      <c r="AJ16" s="11">
        <v>2021</v>
      </c>
      <c r="AK16" s="13" t="s">
        <v>1095</v>
      </c>
      <c r="AL16" s="11" t="s">
        <v>12</v>
      </c>
      <c r="AM16" s="11" t="s">
        <v>20</v>
      </c>
      <c r="AN16" s="11" t="s">
        <v>41</v>
      </c>
      <c r="AO16" s="11" t="s">
        <v>41</v>
      </c>
      <c r="AP16" s="11" t="s">
        <v>588</v>
      </c>
      <c r="AQ16" s="11" t="s">
        <v>588</v>
      </c>
      <c r="AR16" s="11" t="s">
        <v>588</v>
      </c>
      <c r="AS16" s="11" t="s">
        <v>588</v>
      </c>
      <c r="AT16" s="11" t="s">
        <v>588</v>
      </c>
      <c r="AU16" s="11" t="s">
        <v>588</v>
      </c>
      <c r="AV16" s="11" t="s">
        <v>588</v>
      </c>
      <c r="AW16" s="11" t="s">
        <v>588</v>
      </c>
      <c r="AX16" s="11" t="s">
        <v>588</v>
      </c>
      <c r="AY16" s="11" t="s">
        <v>588</v>
      </c>
      <c r="AZ16" s="11" t="s">
        <v>588</v>
      </c>
      <c r="BA16" s="11" t="s">
        <v>588</v>
      </c>
      <c r="BB16" s="11" t="s">
        <v>588</v>
      </c>
      <c r="BC16" s="11" t="s">
        <v>588</v>
      </c>
      <c r="BD16" s="11" t="s">
        <v>588</v>
      </c>
      <c r="BE16" s="11" t="s">
        <v>588</v>
      </c>
      <c r="BF16" s="11" t="s">
        <v>588</v>
      </c>
      <c r="BG16" s="11" t="s">
        <v>588</v>
      </c>
      <c r="BH16" s="11" t="s">
        <v>588</v>
      </c>
      <c r="BI16" s="11" t="s">
        <v>588</v>
      </c>
      <c r="BJ16" s="11" t="s">
        <v>588</v>
      </c>
      <c r="BK16" s="11" t="s">
        <v>588</v>
      </c>
      <c r="BL16" s="11" t="s">
        <v>588</v>
      </c>
      <c r="BM16" s="11" t="s">
        <v>588</v>
      </c>
      <c r="BN16" s="11" t="s">
        <v>588</v>
      </c>
      <c r="BO16" s="11" t="s">
        <v>588</v>
      </c>
      <c r="BP16" s="11" t="s">
        <v>588</v>
      </c>
      <c r="BQ16" s="11" t="s">
        <v>588</v>
      </c>
      <c r="BR16" s="11" t="s">
        <v>588</v>
      </c>
      <c r="BS16" s="11" t="s">
        <v>41</v>
      </c>
      <c r="BT16" s="11" t="s">
        <v>42</v>
      </c>
      <c r="BU16" s="11" t="s">
        <v>42</v>
      </c>
      <c r="BV16" s="11" t="s">
        <v>588</v>
      </c>
      <c r="BW16" s="11" t="s">
        <v>588</v>
      </c>
      <c r="BX16" s="11" t="s">
        <v>588</v>
      </c>
      <c r="BY16" s="11" t="s">
        <v>588</v>
      </c>
      <c r="BZ16" s="11" t="s">
        <v>588</v>
      </c>
    </row>
    <row r="17" spans="1:78" x14ac:dyDescent="0.25">
      <c r="A17" s="11">
        <v>202021</v>
      </c>
      <c r="B17" s="11" t="s">
        <v>284</v>
      </c>
      <c r="C17" s="11" t="s">
        <v>284</v>
      </c>
      <c r="D17" s="11" t="s">
        <v>285</v>
      </c>
      <c r="E17" s="11" t="s">
        <v>16</v>
      </c>
      <c r="F17" s="11">
        <v>3</v>
      </c>
      <c r="G17" s="11" t="s">
        <v>1019</v>
      </c>
      <c r="H17" s="11" t="s">
        <v>1019</v>
      </c>
      <c r="I17" s="13">
        <v>44221</v>
      </c>
      <c r="J17" s="11">
        <v>25</v>
      </c>
      <c r="K17" s="11">
        <v>1</v>
      </c>
      <c r="L17" s="11">
        <v>2021</v>
      </c>
      <c r="M17" s="11" t="s">
        <v>1141</v>
      </c>
      <c r="N17" s="11" t="s">
        <v>12</v>
      </c>
      <c r="O17" s="11" t="s">
        <v>10</v>
      </c>
      <c r="P17" s="11" t="s">
        <v>588</v>
      </c>
      <c r="Q17" s="11" t="s">
        <v>588</v>
      </c>
      <c r="R17" s="11" t="s">
        <v>588</v>
      </c>
      <c r="S17" s="11" t="s">
        <v>588</v>
      </c>
      <c r="T17" s="11">
        <v>3</v>
      </c>
      <c r="U17" s="11">
        <v>3</v>
      </c>
      <c r="V17" s="13">
        <v>44223</v>
      </c>
      <c r="W17" s="11" t="s">
        <v>223</v>
      </c>
      <c r="X17" s="11">
        <v>6</v>
      </c>
      <c r="Y17" s="11">
        <v>6</v>
      </c>
      <c r="Z17" s="11" t="s">
        <v>8</v>
      </c>
      <c r="AA17" s="13">
        <v>44245</v>
      </c>
      <c r="AB17" s="11">
        <v>18</v>
      </c>
      <c r="AC17" s="11">
        <v>2</v>
      </c>
      <c r="AD17" s="11">
        <v>2021</v>
      </c>
      <c r="AE17" s="13" t="s">
        <v>1125</v>
      </c>
      <c r="AF17" s="11" t="s">
        <v>21</v>
      </c>
      <c r="AG17" s="11" t="s">
        <v>588</v>
      </c>
      <c r="AH17" s="11" t="s">
        <v>588</v>
      </c>
      <c r="AI17" s="11" t="s">
        <v>588</v>
      </c>
      <c r="AJ17" s="11" t="s">
        <v>588</v>
      </c>
      <c r="AK17" s="13" t="s">
        <v>588</v>
      </c>
      <c r="AL17" s="11" t="s">
        <v>588</v>
      </c>
      <c r="AM17" s="11" t="s">
        <v>588</v>
      </c>
      <c r="AN17" s="11" t="s">
        <v>588</v>
      </c>
      <c r="AO17" s="11" t="s">
        <v>588</v>
      </c>
      <c r="AP17" s="13">
        <v>44253</v>
      </c>
      <c r="AQ17" s="11" t="s">
        <v>21</v>
      </c>
      <c r="AR17" s="11" t="s">
        <v>195</v>
      </c>
      <c r="AS17" s="11">
        <v>1</v>
      </c>
      <c r="AT17" s="11">
        <v>3</v>
      </c>
      <c r="AU17" s="13">
        <v>44256</v>
      </c>
      <c r="AV17" s="13">
        <v>44266</v>
      </c>
      <c r="AW17" s="11" t="s">
        <v>22</v>
      </c>
      <c r="AX17" s="11" t="s">
        <v>20</v>
      </c>
      <c r="AY17" s="11" t="s">
        <v>41</v>
      </c>
      <c r="AZ17" s="11" t="s">
        <v>41</v>
      </c>
      <c r="BA17" s="11" t="s">
        <v>588</v>
      </c>
      <c r="BB17" s="11" t="s">
        <v>588</v>
      </c>
      <c r="BC17" s="11" t="s">
        <v>588</v>
      </c>
      <c r="BD17" s="11" t="s">
        <v>588</v>
      </c>
      <c r="BE17" s="11" t="s">
        <v>588</v>
      </c>
      <c r="BF17" s="11" t="s">
        <v>588</v>
      </c>
      <c r="BG17" s="11" t="s">
        <v>588</v>
      </c>
      <c r="BH17" s="11" t="s">
        <v>588</v>
      </c>
      <c r="BI17" s="11" t="s">
        <v>588</v>
      </c>
      <c r="BJ17" s="11" t="s">
        <v>588</v>
      </c>
      <c r="BK17" s="11" t="s">
        <v>588</v>
      </c>
      <c r="BL17" s="11" t="s">
        <v>588</v>
      </c>
      <c r="BM17" s="11">
        <v>3</v>
      </c>
      <c r="BN17" s="11">
        <v>3</v>
      </c>
      <c r="BO17" s="11" t="s">
        <v>41</v>
      </c>
      <c r="BP17" s="11" t="s">
        <v>588</v>
      </c>
      <c r="BQ17" s="11" t="s">
        <v>588</v>
      </c>
      <c r="BR17" s="11" t="s">
        <v>588</v>
      </c>
      <c r="BS17" s="11" t="s">
        <v>8</v>
      </c>
      <c r="BT17" s="11" t="s">
        <v>13</v>
      </c>
      <c r="BU17" s="11" t="s">
        <v>13</v>
      </c>
      <c r="BV17" s="11" t="s">
        <v>8</v>
      </c>
      <c r="BW17" s="11" t="s">
        <v>13</v>
      </c>
      <c r="BX17" s="11" t="s">
        <v>13</v>
      </c>
      <c r="BY17" s="11" t="s">
        <v>588</v>
      </c>
      <c r="BZ17" s="11" t="s">
        <v>588</v>
      </c>
    </row>
    <row r="18" spans="1:78" x14ac:dyDescent="0.25">
      <c r="A18" s="11">
        <v>202021</v>
      </c>
      <c r="B18" s="11" t="s">
        <v>73</v>
      </c>
      <c r="C18" s="11" t="s">
        <v>73</v>
      </c>
      <c r="D18" s="11" t="s">
        <v>87</v>
      </c>
      <c r="E18" s="11" t="s">
        <v>16</v>
      </c>
      <c r="F18" s="11">
        <v>1</v>
      </c>
      <c r="G18" s="11" t="s">
        <v>1020</v>
      </c>
      <c r="H18" s="11" t="s">
        <v>1020</v>
      </c>
      <c r="I18" s="13">
        <v>44150</v>
      </c>
      <c r="J18" s="11">
        <v>15</v>
      </c>
      <c r="K18" s="11">
        <v>11</v>
      </c>
      <c r="L18" s="11">
        <v>2020</v>
      </c>
      <c r="M18" s="11" t="s">
        <v>1142</v>
      </c>
      <c r="N18" s="11" t="s">
        <v>17</v>
      </c>
      <c r="O18" s="11" t="s">
        <v>36</v>
      </c>
      <c r="P18" s="23">
        <v>-38.640624000000003</v>
      </c>
      <c r="Q18" s="23">
        <v>145.718279</v>
      </c>
      <c r="R18" s="11" t="s">
        <v>588</v>
      </c>
      <c r="S18" s="11" t="s">
        <v>588</v>
      </c>
      <c r="T18" s="11">
        <v>2</v>
      </c>
      <c r="U18" s="11">
        <v>3</v>
      </c>
      <c r="V18" s="11" t="s">
        <v>588</v>
      </c>
      <c r="W18" s="11" t="s">
        <v>588</v>
      </c>
      <c r="X18" s="11">
        <v>5</v>
      </c>
      <c r="Y18" s="11">
        <v>5</v>
      </c>
      <c r="Z18" s="11" t="s">
        <v>41</v>
      </c>
      <c r="AA18" s="13">
        <v>44156</v>
      </c>
      <c r="AB18" s="11">
        <v>21</v>
      </c>
      <c r="AC18" s="11">
        <v>11</v>
      </c>
      <c r="AD18" s="11">
        <v>2020</v>
      </c>
      <c r="AE18" s="13" t="s">
        <v>1138</v>
      </c>
      <c r="AF18" s="11" t="s">
        <v>17</v>
      </c>
      <c r="AG18" s="13">
        <v>44157</v>
      </c>
      <c r="AH18" s="11">
        <v>22</v>
      </c>
      <c r="AI18" s="11">
        <v>11</v>
      </c>
      <c r="AJ18" s="11">
        <v>2020</v>
      </c>
      <c r="AK18" s="13" t="s">
        <v>1096</v>
      </c>
      <c r="AL18" s="11" t="s">
        <v>17</v>
      </c>
      <c r="AM18" s="11" t="s">
        <v>20</v>
      </c>
      <c r="AN18" s="11" t="s">
        <v>8</v>
      </c>
      <c r="AO18" s="11" t="s">
        <v>1021</v>
      </c>
      <c r="AP18" s="11" t="s">
        <v>588</v>
      </c>
      <c r="AQ18" s="11" t="s">
        <v>588</v>
      </c>
      <c r="AR18" s="11" t="s">
        <v>588</v>
      </c>
      <c r="AS18" s="11" t="s">
        <v>588</v>
      </c>
      <c r="AT18" s="11" t="s">
        <v>588</v>
      </c>
      <c r="AU18" s="11" t="s">
        <v>588</v>
      </c>
      <c r="AV18" s="11" t="s">
        <v>588</v>
      </c>
      <c r="AW18" s="11" t="s">
        <v>588</v>
      </c>
      <c r="AX18" s="11" t="s">
        <v>588</v>
      </c>
      <c r="AY18" s="11" t="s">
        <v>588</v>
      </c>
      <c r="AZ18" s="11" t="s">
        <v>588</v>
      </c>
      <c r="BA18" s="11" t="s">
        <v>588</v>
      </c>
      <c r="BB18" s="11" t="s">
        <v>588</v>
      </c>
      <c r="BC18" s="11" t="s">
        <v>588</v>
      </c>
      <c r="BD18" s="11" t="s">
        <v>588</v>
      </c>
      <c r="BE18" s="11" t="s">
        <v>588</v>
      </c>
      <c r="BF18" s="11" t="s">
        <v>588</v>
      </c>
      <c r="BG18" s="11" t="s">
        <v>588</v>
      </c>
      <c r="BH18" s="11" t="s">
        <v>588</v>
      </c>
      <c r="BI18" s="11" t="s">
        <v>588</v>
      </c>
      <c r="BJ18" s="11" t="s">
        <v>588</v>
      </c>
      <c r="BK18" s="11" t="s">
        <v>588</v>
      </c>
      <c r="BL18" s="11" t="s">
        <v>588</v>
      </c>
      <c r="BM18" s="11" t="s">
        <v>588</v>
      </c>
      <c r="BN18" s="11" t="s">
        <v>588</v>
      </c>
      <c r="BO18" s="11" t="s">
        <v>588</v>
      </c>
      <c r="BP18" s="11" t="s">
        <v>588</v>
      </c>
      <c r="BQ18" s="11" t="s">
        <v>588</v>
      </c>
      <c r="BR18" s="11" t="s">
        <v>588</v>
      </c>
      <c r="BS18" s="11" t="s">
        <v>8</v>
      </c>
      <c r="BT18" s="11" t="s">
        <v>13</v>
      </c>
      <c r="BU18" s="11" t="s">
        <v>13</v>
      </c>
      <c r="BV18" s="11" t="s">
        <v>588</v>
      </c>
      <c r="BW18" s="11" t="s">
        <v>588</v>
      </c>
      <c r="BX18" s="11" t="s">
        <v>588</v>
      </c>
      <c r="BY18" s="11" t="s">
        <v>588</v>
      </c>
      <c r="BZ18" s="11" t="s">
        <v>588</v>
      </c>
    </row>
    <row r="19" spans="1:78" x14ac:dyDescent="0.25">
      <c r="A19" s="11">
        <v>202021</v>
      </c>
      <c r="B19" s="11" t="s">
        <v>73</v>
      </c>
      <c r="C19" s="11" t="s">
        <v>73</v>
      </c>
      <c r="D19" s="11" t="s">
        <v>87</v>
      </c>
      <c r="E19" s="11" t="s">
        <v>16</v>
      </c>
      <c r="F19" s="11">
        <v>2</v>
      </c>
      <c r="G19" s="11" t="s">
        <v>1022</v>
      </c>
      <c r="H19" s="11" t="s">
        <v>1022</v>
      </c>
      <c r="I19" s="13">
        <v>44170</v>
      </c>
      <c r="J19" s="11">
        <v>5</v>
      </c>
      <c r="K19" s="11">
        <v>12</v>
      </c>
      <c r="L19" s="11">
        <v>2020</v>
      </c>
      <c r="M19" s="11" t="s">
        <v>1143</v>
      </c>
      <c r="N19" s="11" t="s">
        <v>7</v>
      </c>
      <c r="O19" s="11" t="s">
        <v>10</v>
      </c>
      <c r="P19" s="23">
        <v>-38.640819999999998</v>
      </c>
      <c r="Q19" s="23">
        <v>145.72103999999999</v>
      </c>
      <c r="R19" s="11" t="s">
        <v>588</v>
      </c>
      <c r="S19" s="11" t="s">
        <v>588</v>
      </c>
      <c r="T19" s="11">
        <v>3</v>
      </c>
      <c r="U19" s="11">
        <v>3</v>
      </c>
      <c r="V19" s="11" t="s">
        <v>588</v>
      </c>
      <c r="W19" s="11" t="s">
        <v>588</v>
      </c>
      <c r="X19" s="11">
        <v>2</v>
      </c>
      <c r="Y19" s="11">
        <v>2</v>
      </c>
      <c r="Z19" s="11" t="s">
        <v>41</v>
      </c>
      <c r="AA19" s="13">
        <v>44170</v>
      </c>
      <c r="AB19" s="11">
        <v>5</v>
      </c>
      <c r="AC19" s="11">
        <v>12</v>
      </c>
      <c r="AD19" s="11">
        <v>2020</v>
      </c>
      <c r="AE19" s="13" t="s">
        <v>1143</v>
      </c>
      <c r="AF19" s="11" t="s">
        <v>7</v>
      </c>
      <c r="AG19" s="13">
        <v>44172</v>
      </c>
      <c r="AH19" s="11">
        <v>7</v>
      </c>
      <c r="AI19" s="11">
        <v>12</v>
      </c>
      <c r="AJ19" s="11">
        <v>2020</v>
      </c>
      <c r="AK19" s="13" t="s">
        <v>1097</v>
      </c>
      <c r="AL19" s="11" t="s">
        <v>7</v>
      </c>
      <c r="AM19" s="11" t="s">
        <v>20</v>
      </c>
      <c r="AN19" s="11" t="s">
        <v>8</v>
      </c>
      <c r="AO19" s="11" t="s">
        <v>11</v>
      </c>
      <c r="AP19" s="11" t="s">
        <v>588</v>
      </c>
      <c r="AQ19" s="11" t="s">
        <v>588</v>
      </c>
      <c r="AR19" s="11" t="s">
        <v>588</v>
      </c>
      <c r="AS19" s="11" t="s">
        <v>588</v>
      </c>
      <c r="AT19" s="11" t="s">
        <v>588</v>
      </c>
      <c r="AU19" s="11" t="s">
        <v>588</v>
      </c>
      <c r="AV19" s="11" t="s">
        <v>588</v>
      </c>
      <c r="AW19" s="11" t="s">
        <v>588</v>
      </c>
      <c r="AX19" s="11" t="s">
        <v>588</v>
      </c>
      <c r="AY19" s="11" t="s">
        <v>588</v>
      </c>
      <c r="AZ19" s="11" t="s">
        <v>588</v>
      </c>
      <c r="BA19" s="11" t="s">
        <v>588</v>
      </c>
      <c r="BB19" s="11" t="s">
        <v>588</v>
      </c>
      <c r="BC19" s="11" t="s">
        <v>588</v>
      </c>
      <c r="BD19" s="11" t="s">
        <v>588</v>
      </c>
      <c r="BE19" s="11" t="s">
        <v>588</v>
      </c>
      <c r="BF19" s="11" t="s">
        <v>588</v>
      </c>
      <c r="BG19" s="11" t="s">
        <v>588</v>
      </c>
      <c r="BH19" s="11" t="s">
        <v>588</v>
      </c>
      <c r="BI19" s="11" t="s">
        <v>588</v>
      </c>
      <c r="BJ19" s="11" t="s">
        <v>588</v>
      </c>
      <c r="BK19" s="11" t="s">
        <v>588</v>
      </c>
      <c r="BL19" s="11" t="s">
        <v>588</v>
      </c>
      <c r="BM19" s="11" t="s">
        <v>588</v>
      </c>
      <c r="BN19" s="11" t="s">
        <v>588</v>
      </c>
      <c r="BO19" s="11" t="s">
        <v>588</v>
      </c>
      <c r="BP19" s="11" t="s">
        <v>588</v>
      </c>
      <c r="BQ19" s="11" t="s">
        <v>588</v>
      </c>
      <c r="BR19" s="11" t="s">
        <v>588</v>
      </c>
      <c r="BS19" s="11" t="s">
        <v>8</v>
      </c>
      <c r="BT19" s="11" t="s">
        <v>9</v>
      </c>
      <c r="BU19" s="11" t="s">
        <v>9</v>
      </c>
      <c r="BV19" s="11" t="s">
        <v>588</v>
      </c>
      <c r="BW19" s="11" t="s">
        <v>588</v>
      </c>
      <c r="BX19" s="11" t="s">
        <v>588</v>
      </c>
      <c r="BY19" s="11" t="s">
        <v>588</v>
      </c>
      <c r="BZ19" s="11" t="s">
        <v>588</v>
      </c>
    </row>
    <row r="20" spans="1:78" x14ac:dyDescent="0.25">
      <c r="A20" s="11">
        <v>202021</v>
      </c>
      <c r="B20" s="11" t="s">
        <v>60</v>
      </c>
      <c r="C20" s="11" t="s">
        <v>60</v>
      </c>
      <c r="D20" s="11" t="s">
        <v>87</v>
      </c>
      <c r="E20" s="11" t="s">
        <v>16</v>
      </c>
      <c r="F20" s="11">
        <v>3</v>
      </c>
      <c r="G20" s="11" t="s">
        <v>1023</v>
      </c>
      <c r="H20" s="11" t="s">
        <v>1023</v>
      </c>
      <c r="I20" s="13">
        <v>44187</v>
      </c>
      <c r="J20" s="11">
        <v>22</v>
      </c>
      <c r="K20" s="11">
        <v>12</v>
      </c>
      <c r="L20" s="11">
        <v>2020</v>
      </c>
      <c r="M20" s="11" t="s">
        <v>1144</v>
      </c>
      <c r="N20" s="11" t="s">
        <v>7</v>
      </c>
      <c r="O20" s="11" t="s">
        <v>36</v>
      </c>
      <c r="P20" s="23">
        <v>-38.639020000000002</v>
      </c>
      <c r="Q20" s="23">
        <v>145.72548</v>
      </c>
      <c r="R20" s="11" t="s">
        <v>588</v>
      </c>
      <c r="S20" s="11" t="s">
        <v>588</v>
      </c>
      <c r="T20" s="11">
        <v>1</v>
      </c>
      <c r="U20" s="11">
        <v>3</v>
      </c>
      <c r="V20" s="11" t="s">
        <v>588</v>
      </c>
      <c r="W20" s="11" t="s">
        <v>588</v>
      </c>
      <c r="X20" s="11">
        <v>6</v>
      </c>
      <c r="Y20" s="11">
        <v>5</v>
      </c>
      <c r="Z20" s="11" t="s">
        <v>41</v>
      </c>
      <c r="AA20" s="13">
        <v>44190</v>
      </c>
      <c r="AB20" s="11">
        <v>25</v>
      </c>
      <c r="AC20" s="11">
        <v>12</v>
      </c>
      <c r="AD20" s="11">
        <v>2020</v>
      </c>
      <c r="AE20" s="13" t="s">
        <v>1145</v>
      </c>
      <c r="AF20" s="11" t="s">
        <v>7</v>
      </c>
      <c r="AG20" s="13">
        <v>44192</v>
      </c>
      <c r="AH20" s="11">
        <v>27</v>
      </c>
      <c r="AI20" s="11">
        <v>12</v>
      </c>
      <c r="AJ20" s="11">
        <v>2020</v>
      </c>
      <c r="AK20" s="13" t="s">
        <v>1098</v>
      </c>
      <c r="AL20" s="11" t="s">
        <v>7</v>
      </c>
      <c r="AM20" s="11" t="s">
        <v>20</v>
      </c>
      <c r="AN20" s="11" t="s">
        <v>8</v>
      </c>
      <c r="AO20" s="11" t="s">
        <v>25</v>
      </c>
      <c r="AP20" s="11" t="s">
        <v>588</v>
      </c>
      <c r="AQ20" s="11" t="s">
        <v>588</v>
      </c>
      <c r="AR20" s="11" t="s">
        <v>588</v>
      </c>
      <c r="AS20" s="11" t="s">
        <v>588</v>
      </c>
      <c r="AT20" s="11" t="s">
        <v>588</v>
      </c>
      <c r="AU20" s="11" t="s">
        <v>588</v>
      </c>
      <c r="AV20" s="11" t="s">
        <v>588</v>
      </c>
      <c r="AW20" s="11" t="s">
        <v>588</v>
      </c>
      <c r="AX20" s="11" t="s">
        <v>588</v>
      </c>
      <c r="AY20" s="11" t="s">
        <v>588</v>
      </c>
      <c r="AZ20" s="11" t="s">
        <v>588</v>
      </c>
      <c r="BA20" s="11" t="s">
        <v>588</v>
      </c>
      <c r="BB20" s="11" t="s">
        <v>588</v>
      </c>
      <c r="BC20" s="11" t="s">
        <v>588</v>
      </c>
      <c r="BD20" s="11" t="s">
        <v>588</v>
      </c>
      <c r="BE20" s="11" t="s">
        <v>588</v>
      </c>
      <c r="BF20" s="11" t="s">
        <v>588</v>
      </c>
      <c r="BG20" s="11" t="s">
        <v>588</v>
      </c>
      <c r="BH20" s="11" t="s">
        <v>588</v>
      </c>
      <c r="BI20" s="11" t="s">
        <v>588</v>
      </c>
      <c r="BJ20" s="11" t="s">
        <v>588</v>
      </c>
      <c r="BK20" s="11" t="s">
        <v>588</v>
      </c>
      <c r="BL20" s="11" t="s">
        <v>588</v>
      </c>
      <c r="BM20" s="11" t="s">
        <v>588</v>
      </c>
      <c r="BN20" s="11" t="s">
        <v>588</v>
      </c>
      <c r="BO20" s="11" t="s">
        <v>588</v>
      </c>
      <c r="BP20" s="11" t="s">
        <v>588</v>
      </c>
      <c r="BQ20" s="11" t="s">
        <v>588</v>
      </c>
      <c r="BR20" s="11" t="s">
        <v>588</v>
      </c>
      <c r="BS20" s="11" t="s">
        <v>8</v>
      </c>
      <c r="BT20" s="11" t="s">
        <v>13</v>
      </c>
      <c r="BU20" s="11" t="s">
        <v>13</v>
      </c>
      <c r="BV20" s="11" t="s">
        <v>588</v>
      </c>
      <c r="BW20" s="11" t="s">
        <v>588</v>
      </c>
      <c r="BX20" s="11" t="s">
        <v>588</v>
      </c>
      <c r="BY20" s="11" t="s">
        <v>588</v>
      </c>
      <c r="BZ20" s="11" t="s">
        <v>588</v>
      </c>
    </row>
    <row r="21" spans="1:78" x14ac:dyDescent="0.25">
      <c r="A21" s="11">
        <v>202021</v>
      </c>
      <c r="B21" s="11" t="s">
        <v>33</v>
      </c>
      <c r="C21" s="11" t="s">
        <v>33</v>
      </c>
      <c r="D21" s="11" t="s">
        <v>94</v>
      </c>
      <c r="E21" s="11" t="s">
        <v>95</v>
      </c>
      <c r="F21" s="11">
        <v>1</v>
      </c>
      <c r="G21" s="11" t="s">
        <v>1024</v>
      </c>
      <c r="H21" s="11" t="s">
        <v>1024</v>
      </c>
      <c r="I21" s="13">
        <v>44135</v>
      </c>
      <c r="J21" s="11">
        <v>31</v>
      </c>
      <c r="K21" s="11">
        <v>10</v>
      </c>
      <c r="L21" s="11">
        <v>2020</v>
      </c>
      <c r="M21" s="11" t="s">
        <v>1146</v>
      </c>
      <c r="N21" s="11" t="s">
        <v>29</v>
      </c>
      <c r="O21" s="11" t="s">
        <v>36</v>
      </c>
      <c r="P21" s="23" t="s">
        <v>588</v>
      </c>
      <c r="Q21" s="23" t="s">
        <v>588</v>
      </c>
      <c r="R21" s="11" t="s">
        <v>588</v>
      </c>
      <c r="S21" s="11" t="s">
        <v>588</v>
      </c>
      <c r="T21" s="11">
        <v>3</v>
      </c>
      <c r="U21" s="11">
        <v>3</v>
      </c>
      <c r="V21" s="13">
        <v>44138</v>
      </c>
      <c r="W21" s="11" t="s">
        <v>223</v>
      </c>
      <c r="X21" s="11">
        <v>21</v>
      </c>
      <c r="Y21" s="11">
        <v>19</v>
      </c>
      <c r="Z21" s="11" t="s">
        <v>41</v>
      </c>
      <c r="AA21" s="13">
        <v>44159</v>
      </c>
      <c r="AB21" s="11">
        <v>24</v>
      </c>
      <c r="AC21" s="11">
        <v>11</v>
      </c>
      <c r="AD21" s="11">
        <v>2020</v>
      </c>
      <c r="AE21" s="13" t="s">
        <v>1147</v>
      </c>
      <c r="AF21" s="11" t="s">
        <v>17</v>
      </c>
      <c r="AG21" s="13">
        <v>44161</v>
      </c>
      <c r="AH21" s="11">
        <v>26</v>
      </c>
      <c r="AI21" s="11">
        <v>11</v>
      </c>
      <c r="AJ21" s="11">
        <v>2020</v>
      </c>
      <c r="AK21" s="13" t="s">
        <v>1099</v>
      </c>
      <c r="AL21" s="11" t="s">
        <v>17</v>
      </c>
      <c r="AM21" s="11" t="s">
        <v>20</v>
      </c>
      <c r="AN21" s="11" t="s">
        <v>8</v>
      </c>
      <c r="AO21" s="11" t="s">
        <v>1025</v>
      </c>
      <c r="AP21" s="11" t="s">
        <v>588</v>
      </c>
      <c r="AQ21" s="11" t="s">
        <v>588</v>
      </c>
      <c r="AR21" s="11" t="s">
        <v>588</v>
      </c>
      <c r="AS21" s="11" t="s">
        <v>588</v>
      </c>
      <c r="AT21" s="11" t="s">
        <v>588</v>
      </c>
      <c r="AU21" s="11" t="s">
        <v>588</v>
      </c>
      <c r="AV21" s="11" t="s">
        <v>588</v>
      </c>
      <c r="AW21" s="11" t="s">
        <v>588</v>
      </c>
      <c r="AX21" s="11" t="s">
        <v>588</v>
      </c>
      <c r="AY21" s="11" t="s">
        <v>588</v>
      </c>
      <c r="AZ21" s="11" t="s">
        <v>588</v>
      </c>
      <c r="BA21" s="11" t="s">
        <v>588</v>
      </c>
      <c r="BB21" s="11" t="s">
        <v>588</v>
      </c>
      <c r="BC21" s="11" t="s">
        <v>588</v>
      </c>
      <c r="BD21" s="11" t="s">
        <v>588</v>
      </c>
      <c r="BE21" s="11" t="s">
        <v>588</v>
      </c>
      <c r="BF21" s="11" t="s">
        <v>588</v>
      </c>
      <c r="BG21" s="11" t="s">
        <v>588</v>
      </c>
      <c r="BH21" s="11" t="s">
        <v>588</v>
      </c>
      <c r="BI21" s="11" t="s">
        <v>588</v>
      </c>
      <c r="BJ21" s="11" t="s">
        <v>588</v>
      </c>
      <c r="BK21" s="11" t="s">
        <v>588</v>
      </c>
      <c r="BL21" s="11" t="s">
        <v>588</v>
      </c>
      <c r="BM21" s="11" t="s">
        <v>588</v>
      </c>
      <c r="BN21" s="11" t="s">
        <v>588</v>
      </c>
      <c r="BO21" s="11" t="s">
        <v>588</v>
      </c>
      <c r="BP21" s="11" t="s">
        <v>588</v>
      </c>
      <c r="BQ21" s="11" t="s">
        <v>588</v>
      </c>
      <c r="BR21" s="11" t="s">
        <v>588</v>
      </c>
      <c r="BS21" s="11" t="s">
        <v>8</v>
      </c>
      <c r="BT21" s="11" t="s">
        <v>9</v>
      </c>
      <c r="BU21" s="11" t="s">
        <v>9</v>
      </c>
      <c r="BV21" s="11" t="s">
        <v>588</v>
      </c>
      <c r="BW21" s="10" t="s">
        <v>588</v>
      </c>
      <c r="BX21" s="10" t="s">
        <v>588</v>
      </c>
      <c r="BY21" s="11" t="s">
        <v>588</v>
      </c>
      <c r="BZ21" s="11" t="s">
        <v>588</v>
      </c>
    </row>
    <row r="22" spans="1:78" x14ac:dyDescent="0.25">
      <c r="A22" s="11">
        <v>202021</v>
      </c>
      <c r="B22" s="11" t="s">
        <v>33</v>
      </c>
      <c r="C22" s="11" t="s">
        <v>33</v>
      </c>
      <c r="D22" s="11" t="s">
        <v>94</v>
      </c>
      <c r="E22" s="11" t="s">
        <v>95</v>
      </c>
      <c r="F22" s="11">
        <v>2</v>
      </c>
      <c r="G22" s="11" t="s">
        <v>1026</v>
      </c>
      <c r="H22" s="11" t="s">
        <v>1026</v>
      </c>
      <c r="I22" s="13">
        <v>44170</v>
      </c>
      <c r="J22" s="11">
        <v>5</v>
      </c>
      <c r="K22" s="11">
        <v>12</v>
      </c>
      <c r="L22" s="11">
        <v>2020</v>
      </c>
      <c r="M22" s="11" t="s">
        <v>1143</v>
      </c>
      <c r="N22" s="11" t="s">
        <v>7</v>
      </c>
      <c r="O22" s="11" t="s">
        <v>10</v>
      </c>
      <c r="P22" s="23">
        <v>-38.635440000000003</v>
      </c>
      <c r="Q22" s="23">
        <v>145.74666999999999</v>
      </c>
      <c r="R22" s="11" t="s">
        <v>588</v>
      </c>
      <c r="S22" s="11" t="s">
        <v>588</v>
      </c>
      <c r="T22" s="11">
        <v>1</v>
      </c>
      <c r="U22" s="11">
        <v>3</v>
      </c>
      <c r="V22" s="11" t="s">
        <v>588</v>
      </c>
      <c r="W22" s="11" t="s">
        <v>588</v>
      </c>
      <c r="X22" s="11">
        <v>3</v>
      </c>
      <c r="Y22" s="11">
        <v>3</v>
      </c>
      <c r="Z22" s="11" t="s">
        <v>41</v>
      </c>
      <c r="AA22" s="13">
        <v>44171</v>
      </c>
      <c r="AB22" s="11">
        <v>6</v>
      </c>
      <c r="AC22" s="11">
        <v>12</v>
      </c>
      <c r="AD22" s="11">
        <v>2020</v>
      </c>
      <c r="AE22" s="13" t="s">
        <v>1148</v>
      </c>
      <c r="AF22" s="11" t="s">
        <v>7</v>
      </c>
      <c r="AG22" s="13">
        <v>44172</v>
      </c>
      <c r="AH22" s="11">
        <v>7</v>
      </c>
      <c r="AI22" s="11">
        <v>12</v>
      </c>
      <c r="AJ22" s="11">
        <v>2020</v>
      </c>
      <c r="AK22" s="13" t="s">
        <v>1097</v>
      </c>
      <c r="AL22" s="11" t="s">
        <v>7</v>
      </c>
      <c r="AM22" s="11" t="s">
        <v>20</v>
      </c>
      <c r="AN22" s="11" t="s">
        <v>8</v>
      </c>
      <c r="AO22" s="11" t="s">
        <v>1027</v>
      </c>
      <c r="AP22" s="11" t="s">
        <v>588</v>
      </c>
      <c r="AQ22" s="11" t="s">
        <v>588</v>
      </c>
      <c r="AR22" s="11" t="s">
        <v>588</v>
      </c>
      <c r="AS22" s="11" t="s">
        <v>588</v>
      </c>
      <c r="AT22" s="11" t="s">
        <v>588</v>
      </c>
      <c r="AU22" s="11" t="s">
        <v>588</v>
      </c>
      <c r="AV22" s="11" t="s">
        <v>588</v>
      </c>
      <c r="AW22" s="11" t="s">
        <v>588</v>
      </c>
      <c r="AX22" s="11" t="s">
        <v>588</v>
      </c>
      <c r="AY22" s="11" t="s">
        <v>588</v>
      </c>
      <c r="AZ22" s="11" t="s">
        <v>588</v>
      </c>
      <c r="BA22" s="11" t="s">
        <v>588</v>
      </c>
      <c r="BB22" s="11" t="s">
        <v>588</v>
      </c>
      <c r="BC22" s="11" t="s">
        <v>588</v>
      </c>
      <c r="BD22" s="11" t="s">
        <v>588</v>
      </c>
      <c r="BE22" s="11" t="s">
        <v>588</v>
      </c>
      <c r="BF22" s="11" t="s">
        <v>588</v>
      </c>
      <c r="BG22" s="11" t="s">
        <v>588</v>
      </c>
      <c r="BH22" s="11" t="s">
        <v>588</v>
      </c>
      <c r="BI22" s="11" t="s">
        <v>588</v>
      </c>
      <c r="BJ22" s="11" t="s">
        <v>588</v>
      </c>
      <c r="BK22" s="11" t="s">
        <v>588</v>
      </c>
      <c r="BL22" s="11" t="s">
        <v>588</v>
      </c>
      <c r="BM22" s="11" t="s">
        <v>588</v>
      </c>
      <c r="BN22" s="11" t="s">
        <v>588</v>
      </c>
      <c r="BO22" s="11" t="s">
        <v>588</v>
      </c>
      <c r="BP22" s="11" t="s">
        <v>588</v>
      </c>
      <c r="BQ22" s="11" t="s">
        <v>588</v>
      </c>
      <c r="BR22" s="11" t="s">
        <v>588</v>
      </c>
      <c r="BS22" s="11" t="s">
        <v>8</v>
      </c>
      <c r="BT22" s="11" t="s">
        <v>13</v>
      </c>
      <c r="BU22" s="11" t="s">
        <v>13</v>
      </c>
      <c r="BV22" s="11" t="s">
        <v>588</v>
      </c>
      <c r="BW22" s="11" t="s">
        <v>588</v>
      </c>
      <c r="BX22" s="11" t="s">
        <v>588</v>
      </c>
      <c r="BY22" s="11" t="s">
        <v>588</v>
      </c>
      <c r="BZ22" s="11" t="s">
        <v>588</v>
      </c>
    </row>
    <row r="23" spans="1:78" x14ac:dyDescent="0.25">
      <c r="A23" s="11">
        <v>202021</v>
      </c>
      <c r="B23" s="11" t="s">
        <v>33</v>
      </c>
      <c r="C23" s="11" t="s">
        <v>33</v>
      </c>
      <c r="D23" s="11" t="s">
        <v>94</v>
      </c>
      <c r="E23" s="11" t="s">
        <v>95</v>
      </c>
      <c r="F23" s="11">
        <v>3</v>
      </c>
      <c r="G23" s="11" t="s">
        <v>1028</v>
      </c>
      <c r="H23" s="11" t="s">
        <v>1028</v>
      </c>
      <c r="I23" s="13">
        <v>44182</v>
      </c>
      <c r="J23" s="11">
        <v>17</v>
      </c>
      <c r="K23" s="11">
        <v>12</v>
      </c>
      <c r="L23" s="11">
        <v>2020</v>
      </c>
      <c r="M23" s="11" t="s">
        <v>1149</v>
      </c>
      <c r="N23" s="11" t="s">
        <v>7</v>
      </c>
      <c r="O23" s="11" t="s">
        <v>36</v>
      </c>
      <c r="P23" s="23" t="s">
        <v>588</v>
      </c>
      <c r="Q23" s="23" t="s">
        <v>588</v>
      </c>
      <c r="R23" s="11" t="s">
        <v>588</v>
      </c>
      <c r="S23" s="11" t="s">
        <v>588</v>
      </c>
      <c r="T23" s="11">
        <v>3</v>
      </c>
      <c r="U23" s="11">
        <v>3</v>
      </c>
      <c r="V23" s="11" t="s">
        <v>588</v>
      </c>
      <c r="W23" s="11" t="s">
        <v>588</v>
      </c>
      <c r="X23" s="11">
        <v>2</v>
      </c>
      <c r="Y23" s="11">
        <v>2</v>
      </c>
      <c r="Z23" s="11" t="s">
        <v>41</v>
      </c>
      <c r="AA23" s="13">
        <v>44182</v>
      </c>
      <c r="AB23" s="11">
        <v>17</v>
      </c>
      <c r="AC23" s="11">
        <v>12</v>
      </c>
      <c r="AD23" s="11">
        <v>2020</v>
      </c>
      <c r="AE23" s="13" t="s">
        <v>1149</v>
      </c>
      <c r="AF23" s="11" t="s">
        <v>7</v>
      </c>
      <c r="AG23" s="13">
        <v>44184</v>
      </c>
      <c r="AH23" s="11">
        <v>19</v>
      </c>
      <c r="AI23" s="11">
        <v>12</v>
      </c>
      <c r="AJ23" s="11">
        <v>2020</v>
      </c>
      <c r="AK23" s="13" t="s">
        <v>1100</v>
      </c>
      <c r="AL23" s="11" t="s">
        <v>7</v>
      </c>
      <c r="AM23" s="11" t="s">
        <v>20</v>
      </c>
      <c r="AN23" s="11" t="s">
        <v>41</v>
      </c>
      <c r="AO23" s="11" t="s">
        <v>41</v>
      </c>
      <c r="AP23" s="11" t="s">
        <v>588</v>
      </c>
      <c r="AQ23" s="11" t="s">
        <v>588</v>
      </c>
      <c r="AR23" s="11" t="s">
        <v>588</v>
      </c>
      <c r="AS23" s="11" t="s">
        <v>588</v>
      </c>
      <c r="AT23" s="11" t="s">
        <v>588</v>
      </c>
      <c r="AU23" s="11" t="s">
        <v>588</v>
      </c>
      <c r="AV23" s="11" t="s">
        <v>588</v>
      </c>
      <c r="AW23" s="11" t="s">
        <v>588</v>
      </c>
      <c r="AX23" s="11" t="s">
        <v>588</v>
      </c>
      <c r="AY23" s="11" t="s">
        <v>588</v>
      </c>
      <c r="AZ23" s="11" t="s">
        <v>588</v>
      </c>
      <c r="BA23" s="11" t="s">
        <v>588</v>
      </c>
      <c r="BB23" s="11" t="s">
        <v>588</v>
      </c>
      <c r="BC23" s="11" t="s">
        <v>588</v>
      </c>
      <c r="BD23" s="11" t="s">
        <v>588</v>
      </c>
      <c r="BE23" s="11" t="s">
        <v>588</v>
      </c>
      <c r="BF23" s="11" t="s">
        <v>588</v>
      </c>
      <c r="BG23" s="11" t="s">
        <v>588</v>
      </c>
      <c r="BH23" s="11" t="s">
        <v>588</v>
      </c>
      <c r="BI23" s="11" t="s">
        <v>588</v>
      </c>
      <c r="BJ23" s="11" t="s">
        <v>588</v>
      </c>
      <c r="BK23" s="11" t="s">
        <v>588</v>
      </c>
      <c r="BL23" s="11" t="s">
        <v>588</v>
      </c>
      <c r="BM23" s="11" t="s">
        <v>588</v>
      </c>
      <c r="BN23" s="11" t="s">
        <v>588</v>
      </c>
      <c r="BO23" s="11" t="s">
        <v>588</v>
      </c>
      <c r="BP23" s="11" t="s">
        <v>588</v>
      </c>
      <c r="BQ23" s="11" t="s">
        <v>588</v>
      </c>
      <c r="BR23" s="11" t="s">
        <v>588</v>
      </c>
      <c r="BS23" s="11" t="s">
        <v>8</v>
      </c>
      <c r="BT23" s="11" t="s">
        <v>13</v>
      </c>
      <c r="BU23" s="11" t="s">
        <v>13</v>
      </c>
      <c r="BV23" s="11" t="s">
        <v>588</v>
      </c>
      <c r="BW23" s="11" t="s">
        <v>588</v>
      </c>
      <c r="BX23" s="11" t="s">
        <v>588</v>
      </c>
      <c r="BY23" s="11" t="s">
        <v>588</v>
      </c>
      <c r="BZ23" s="11" t="s">
        <v>588</v>
      </c>
    </row>
    <row r="24" spans="1:78" x14ac:dyDescent="0.25">
      <c r="A24" s="11">
        <v>202021</v>
      </c>
      <c r="B24" s="11" t="s">
        <v>555</v>
      </c>
      <c r="C24" s="11" t="s">
        <v>555</v>
      </c>
      <c r="D24" s="11" t="s">
        <v>16</v>
      </c>
      <c r="E24" s="11" t="s">
        <v>16</v>
      </c>
      <c r="F24" s="11">
        <v>1</v>
      </c>
      <c r="G24" s="11" t="s">
        <v>1029</v>
      </c>
      <c r="H24" s="11" t="s">
        <v>1029</v>
      </c>
      <c r="I24" s="13">
        <v>44188</v>
      </c>
      <c r="J24" s="11">
        <v>23</v>
      </c>
      <c r="K24" s="11">
        <v>12</v>
      </c>
      <c r="L24" s="11">
        <v>2020</v>
      </c>
      <c r="M24" s="11" t="s">
        <v>1116</v>
      </c>
      <c r="N24" s="11" t="s">
        <v>7</v>
      </c>
      <c r="O24" s="11" t="s">
        <v>36</v>
      </c>
      <c r="P24" s="11" t="s">
        <v>588</v>
      </c>
      <c r="Q24" s="11" t="s">
        <v>588</v>
      </c>
      <c r="R24" s="11" t="s">
        <v>588</v>
      </c>
      <c r="S24" s="11" t="s">
        <v>588</v>
      </c>
      <c r="T24" s="11">
        <v>3</v>
      </c>
      <c r="U24" s="11">
        <v>3</v>
      </c>
      <c r="V24" s="11" t="s">
        <v>588</v>
      </c>
      <c r="W24" s="11" t="s">
        <v>588</v>
      </c>
      <c r="X24" s="11">
        <v>4</v>
      </c>
      <c r="Y24" s="11">
        <v>4</v>
      </c>
      <c r="Z24" s="11" t="s">
        <v>8</v>
      </c>
      <c r="AA24" s="13">
        <v>44199</v>
      </c>
      <c r="AB24" s="11">
        <v>3</v>
      </c>
      <c r="AC24" s="11">
        <v>1</v>
      </c>
      <c r="AD24" s="11">
        <v>2021</v>
      </c>
      <c r="AE24" s="13" t="s">
        <v>1136</v>
      </c>
      <c r="AF24" s="11" t="s">
        <v>12</v>
      </c>
      <c r="AG24" s="11" t="s">
        <v>588</v>
      </c>
      <c r="AH24" s="11" t="s">
        <v>588</v>
      </c>
      <c r="AI24" s="11" t="s">
        <v>588</v>
      </c>
      <c r="AJ24" s="11" t="s">
        <v>588</v>
      </c>
      <c r="AK24" s="13" t="s">
        <v>588</v>
      </c>
      <c r="AL24" s="11" t="s">
        <v>588</v>
      </c>
      <c r="AM24" s="11" t="s">
        <v>588</v>
      </c>
      <c r="AN24" s="11" t="s">
        <v>588</v>
      </c>
      <c r="AO24" s="11" t="s">
        <v>588</v>
      </c>
      <c r="AP24" s="13">
        <v>44207</v>
      </c>
      <c r="AQ24" s="11" t="s">
        <v>12</v>
      </c>
      <c r="AR24" s="11" t="s">
        <v>195</v>
      </c>
      <c r="AS24" s="11">
        <v>1</v>
      </c>
      <c r="AT24" s="11">
        <v>3</v>
      </c>
      <c r="AU24" s="13">
        <v>44211</v>
      </c>
      <c r="AV24" s="13">
        <v>44221</v>
      </c>
      <c r="AW24" s="11" t="s">
        <v>12</v>
      </c>
      <c r="AX24" s="11" t="s">
        <v>20</v>
      </c>
      <c r="AY24" s="11" t="s">
        <v>41</v>
      </c>
      <c r="AZ24" s="11" t="s">
        <v>41</v>
      </c>
      <c r="BA24" s="11" t="s">
        <v>588</v>
      </c>
      <c r="BB24" s="11" t="s">
        <v>588</v>
      </c>
      <c r="BC24" s="11" t="s">
        <v>588</v>
      </c>
      <c r="BD24" s="11" t="s">
        <v>588</v>
      </c>
      <c r="BE24" s="11" t="s">
        <v>588</v>
      </c>
      <c r="BF24" s="11" t="s">
        <v>588</v>
      </c>
      <c r="BG24" s="11" t="s">
        <v>588</v>
      </c>
      <c r="BH24" s="11" t="s">
        <v>588</v>
      </c>
      <c r="BI24" s="11" t="s">
        <v>588</v>
      </c>
      <c r="BJ24" s="11" t="s">
        <v>588</v>
      </c>
      <c r="BK24" s="11" t="s">
        <v>588</v>
      </c>
      <c r="BL24" s="11" t="s">
        <v>588</v>
      </c>
      <c r="BM24" s="11" t="s">
        <v>588</v>
      </c>
      <c r="BN24" s="11" t="s">
        <v>588</v>
      </c>
      <c r="BO24" s="11" t="s">
        <v>41</v>
      </c>
      <c r="BP24" s="11" t="s">
        <v>588</v>
      </c>
      <c r="BQ24" s="11" t="s">
        <v>588</v>
      </c>
      <c r="BR24" s="11" t="s">
        <v>588</v>
      </c>
      <c r="BS24" s="11" t="s">
        <v>8</v>
      </c>
      <c r="BT24" s="11" t="s">
        <v>9</v>
      </c>
      <c r="BU24" s="11" t="s">
        <v>9</v>
      </c>
      <c r="BV24" s="11" t="s">
        <v>8</v>
      </c>
      <c r="BW24" s="11" t="s">
        <v>431</v>
      </c>
      <c r="BX24" s="11" t="s">
        <v>431</v>
      </c>
      <c r="BY24" s="11" t="s">
        <v>588</v>
      </c>
      <c r="BZ24" s="11" t="s">
        <v>588</v>
      </c>
    </row>
    <row r="25" spans="1:78" x14ac:dyDescent="0.25">
      <c r="A25" s="11">
        <v>202021</v>
      </c>
      <c r="B25" s="11" t="s">
        <v>301</v>
      </c>
      <c r="C25" s="11" t="s">
        <v>301</v>
      </c>
      <c r="D25" s="11" t="s">
        <v>554</v>
      </c>
      <c r="E25" s="11" t="s">
        <v>302</v>
      </c>
      <c r="F25" s="11">
        <v>1</v>
      </c>
      <c r="G25" s="11" t="s">
        <v>1030</v>
      </c>
      <c r="H25" s="11" t="s">
        <v>1030</v>
      </c>
      <c r="I25" s="13">
        <v>44131</v>
      </c>
      <c r="J25" s="11">
        <v>27</v>
      </c>
      <c r="K25" s="11">
        <v>10</v>
      </c>
      <c r="L25" s="11">
        <v>2020</v>
      </c>
      <c r="M25" s="11" t="s">
        <v>1150</v>
      </c>
      <c r="N25" s="11" t="s">
        <v>29</v>
      </c>
      <c r="O25" s="11" t="s">
        <v>10</v>
      </c>
      <c r="P25" s="11" t="s">
        <v>588</v>
      </c>
      <c r="Q25" s="11" t="s">
        <v>588</v>
      </c>
      <c r="R25" s="11" t="s">
        <v>588</v>
      </c>
      <c r="S25" s="11" t="s">
        <v>588</v>
      </c>
      <c r="T25" s="11">
        <v>3</v>
      </c>
      <c r="U25" s="11">
        <v>3</v>
      </c>
      <c r="V25" s="13">
        <v>44132</v>
      </c>
      <c r="W25" s="11" t="s">
        <v>223</v>
      </c>
      <c r="X25" s="11">
        <v>8</v>
      </c>
      <c r="Y25" s="11">
        <v>8</v>
      </c>
      <c r="Z25" s="11" t="s">
        <v>41</v>
      </c>
      <c r="AA25" s="13">
        <v>44154</v>
      </c>
      <c r="AB25" s="11">
        <v>19</v>
      </c>
      <c r="AC25" s="11">
        <v>11</v>
      </c>
      <c r="AD25" s="11">
        <v>2020</v>
      </c>
      <c r="AE25" s="13" t="s">
        <v>1151</v>
      </c>
      <c r="AF25" s="11" t="s">
        <v>17</v>
      </c>
      <c r="AG25" s="13">
        <v>44155</v>
      </c>
      <c r="AH25" s="11">
        <v>20</v>
      </c>
      <c r="AI25" s="11">
        <v>11</v>
      </c>
      <c r="AJ25" s="11">
        <v>2020</v>
      </c>
      <c r="AK25" s="13" t="s">
        <v>1101</v>
      </c>
      <c r="AL25" s="11" t="s">
        <v>17</v>
      </c>
      <c r="AM25" s="11" t="s">
        <v>11</v>
      </c>
      <c r="AN25" s="11" t="s">
        <v>41</v>
      </c>
      <c r="AO25" s="11" t="s">
        <v>41</v>
      </c>
      <c r="AP25" s="11" t="s">
        <v>588</v>
      </c>
      <c r="AQ25" s="11" t="s">
        <v>588</v>
      </c>
      <c r="AR25" s="11" t="s">
        <v>588</v>
      </c>
      <c r="AS25" s="11" t="s">
        <v>588</v>
      </c>
      <c r="AT25" s="11" t="s">
        <v>588</v>
      </c>
      <c r="AU25" s="11" t="s">
        <v>588</v>
      </c>
      <c r="AV25" s="11" t="s">
        <v>588</v>
      </c>
      <c r="AW25" s="11" t="s">
        <v>588</v>
      </c>
      <c r="AX25" s="11" t="s">
        <v>588</v>
      </c>
      <c r="AY25" s="11" t="s">
        <v>588</v>
      </c>
      <c r="AZ25" s="11" t="s">
        <v>588</v>
      </c>
      <c r="BA25" s="11" t="s">
        <v>588</v>
      </c>
      <c r="BB25" s="11" t="s">
        <v>588</v>
      </c>
      <c r="BC25" s="11" t="s">
        <v>588</v>
      </c>
      <c r="BD25" s="11" t="s">
        <v>588</v>
      </c>
      <c r="BE25" s="11" t="s">
        <v>588</v>
      </c>
      <c r="BF25" s="11" t="s">
        <v>588</v>
      </c>
      <c r="BG25" s="11" t="s">
        <v>588</v>
      </c>
      <c r="BH25" s="11" t="s">
        <v>588</v>
      </c>
      <c r="BI25" s="11" t="s">
        <v>588</v>
      </c>
      <c r="BJ25" s="11" t="s">
        <v>588</v>
      </c>
      <c r="BK25" s="11" t="s">
        <v>588</v>
      </c>
      <c r="BL25" s="11" t="s">
        <v>588</v>
      </c>
      <c r="BM25" s="11" t="s">
        <v>588</v>
      </c>
      <c r="BN25" s="11" t="s">
        <v>588</v>
      </c>
      <c r="BO25" s="11" t="s">
        <v>588</v>
      </c>
      <c r="BP25" s="11" t="s">
        <v>588</v>
      </c>
      <c r="BQ25" s="11" t="s">
        <v>588</v>
      </c>
      <c r="BR25" s="11" t="s">
        <v>588</v>
      </c>
      <c r="BS25" s="11" t="s">
        <v>8</v>
      </c>
      <c r="BT25" s="11" t="s">
        <v>9</v>
      </c>
      <c r="BU25" s="11" t="s">
        <v>9</v>
      </c>
      <c r="BV25" s="11" t="s">
        <v>588</v>
      </c>
      <c r="BW25" s="11" t="s">
        <v>588</v>
      </c>
      <c r="BX25" s="11" t="s">
        <v>588</v>
      </c>
      <c r="BY25" s="11" t="s">
        <v>588</v>
      </c>
      <c r="BZ25" s="11" t="s">
        <v>588</v>
      </c>
    </row>
    <row r="26" spans="1:78" x14ac:dyDescent="0.25">
      <c r="A26" s="11">
        <v>202021</v>
      </c>
      <c r="B26" s="11" t="s">
        <v>308</v>
      </c>
      <c r="C26" s="11" t="s">
        <v>308</v>
      </c>
      <c r="D26" s="11" t="s">
        <v>404</v>
      </c>
      <c r="E26" s="11" t="s">
        <v>405</v>
      </c>
      <c r="F26" s="11">
        <v>1</v>
      </c>
      <c r="G26" s="11" t="s">
        <v>1031</v>
      </c>
      <c r="H26" s="11" t="s">
        <v>1031</v>
      </c>
      <c r="I26" s="13">
        <v>44138</v>
      </c>
      <c r="J26" s="11">
        <v>3</v>
      </c>
      <c r="K26" s="11">
        <v>11</v>
      </c>
      <c r="L26" s="11">
        <v>2020</v>
      </c>
      <c r="M26" s="11" t="s">
        <v>1152</v>
      </c>
      <c r="N26" s="11" t="s">
        <v>17</v>
      </c>
      <c r="O26" s="11" t="s">
        <v>36</v>
      </c>
      <c r="P26" s="23">
        <v>-38.582799999999999</v>
      </c>
      <c r="Q26" s="23">
        <v>145.51168999999999</v>
      </c>
      <c r="R26" s="11" t="s">
        <v>588</v>
      </c>
      <c r="S26" s="11" t="s">
        <v>588</v>
      </c>
      <c r="T26" s="11">
        <v>3</v>
      </c>
      <c r="U26" s="11">
        <v>3</v>
      </c>
      <c r="V26" s="11" t="s">
        <v>588</v>
      </c>
      <c r="W26" s="11" t="s">
        <v>588</v>
      </c>
      <c r="X26" s="11">
        <v>5</v>
      </c>
      <c r="Y26" s="11">
        <v>5</v>
      </c>
      <c r="Z26" s="11" t="s">
        <v>41</v>
      </c>
      <c r="AA26" s="13">
        <v>44147</v>
      </c>
      <c r="AB26" s="11">
        <v>12</v>
      </c>
      <c r="AC26" s="11">
        <v>11</v>
      </c>
      <c r="AD26" s="11">
        <v>2020</v>
      </c>
      <c r="AE26" s="13" t="s">
        <v>1126</v>
      </c>
      <c r="AF26" s="11" t="s">
        <v>17</v>
      </c>
      <c r="AG26" s="13">
        <v>44149</v>
      </c>
      <c r="AH26" s="11">
        <v>14</v>
      </c>
      <c r="AI26" s="11">
        <v>11</v>
      </c>
      <c r="AJ26" s="11">
        <v>2020</v>
      </c>
      <c r="AK26" s="13" t="s">
        <v>1102</v>
      </c>
      <c r="AL26" s="11" t="s">
        <v>17</v>
      </c>
      <c r="AM26" s="11" t="s">
        <v>20</v>
      </c>
      <c r="AN26" s="11" t="s">
        <v>8</v>
      </c>
      <c r="AO26" s="11" t="s">
        <v>1032</v>
      </c>
      <c r="AP26" s="11" t="s">
        <v>588</v>
      </c>
      <c r="AQ26" s="11" t="s">
        <v>588</v>
      </c>
      <c r="AR26" s="11" t="s">
        <v>588</v>
      </c>
      <c r="AS26" s="11" t="s">
        <v>588</v>
      </c>
      <c r="AT26" s="11" t="s">
        <v>588</v>
      </c>
      <c r="AU26" s="11" t="s">
        <v>588</v>
      </c>
      <c r="AV26" s="11" t="s">
        <v>588</v>
      </c>
      <c r="AW26" s="11" t="s">
        <v>588</v>
      </c>
      <c r="AX26" s="11" t="s">
        <v>588</v>
      </c>
      <c r="AY26" s="11" t="s">
        <v>588</v>
      </c>
      <c r="AZ26" s="11" t="s">
        <v>588</v>
      </c>
      <c r="BA26" s="11" t="s">
        <v>588</v>
      </c>
      <c r="BB26" s="11" t="s">
        <v>588</v>
      </c>
      <c r="BC26" s="11" t="s">
        <v>588</v>
      </c>
      <c r="BD26" s="11" t="s">
        <v>588</v>
      </c>
      <c r="BE26" s="11" t="s">
        <v>588</v>
      </c>
      <c r="BF26" s="11" t="s">
        <v>588</v>
      </c>
      <c r="BG26" s="11" t="s">
        <v>588</v>
      </c>
      <c r="BH26" s="11" t="s">
        <v>588</v>
      </c>
      <c r="BI26" s="11" t="s">
        <v>588</v>
      </c>
      <c r="BJ26" s="11" t="s">
        <v>588</v>
      </c>
      <c r="BK26" s="11" t="s">
        <v>588</v>
      </c>
      <c r="BL26" s="11" t="s">
        <v>588</v>
      </c>
      <c r="BM26" s="11" t="s">
        <v>588</v>
      </c>
      <c r="BN26" s="11" t="s">
        <v>588</v>
      </c>
      <c r="BO26" s="11" t="s">
        <v>588</v>
      </c>
      <c r="BP26" s="11" t="s">
        <v>588</v>
      </c>
      <c r="BQ26" s="11" t="s">
        <v>588</v>
      </c>
      <c r="BR26" s="11" t="s">
        <v>588</v>
      </c>
      <c r="BS26" s="11" t="s">
        <v>8</v>
      </c>
      <c r="BT26" s="11" t="s">
        <v>9</v>
      </c>
      <c r="BU26" s="11" t="s">
        <v>9</v>
      </c>
      <c r="BV26" s="11" t="s">
        <v>588</v>
      </c>
      <c r="BW26" s="11" t="s">
        <v>588</v>
      </c>
      <c r="BX26" s="11" t="s">
        <v>588</v>
      </c>
      <c r="BY26" s="11" t="s">
        <v>588</v>
      </c>
      <c r="BZ26" s="11" t="s">
        <v>588</v>
      </c>
    </row>
    <row r="27" spans="1:78" x14ac:dyDescent="0.25">
      <c r="A27" s="11">
        <v>202021</v>
      </c>
      <c r="B27" s="11" t="s">
        <v>308</v>
      </c>
      <c r="C27" s="11" t="s">
        <v>308</v>
      </c>
      <c r="D27" s="11" t="s">
        <v>404</v>
      </c>
      <c r="E27" s="11" t="s">
        <v>405</v>
      </c>
      <c r="F27" s="11">
        <v>2</v>
      </c>
      <c r="G27" s="11" t="s">
        <v>1033</v>
      </c>
      <c r="H27" s="11" t="s">
        <v>1033</v>
      </c>
      <c r="I27" s="13">
        <v>44163</v>
      </c>
      <c r="J27" s="11">
        <v>28</v>
      </c>
      <c r="K27" s="11">
        <v>11</v>
      </c>
      <c r="L27" s="11">
        <v>2020</v>
      </c>
      <c r="M27" s="11" t="s">
        <v>1153</v>
      </c>
      <c r="N27" s="11" t="s">
        <v>17</v>
      </c>
      <c r="O27" s="11" t="s">
        <v>19</v>
      </c>
      <c r="P27" s="23" t="s">
        <v>588</v>
      </c>
      <c r="Q27" s="23" t="s">
        <v>588</v>
      </c>
      <c r="R27" s="11" t="s">
        <v>588</v>
      </c>
      <c r="S27" s="11" t="s">
        <v>588</v>
      </c>
      <c r="T27" s="11">
        <v>3</v>
      </c>
      <c r="U27" s="11">
        <v>3</v>
      </c>
      <c r="V27" s="11" t="s">
        <v>588</v>
      </c>
      <c r="W27" s="11" t="s">
        <v>588</v>
      </c>
      <c r="X27" s="11">
        <v>3</v>
      </c>
      <c r="Y27" s="11">
        <v>3</v>
      </c>
      <c r="Z27" s="11" t="s">
        <v>41</v>
      </c>
      <c r="AA27" s="13">
        <v>44165</v>
      </c>
      <c r="AB27" s="11">
        <v>30</v>
      </c>
      <c r="AC27" s="11">
        <v>11</v>
      </c>
      <c r="AD27" s="11">
        <v>2020</v>
      </c>
      <c r="AE27" s="13" t="s">
        <v>1118</v>
      </c>
      <c r="AF27" s="11" t="s">
        <v>17</v>
      </c>
      <c r="AG27" s="13">
        <v>44169</v>
      </c>
      <c r="AH27" s="11">
        <v>4</v>
      </c>
      <c r="AI27" s="11">
        <v>12</v>
      </c>
      <c r="AJ27" s="11">
        <v>2020</v>
      </c>
      <c r="AK27" s="13" t="s">
        <v>1103</v>
      </c>
      <c r="AL27" s="11" t="s">
        <v>7</v>
      </c>
      <c r="AM27" s="11" t="s">
        <v>20</v>
      </c>
      <c r="AN27" s="11" t="s">
        <v>8</v>
      </c>
      <c r="AO27" s="11" t="s">
        <v>1032</v>
      </c>
      <c r="AP27" s="11" t="s">
        <v>588</v>
      </c>
      <c r="AQ27" s="11" t="s">
        <v>588</v>
      </c>
      <c r="AR27" s="11" t="s">
        <v>588</v>
      </c>
      <c r="AS27" s="11" t="s">
        <v>588</v>
      </c>
      <c r="AT27" s="11" t="s">
        <v>588</v>
      </c>
      <c r="AU27" s="11" t="s">
        <v>588</v>
      </c>
      <c r="AV27" s="11" t="s">
        <v>588</v>
      </c>
      <c r="AW27" s="11" t="s">
        <v>588</v>
      </c>
      <c r="AX27" s="11" t="s">
        <v>588</v>
      </c>
      <c r="AY27" s="11" t="s">
        <v>588</v>
      </c>
      <c r="AZ27" s="11" t="s">
        <v>588</v>
      </c>
      <c r="BA27" s="11" t="s">
        <v>588</v>
      </c>
      <c r="BB27" s="11" t="s">
        <v>588</v>
      </c>
      <c r="BC27" s="11" t="s">
        <v>588</v>
      </c>
      <c r="BD27" s="11" t="s">
        <v>588</v>
      </c>
      <c r="BE27" s="11" t="s">
        <v>588</v>
      </c>
      <c r="BF27" s="11" t="s">
        <v>588</v>
      </c>
      <c r="BG27" s="11" t="s">
        <v>588</v>
      </c>
      <c r="BH27" s="11" t="s">
        <v>588</v>
      </c>
      <c r="BI27" s="11" t="s">
        <v>588</v>
      </c>
      <c r="BJ27" s="11" t="s">
        <v>588</v>
      </c>
      <c r="BK27" s="11" t="s">
        <v>588</v>
      </c>
      <c r="BL27" s="11" t="s">
        <v>588</v>
      </c>
      <c r="BM27" s="11" t="s">
        <v>588</v>
      </c>
      <c r="BN27" s="11" t="s">
        <v>588</v>
      </c>
      <c r="BO27" s="11" t="s">
        <v>588</v>
      </c>
      <c r="BP27" s="11" t="s">
        <v>588</v>
      </c>
      <c r="BQ27" s="11" t="s">
        <v>588</v>
      </c>
      <c r="BR27" s="11" t="s">
        <v>588</v>
      </c>
      <c r="BS27" s="11" t="s">
        <v>8</v>
      </c>
      <c r="BT27" s="11" t="s">
        <v>9</v>
      </c>
      <c r="BU27" s="11" t="s">
        <v>9</v>
      </c>
      <c r="BV27" s="11" t="s">
        <v>588</v>
      </c>
      <c r="BW27" s="11" t="s">
        <v>588</v>
      </c>
      <c r="BX27" s="11" t="s">
        <v>588</v>
      </c>
      <c r="BY27" s="11" t="s">
        <v>588</v>
      </c>
      <c r="BZ27" s="11" t="s">
        <v>588</v>
      </c>
    </row>
    <row r="28" spans="1:78" x14ac:dyDescent="0.25">
      <c r="A28" s="11">
        <v>202021</v>
      </c>
      <c r="B28" s="11" t="s">
        <v>308</v>
      </c>
      <c r="C28" s="11" t="s">
        <v>308</v>
      </c>
      <c r="D28" s="11" t="s">
        <v>404</v>
      </c>
      <c r="E28" s="11" t="s">
        <v>405</v>
      </c>
      <c r="F28" s="11">
        <v>3</v>
      </c>
      <c r="G28" s="11" t="s">
        <v>1034</v>
      </c>
      <c r="H28" s="11" t="s">
        <v>1034</v>
      </c>
      <c r="I28" s="13">
        <v>44196</v>
      </c>
      <c r="J28" s="11">
        <v>31</v>
      </c>
      <c r="K28" s="11">
        <v>12</v>
      </c>
      <c r="L28" s="11">
        <v>2020</v>
      </c>
      <c r="M28" s="11" t="s">
        <v>1154</v>
      </c>
      <c r="N28" s="11" t="s">
        <v>7</v>
      </c>
      <c r="O28" s="11" t="s">
        <v>19</v>
      </c>
      <c r="P28" s="23">
        <v>-38.582680000000003</v>
      </c>
      <c r="Q28" s="23">
        <v>145.51137199999999</v>
      </c>
      <c r="R28" s="11" t="s">
        <v>588</v>
      </c>
      <c r="S28" s="11" t="s">
        <v>588</v>
      </c>
      <c r="T28" s="11">
        <v>1</v>
      </c>
      <c r="U28" s="11">
        <v>3</v>
      </c>
      <c r="V28" s="11" t="s">
        <v>588</v>
      </c>
      <c r="W28" s="11" t="s">
        <v>588</v>
      </c>
      <c r="X28" s="11">
        <v>3</v>
      </c>
      <c r="Y28" s="11">
        <v>3</v>
      </c>
      <c r="Z28" s="11" t="s">
        <v>41</v>
      </c>
      <c r="AA28" s="13">
        <v>44198</v>
      </c>
      <c r="AB28" s="11">
        <v>2</v>
      </c>
      <c r="AC28" s="11">
        <v>1</v>
      </c>
      <c r="AD28" s="11">
        <v>2021</v>
      </c>
      <c r="AE28" s="13" t="s">
        <v>1155</v>
      </c>
      <c r="AF28" s="11" t="s">
        <v>12</v>
      </c>
      <c r="AG28" s="13">
        <v>44202</v>
      </c>
      <c r="AH28" s="11">
        <v>6</v>
      </c>
      <c r="AI28" s="11">
        <v>1</v>
      </c>
      <c r="AJ28" s="11">
        <v>2021</v>
      </c>
      <c r="AK28" s="13" t="s">
        <v>1104</v>
      </c>
      <c r="AL28" s="11" t="s">
        <v>12</v>
      </c>
      <c r="AM28" s="11" t="s">
        <v>20</v>
      </c>
      <c r="AN28" s="11" t="s">
        <v>8</v>
      </c>
      <c r="AO28" s="11" t="s">
        <v>1035</v>
      </c>
      <c r="AP28" s="11" t="s">
        <v>588</v>
      </c>
      <c r="AQ28" s="11" t="s">
        <v>588</v>
      </c>
      <c r="AR28" s="11" t="s">
        <v>588</v>
      </c>
      <c r="AS28" s="11" t="s">
        <v>588</v>
      </c>
      <c r="AT28" s="11" t="s">
        <v>588</v>
      </c>
      <c r="AU28" s="11" t="s">
        <v>588</v>
      </c>
      <c r="AV28" s="11" t="s">
        <v>588</v>
      </c>
      <c r="AW28" s="11" t="s">
        <v>588</v>
      </c>
      <c r="AX28" s="11" t="s">
        <v>588</v>
      </c>
      <c r="AY28" s="11" t="s">
        <v>588</v>
      </c>
      <c r="AZ28" s="11" t="s">
        <v>588</v>
      </c>
      <c r="BA28" s="11" t="s">
        <v>588</v>
      </c>
      <c r="BB28" s="11" t="s">
        <v>588</v>
      </c>
      <c r="BC28" s="11" t="s">
        <v>588</v>
      </c>
      <c r="BD28" s="11" t="s">
        <v>588</v>
      </c>
      <c r="BE28" s="11" t="s">
        <v>588</v>
      </c>
      <c r="BF28" s="11" t="s">
        <v>588</v>
      </c>
      <c r="BG28" s="11" t="s">
        <v>588</v>
      </c>
      <c r="BH28" s="11" t="s">
        <v>588</v>
      </c>
      <c r="BI28" s="11" t="s">
        <v>588</v>
      </c>
      <c r="BJ28" s="11" t="s">
        <v>588</v>
      </c>
      <c r="BK28" s="11" t="s">
        <v>588</v>
      </c>
      <c r="BL28" s="11" t="s">
        <v>588</v>
      </c>
      <c r="BM28" s="11" t="s">
        <v>588</v>
      </c>
      <c r="BN28" s="11" t="s">
        <v>588</v>
      </c>
      <c r="BO28" s="11" t="s">
        <v>588</v>
      </c>
      <c r="BP28" s="11" t="s">
        <v>588</v>
      </c>
      <c r="BQ28" s="11" t="s">
        <v>588</v>
      </c>
      <c r="BR28" s="11" t="s">
        <v>588</v>
      </c>
      <c r="BS28" s="11" t="s">
        <v>8</v>
      </c>
      <c r="BT28" s="11" t="s">
        <v>9</v>
      </c>
      <c r="BU28" s="11" t="s">
        <v>9</v>
      </c>
      <c r="BV28" s="11" t="s">
        <v>588</v>
      </c>
      <c r="BW28" s="11" t="s">
        <v>588</v>
      </c>
      <c r="BX28" s="11" t="s">
        <v>588</v>
      </c>
      <c r="BY28" s="11" t="s">
        <v>588</v>
      </c>
      <c r="BZ28" s="11" t="s">
        <v>588</v>
      </c>
    </row>
    <row r="29" spans="1:78" x14ac:dyDescent="0.25">
      <c r="A29" s="11">
        <v>202021</v>
      </c>
      <c r="B29" s="11" t="s">
        <v>553</v>
      </c>
      <c r="C29" s="11" t="s">
        <v>553</v>
      </c>
      <c r="D29" s="11" t="s">
        <v>482</v>
      </c>
      <c r="E29" s="11" t="s">
        <v>16</v>
      </c>
      <c r="F29" s="11">
        <v>1</v>
      </c>
      <c r="G29" s="11" t="s">
        <v>1036</v>
      </c>
      <c r="H29" s="11" t="s">
        <v>1036</v>
      </c>
      <c r="I29" s="13">
        <v>44174</v>
      </c>
      <c r="J29" s="11">
        <v>9</v>
      </c>
      <c r="K29" s="11">
        <v>12</v>
      </c>
      <c r="L29" s="11">
        <v>2020</v>
      </c>
      <c r="M29" s="11" t="s">
        <v>1135</v>
      </c>
      <c r="N29" s="11" t="s">
        <v>7</v>
      </c>
      <c r="O29" s="11" t="s">
        <v>36</v>
      </c>
      <c r="P29" s="23">
        <v>-38.578989</v>
      </c>
      <c r="Q29" s="23">
        <v>145.50790599999999</v>
      </c>
      <c r="R29" s="11" t="s">
        <v>588</v>
      </c>
      <c r="S29" s="11" t="s">
        <v>588</v>
      </c>
      <c r="T29" s="11">
        <v>2</v>
      </c>
      <c r="U29" s="11">
        <v>3</v>
      </c>
      <c r="V29" s="11" t="s">
        <v>588</v>
      </c>
      <c r="W29" s="11" t="s">
        <v>588</v>
      </c>
      <c r="X29" s="11">
        <v>7</v>
      </c>
      <c r="Y29" s="11">
        <v>6</v>
      </c>
      <c r="Z29" s="11" t="s">
        <v>8</v>
      </c>
      <c r="AA29" s="13">
        <v>44202</v>
      </c>
      <c r="AB29" s="11">
        <v>6</v>
      </c>
      <c r="AC29" s="11">
        <v>1</v>
      </c>
      <c r="AD29" s="11">
        <v>2021</v>
      </c>
      <c r="AE29" s="13" t="s">
        <v>1104</v>
      </c>
      <c r="AF29" s="11" t="s">
        <v>12</v>
      </c>
      <c r="AG29" s="11" t="s">
        <v>588</v>
      </c>
      <c r="AH29" s="11" t="s">
        <v>588</v>
      </c>
      <c r="AI29" s="11" t="s">
        <v>588</v>
      </c>
      <c r="AJ29" s="11" t="s">
        <v>588</v>
      </c>
      <c r="AK29" s="13" t="s">
        <v>588</v>
      </c>
      <c r="AL29" s="11" t="s">
        <v>588</v>
      </c>
      <c r="AM29" s="11" t="s">
        <v>588</v>
      </c>
      <c r="AN29" s="11" t="s">
        <v>588</v>
      </c>
      <c r="AO29" s="11" t="s">
        <v>588</v>
      </c>
      <c r="AP29" s="1">
        <v>44209</v>
      </c>
      <c r="AQ29" s="11" t="s">
        <v>195</v>
      </c>
      <c r="AR29" s="11" t="s">
        <v>588</v>
      </c>
      <c r="AS29" s="11">
        <v>1</v>
      </c>
      <c r="AT29" s="11">
        <v>1</v>
      </c>
      <c r="AU29" s="13">
        <v>44209</v>
      </c>
      <c r="AV29" s="13">
        <v>44221</v>
      </c>
      <c r="AW29" s="11" t="s">
        <v>12</v>
      </c>
      <c r="AX29" s="11" t="s">
        <v>20</v>
      </c>
      <c r="AY29" s="11" t="s">
        <v>41</v>
      </c>
      <c r="AZ29" s="11" t="s">
        <v>41</v>
      </c>
      <c r="BA29" s="11" t="s">
        <v>588</v>
      </c>
      <c r="BB29" s="11" t="s">
        <v>588</v>
      </c>
      <c r="BC29" s="11" t="s">
        <v>588</v>
      </c>
      <c r="BD29" s="11" t="s">
        <v>588</v>
      </c>
      <c r="BE29" s="11" t="s">
        <v>588</v>
      </c>
      <c r="BF29" s="11" t="s">
        <v>588</v>
      </c>
      <c r="BG29" s="11" t="s">
        <v>588</v>
      </c>
      <c r="BH29" s="11" t="s">
        <v>588</v>
      </c>
      <c r="BI29" s="11" t="s">
        <v>588</v>
      </c>
      <c r="BJ29" s="11" t="s">
        <v>588</v>
      </c>
      <c r="BK29" s="11" t="s">
        <v>588</v>
      </c>
      <c r="BL29" s="11" t="s">
        <v>588</v>
      </c>
      <c r="BM29" s="11">
        <v>2</v>
      </c>
      <c r="BN29" s="11">
        <v>2</v>
      </c>
      <c r="BO29" s="11" t="s">
        <v>41</v>
      </c>
      <c r="BP29" s="11" t="s">
        <v>588</v>
      </c>
      <c r="BQ29" s="11" t="s">
        <v>588</v>
      </c>
      <c r="BR29" s="11" t="s">
        <v>588</v>
      </c>
      <c r="BS29" s="11" t="s">
        <v>41</v>
      </c>
      <c r="BT29" s="11" t="s">
        <v>42</v>
      </c>
      <c r="BU29" s="11" t="s">
        <v>42</v>
      </c>
      <c r="BV29" s="11" t="s">
        <v>41</v>
      </c>
      <c r="BW29" s="11" t="s">
        <v>42</v>
      </c>
      <c r="BX29" s="11" t="s">
        <v>42</v>
      </c>
      <c r="BY29" s="11" t="s">
        <v>588</v>
      </c>
      <c r="BZ29" s="11" t="s">
        <v>588</v>
      </c>
    </row>
    <row r="30" spans="1:78" x14ac:dyDescent="0.25">
      <c r="A30" s="11">
        <v>202021</v>
      </c>
      <c r="B30" s="11" t="s">
        <v>320</v>
      </c>
      <c r="C30" s="11" t="s">
        <v>320</v>
      </c>
      <c r="D30" s="11" t="s">
        <v>321</v>
      </c>
      <c r="E30" s="11" t="s">
        <v>16</v>
      </c>
      <c r="F30" s="11">
        <v>1</v>
      </c>
      <c r="G30" s="11" t="s">
        <v>1037</v>
      </c>
      <c r="H30" s="11" t="s">
        <v>1037</v>
      </c>
      <c r="I30" s="13">
        <v>44174</v>
      </c>
      <c r="J30" s="11">
        <v>9</v>
      </c>
      <c r="K30" s="11">
        <v>12</v>
      </c>
      <c r="L30" s="11">
        <v>2020</v>
      </c>
      <c r="M30" s="11" t="s">
        <v>1135</v>
      </c>
      <c r="N30" s="11" t="s">
        <v>7</v>
      </c>
      <c r="O30" s="11" t="s">
        <v>51</v>
      </c>
      <c r="P30" s="23">
        <v>-38.569927</v>
      </c>
      <c r="Q30" s="23">
        <v>145.49954700000001</v>
      </c>
      <c r="R30" s="11" t="s">
        <v>588</v>
      </c>
      <c r="S30" s="11" t="s">
        <v>588</v>
      </c>
      <c r="T30" s="11">
        <v>1</v>
      </c>
      <c r="U30" s="11">
        <v>3</v>
      </c>
      <c r="V30" s="11" t="s">
        <v>588</v>
      </c>
      <c r="W30" s="11" t="s">
        <v>588</v>
      </c>
      <c r="X30" s="11">
        <v>2</v>
      </c>
      <c r="Y30" s="11">
        <v>2</v>
      </c>
      <c r="Z30" s="11" t="s">
        <v>41</v>
      </c>
      <c r="AA30" s="13">
        <v>44174</v>
      </c>
      <c r="AB30" s="11">
        <v>9</v>
      </c>
      <c r="AC30" s="11">
        <v>12</v>
      </c>
      <c r="AD30" s="11">
        <v>2020</v>
      </c>
      <c r="AE30" s="13" t="s">
        <v>1135</v>
      </c>
      <c r="AF30" s="11" t="s">
        <v>7</v>
      </c>
      <c r="AG30" s="13">
        <v>44179</v>
      </c>
      <c r="AH30" s="11">
        <v>14</v>
      </c>
      <c r="AI30" s="11">
        <v>12</v>
      </c>
      <c r="AJ30" s="11">
        <v>2020</v>
      </c>
      <c r="AK30" s="13" t="s">
        <v>1105</v>
      </c>
      <c r="AL30" s="11" t="s">
        <v>7</v>
      </c>
      <c r="AM30" s="11" t="s">
        <v>20</v>
      </c>
      <c r="AN30" s="11" t="s">
        <v>8</v>
      </c>
      <c r="AO30" s="11" t="s">
        <v>1038</v>
      </c>
      <c r="AP30" s="11" t="s">
        <v>588</v>
      </c>
      <c r="AQ30" s="11" t="s">
        <v>588</v>
      </c>
      <c r="AR30" s="11" t="s">
        <v>588</v>
      </c>
      <c r="AS30" s="11" t="s">
        <v>588</v>
      </c>
      <c r="AT30" s="11" t="s">
        <v>588</v>
      </c>
      <c r="AU30" s="11" t="s">
        <v>588</v>
      </c>
      <c r="AV30" s="11" t="s">
        <v>588</v>
      </c>
      <c r="AW30" s="11" t="s">
        <v>588</v>
      </c>
      <c r="AX30" s="11" t="s">
        <v>588</v>
      </c>
      <c r="AY30" s="11" t="s">
        <v>588</v>
      </c>
      <c r="AZ30" s="11" t="s">
        <v>588</v>
      </c>
      <c r="BA30" s="11" t="s">
        <v>588</v>
      </c>
      <c r="BB30" s="11" t="s">
        <v>588</v>
      </c>
      <c r="BC30" s="11" t="s">
        <v>588</v>
      </c>
      <c r="BD30" s="11" t="s">
        <v>588</v>
      </c>
      <c r="BE30" s="11" t="s">
        <v>588</v>
      </c>
      <c r="BF30" s="11" t="s">
        <v>588</v>
      </c>
      <c r="BG30" s="11" t="s">
        <v>588</v>
      </c>
      <c r="BH30" s="11" t="s">
        <v>588</v>
      </c>
      <c r="BI30" s="11" t="s">
        <v>588</v>
      </c>
      <c r="BJ30" s="11" t="s">
        <v>588</v>
      </c>
      <c r="BK30" s="11" t="s">
        <v>588</v>
      </c>
      <c r="BL30" s="11" t="s">
        <v>588</v>
      </c>
      <c r="BM30" s="11" t="s">
        <v>588</v>
      </c>
      <c r="BN30" s="11" t="s">
        <v>588</v>
      </c>
      <c r="BO30" s="11" t="s">
        <v>588</v>
      </c>
      <c r="BP30" s="11" t="s">
        <v>588</v>
      </c>
      <c r="BQ30" s="11" t="s">
        <v>588</v>
      </c>
      <c r="BR30" s="11" t="s">
        <v>588</v>
      </c>
      <c r="BS30" s="11" t="s">
        <v>41</v>
      </c>
      <c r="BT30" s="11" t="s">
        <v>42</v>
      </c>
      <c r="BU30" s="11" t="s">
        <v>42</v>
      </c>
      <c r="BV30" s="11" t="s">
        <v>588</v>
      </c>
      <c r="BW30" s="11" t="s">
        <v>588</v>
      </c>
      <c r="BX30" s="11" t="s">
        <v>588</v>
      </c>
      <c r="BY30" s="11" t="s">
        <v>588</v>
      </c>
      <c r="BZ30" s="11" t="s">
        <v>588</v>
      </c>
    </row>
    <row r="31" spans="1:78" x14ac:dyDescent="0.25">
      <c r="A31" s="11">
        <v>202021</v>
      </c>
      <c r="B31" s="11" t="s">
        <v>320</v>
      </c>
      <c r="C31" s="11" t="s">
        <v>320</v>
      </c>
      <c r="D31" s="11" t="s">
        <v>321</v>
      </c>
      <c r="E31" s="11" t="s">
        <v>16</v>
      </c>
      <c r="F31" s="11">
        <v>2</v>
      </c>
      <c r="G31" s="11" t="s">
        <v>1039</v>
      </c>
      <c r="H31" s="11" t="s">
        <v>1039</v>
      </c>
      <c r="I31" s="13">
        <v>44210</v>
      </c>
      <c r="J31" s="11">
        <v>14</v>
      </c>
      <c r="K31" s="11">
        <v>1</v>
      </c>
      <c r="L31" s="11">
        <v>2021</v>
      </c>
      <c r="M31" s="11" t="s">
        <v>1095</v>
      </c>
      <c r="N31" s="11" t="s">
        <v>12</v>
      </c>
      <c r="O31" s="11" t="s">
        <v>36</v>
      </c>
      <c r="P31" s="23">
        <v>-38.570827000000001</v>
      </c>
      <c r="Q31" s="23">
        <v>145.50078500000001</v>
      </c>
      <c r="R31" s="11" t="s">
        <v>588</v>
      </c>
      <c r="S31" s="11" t="s">
        <v>588</v>
      </c>
      <c r="T31" s="11">
        <v>3</v>
      </c>
      <c r="U31" s="11">
        <v>3</v>
      </c>
      <c r="V31" s="11" t="s">
        <v>588</v>
      </c>
      <c r="W31" s="11" t="s">
        <v>588</v>
      </c>
      <c r="X31" s="11">
        <v>2</v>
      </c>
      <c r="Y31" s="11">
        <v>2</v>
      </c>
      <c r="Z31" s="11" t="s">
        <v>41</v>
      </c>
      <c r="AA31" s="13">
        <v>44210</v>
      </c>
      <c r="AB31" s="11">
        <v>14</v>
      </c>
      <c r="AC31" s="11">
        <v>1</v>
      </c>
      <c r="AD31" s="11">
        <v>2021</v>
      </c>
      <c r="AE31" s="13" t="s">
        <v>1095</v>
      </c>
      <c r="AF31" s="11" t="s">
        <v>12</v>
      </c>
      <c r="AG31" s="13">
        <v>44214</v>
      </c>
      <c r="AH31" s="11">
        <v>18</v>
      </c>
      <c r="AI31" s="11">
        <v>1</v>
      </c>
      <c r="AJ31" s="11">
        <v>2021</v>
      </c>
      <c r="AK31" s="13" t="s">
        <v>1106</v>
      </c>
      <c r="AL31" s="11" t="s">
        <v>12</v>
      </c>
      <c r="AM31" s="11" t="s">
        <v>20</v>
      </c>
      <c r="AN31" s="11" t="s">
        <v>41</v>
      </c>
      <c r="AO31" s="11" t="s">
        <v>41</v>
      </c>
      <c r="AP31" s="11" t="s">
        <v>588</v>
      </c>
      <c r="AQ31" s="11" t="s">
        <v>588</v>
      </c>
      <c r="AR31" s="11" t="s">
        <v>588</v>
      </c>
      <c r="AS31" s="11" t="s">
        <v>588</v>
      </c>
      <c r="AT31" s="11" t="s">
        <v>588</v>
      </c>
      <c r="AU31" s="11" t="s">
        <v>588</v>
      </c>
      <c r="AV31" s="11" t="s">
        <v>588</v>
      </c>
      <c r="AW31" s="11" t="s">
        <v>588</v>
      </c>
      <c r="AX31" s="11" t="s">
        <v>588</v>
      </c>
      <c r="AY31" s="11" t="s">
        <v>588</v>
      </c>
      <c r="AZ31" s="11" t="s">
        <v>588</v>
      </c>
      <c r="BA31" s="11" t="s">
        <v>588</v>
      </c>
      <c r="BB31" s="11" t="s">
        <v>588</v>
      </c>
      <c r="BC31" s="11" t="s">
        <v>588</v>
      </c>
      <c r="BD31" s="11" t="s">
        <v>588</v>
      </c>
      <c r="BE31" s="11" t="s">
        <v>588</v>
      </c>
      <c r="BF31" s="11" t="s">
        <v>588</v>
      </c>
      <c r="BG31" s="11" t="s">
        <v>588</v>
      </c>
      <c r="BH31" s="11" t="s">
        <v>588</v>
      </c>
      <c r="BI31" s="11" t="s">
        <v>588</v>
      </c>
      <c r="BJ31" s="11" t="s">
        <v>588</v>
      </c>
      <c r="BK31" s="11" t="s">
        <v>588</v>
      </c>
      <c r="BL31" s="11" t="s">
        <v>588</v>
      </c>
      <c r="BM31" s="11" t="s">
        <v>588</v>
      </c>
      <c r="BN31" s="11" t="s">
        <v>588</v>
      </c>
      <c r="BO31" s="11" t="s">
        <v>588</v>
      </c>
      <c r="BP31" s="11" t="s">
        <v>588</v>
      </c>
      <c r="BQ31" s="11" t="s">
        <v>588</v>
      </c>
      <c r="BR31" s="11" t="s">
        <v>588</v>
      </c>
      <c r="BS31" s="11" t="s">
        <v>41</v>
      </c>
      <c r="BT31" s="11" t="s">
        <v>42</v>
      </c>
      <c r="BU31" s="11" t="s">
        <v>42</v>
      </c>
      <c r="BV31" s="11" t="s">
        <v>588</v>
      </c>
      <c r="BW31" s="11" t="s">
        <v>588</v>
      </c>
      <c r="BX31" s="11" t="s">
        <v>588</v>
      </c>
      <c r="BY31" s="11" t="s">
        <v>588</v>
      </c>
      <c r="BZ31" s="11" t="s">
        <v>588</v>
      </c>
    </row>
    <row r="32" spans="1:78" x14ac:dyDescent="0.25">
      <c r="A32" s="11">
        <v>202021</v>
      </c>
      <c r="B32" s="11" t="s">
        <v>320</v>
      </c>
      <c r="C32" s="11" t="s">
        <v>320</v>
      </c>
      <c r="D32" s="11" t="s">
        <v>321</v>
      </c>
      <c r="E32" s="11" t="s">
        <v>16</v>
      </c>
      <c r="F32" s="11">
        <v>3</v>
      </c>
      <c r="G32" s="11" t="s">
        <v>1040</v>
      </c>
      <c r="H32" s="11" t="s">
        <v>1040</v>
      </c>
      <c r="I32" s="13">
        <v>44228</v>
      </c>
      <c r="J32" s="11">
        <v>1</v>
      </c>
      <c r="K32" s="11">
        <v>2</v>
      </c>
      <c r="L32" s="11">
        <v>2021</v>
      </c>
      <c r="M32" s="11" t="s">
        <v>1108</v>
      </c>
      <c r="N32" s="11" t="s">
        <v>21</v>
      </c>
      <c r="O32" s="11" t="s">
        <v>36</v>
      </c>
      <c r="P32" s="23">
        <v>-38.569339999999997</v>
      </c>
      <c r="Q32" s="23">
        <v>145.499292</v>
      </c>
      <c r="R32" s="11" t="s">
        <v>588</v>
      </c>
      <c r="S32" s="11" t="s">
        <v>588</v>
      </c>
      <c r="T32" s="11">
        <v>3</v>
      </c>
      <c r="U32" s="11">
        <v>3</v>
      </c>
      <c r="V32" s="11" t="s">
        <v>588</v>
      </c>
      <c r="W32" s="11" t="s">
        <v>588</v>
      </c>
      <c r="X32" s="11">
        <v>2</v>
      </c>
      <c r="Y32" s="11">
        <v>2</v>
      </c>
      <c r="Z32" s="11" t="s">
        <v>8</v>
      </c>
      <c r="AA32" s="13">
        <v>44246</v>
      </c>
      <c r="AB32" s="11">
        <v>19</v>
      </c>
      <c r="AC32" s="11">
        <v>2</v>
      </c>
      <c r="AD32" s="11">
        <v>2021</v>
      </c>
      <c r="AE32" s="13" t="s">
        <v>1109</v>
      </c>
      <c r="AF32" s="11" t="s">
        <v>21</v>
      </c>
      <c r="AG32" s="11" t="s">
        <v>588</v>
      </c>
      <c r="AH32" s="11" t="s">
        <v>588</v>
      </c>
      <c r="AI32" s="11" t="s">
        <v>588</v>
      </c>
      <c r="AJ32" s="11" t="s">
        <v>588</v>
      </c>
      <c r="AK32" s="13" t="s">
        <v>588</v>
      </c>
      <c r="AL32" s="11" t="s">
        <v>588</v>
      </c>
      <c r="AM32" s="11" t="s">
        <v>588</v>
      </c>
      <c r="AN32" s="11" t="s">
        <v>588</v>
      </c>
      <c r="AO32" s="11" t="s">
        <v>588</v>
      </c>
      <c r="AP32" s="13">
        <v>44256</v>
      </c>
      <c r="AQ32" s="11" t="s">
        <v>22</v>
      </c>
      <c r="AR32" s="11" t="s">
        <v>195</v>
      </c>
      <c r="AS32" s="11">
        <v>1</v>
      </c>
      <c r="AT32" s="11">
        <v>3</v>
      </c>
      <c r="AU32" s="11" t="s">
        <v>588</v>
      </c>
      <c r="AV32" s="11" t="s">
        <v>588</v>
      </c>
      <c r="AW32" s="11" t="s">
        <v>588</v>
      </c>
      <c r="AX32" s="11" t="s">
        <v>588</v>
      </c>
      <c r="AY32" s="11" t="s">
        <v>588</v>
      </c>
      <c r="AZ32" s="11" t="s">
        <v>588</v>
      </c>
      <c r="BA32" s="11" t="s">
        <v>588</v>
      </c>
      <c r="BB32" s="11" t="s">
        <v>588</v>
      </c>
      <c r="BC32" s="11" t="s">
        <v>588</v>
      </c>
      <c r="BD32" s="11" t="s">
        <v>588</v>
      </c>
      <c r="BE32" s="11" t="s">
        <v>588</v>
      </c>
      <c r="BF32" s="11" t="s">
        <v>588</v>
      </c>
      <c r="BG32" s="11" t="s">
        <v>588</v>
      </c>
      <c r="BH32" s="11" t="s">
        <v>588</v>
      </c>
      <c r="BI32" s="11" t="s">
        <v>588</v>
      </c>
      <c r="BJ32" s="11" t="s">
        <v>588</v>
      </c>
      <c r="BK32" s="11" t="s">
        <v>588</v>
      </c>
      <c r="BL32" s="11" t="s">
        <v>588</v>
      </c>
      <c r="BM32" s="11">
        <v>8</v>
      </c>
      <c r="BN32" s="11">
        <v>7</v>
      </c>
      <c r="BO32" s="11" t="s">
        <v>8</v>
      </c>
      <c r="BP32" s="11">
        <v>1</v>
      </c>
      <c r="BQ32" s="13">
        <v>44293</v>
      </c>
      <c r="BR32" s="11" t="s">
        <v>72</v>
      </c>
      <c r="BS32" s="11" t="s">
        <v>41</v>
      </c>
      <c r="BT32" s="11" t="s">
        <v>42</v>
      </c>
      <c r="BU32" s="11" t="s">
        <v>42</v>
      </c>
      <c r="BV32" s="11" t="s">
        <v>41</v>
      </c>
      <c r="BW32" s="11" t="s">
        <v>1041</v>
      </c>
      <c r="BX32" s="11" t="s">
        <v>1041</v>
      </c>
      <c r="BY32" s="11" t="s">
        <v>588</v>
      </c>
      <c r="BZ32" s="11" t="s">
        <v>588</v>
      </c>
    </row>
    <row r="33" spans="1:78" x14ac:dyDescent="0.25">
      <c r="A33" s="11">
        <v>202021</v>
      </c>
      <c r="B33" s="11" t="s">
        <v>324</v>
      </c>
      <c r="C33" s="11" t="s">
        <v>324</v>
      </c>
      <c r="D33" s="11" t="s">
        <v>326</v>
      </c>
      <c r="E33" s="11" t="s">
        <v>16</v>
      </c>
      <c r="F33" s="11">
        <v>1</v>
      </c>
      <c r="G33" s="11" t="s">
        <v>1042</v>
      </c>
      <c r="H33" s="11" t="s">
        <v>1042</v>
      </c>
      <c r="I33" s="13">
        <v>44153</v>
      </c>
      <c r="J33" s="11">
        <v>18</v>
      </c>
      <c r="K33" s="11">
        <v>11</v>
      </c>
      <c r="L33" s="11">
        <v>2020</v>
      </c>
      <c r="M33" s="11" t="s">
        <v>1156</v>
      </c>
      <c r="N33" s="11" t="s">
        <v>17</v>
      </c>
      <c r="O33" s="11" t="s">
        <v>51</v>
      </c>
      <c r="P33" s="23">
        <v>-38.567458000000002</v>
      </c>
      <c r="Q33" s="23">
        <v>145.49719099999999</v>
      </c>
      <c r="R33" s="11" t="s">
        <v>588</v>
      </c>
      <c r="S33" s="11" t="s">
        <v>588</v>
      </c>
      <c r="T33" s="11">
        <v>3</v>
      </c>
      <c r="U33" s="11">
        <v>3</v>
      </c>
      <c r="V33" s="13">
        <v>44157</v>
      </c>
      <c r="W33" s="11" t="s">
        <v>223</v>
      </c>
      <c r="X33" s="11">
        <v>7</v>
      </c>
      <c r="Y33" s="11">
        <v>7</v>
      </c>
      <c r="Z33" s="11" t="s">
        <v>41</v>
      </c>
      <c r="AA33" s="13">
        <v>44174</v>
      </c>
      <c r="AB33" s="11">
        <v>9</v>
      </c>
      <c r="AC33" s="11">
        <v>12</v>
      </c>
      <c r="AD33" s="11">
        <v>2020</v>
      </c>
      <c r="AE33" s="13" t="s">
        <v>1135</v>
      </c>
      <c r="AF33" s="11" t="s">
        <v>7</v>
      </c>
      <c r="AG33" s="13">
        <v>44179</v>
      </c>
      <c r="AH33" s="11">
        <v>14</v>
      </c>
      <c r="AI33" s="11">
        <v>12</v>
      </c>
      <c r="AJ33" s="11">
        <v>2020</v>
      </c>
      <c r="AK33" s="13" t="s">
        <v>1105</v>
      </c>
      <c r="AL33" s="11" t="s">
        <v>7</v>
      </c>
      <c r="AM33" s="11" t="s">
        <v>20</v>
      </c>
      <c r="AN33" s="11" t="s">
        <v>8</v>
      </c>
      <c r="AO33" s="11" t="s">
        <v>1043</v>
      </c>
      <c r="AP33" s="11" t="s">
        <v>588</v>
      </c>
      <c r="AQ33" s="11" t="s">
        <v>588</v>
      </c>
      <c r="AR33" s="11" t="s">
        <v>588</v>
      </c>
      <c r="AS33" s="11" t="s">
        <v>588</v>
      </c>
      <c r="AT33" s="11" t="s">
        <v>588</v>
      </c>
      <c r="AU33" s="11" t="s">
        <v>588</v>
      </c>
      <c r="AV33" s="11" t="s">
        <v>588</v>
      </c>
      <c r="AW33" s="11" t="s">
        <v>588</v>
      </c>
      <c r="AX33" s="11" t="s">
        <v>588</v>
      </c>
      <c r="AY33" s="11" t="s">
        <v>588</v>
      </c>
      <c r="AZ33" s="11" t="s">
        <v>588</v>
      </c>
      <c r="BA33" s="11" t="s">
        <v>588</v>
      </c>
      <c r="BB33" s="11" t="s">
        <v>588</v>
      </c>
      <c r="BC33" s="11" t="s">
        <v>588</v>
      </c>
      <c r="BD33" s="11" t="s">
        <v>588</v>
      </c>
      <c r="BE33" s="11" t="s">
        <v>588</v>
      </c>
      <c r="BF33" s="11" t="s">
        <v>588</v>
      </c>
      <c r="BG33" s="11" t="s">
        <v>588</v>
      </c>
      <c r="BH33" s="11" t="s">
        <v>588</v>
      </c>
      <c r="BI33" s="11" t="s">
        <v>588</v>
      </c>
      <c r="BJ33" s="11" t="s">
        <v>588</v>
      </c>
      <c r="BK33" s="11" t="s">
        <v>588</v>
      </c>
      <c r="BL33" s="11" t="s">
        <v>588</v>
      </c>
      <c r="BM33" s="11" t="s">
        <v>588</v>
      </c>
      <c r="BN33" s="11" t="s">
        <v>588</v>
      </c>
      <c r="BO33" s="11" t="s">
        <v>588</v>
      </c>
      <c r="BP33" s="11" t="s">
        <v>588</v>
      </c>
      <c r="BQ33" s="11" t="s">
        <v>588</v>
      </c>
      <c r="BR33" s="11" t="s">
        <v>588</v>
      </c>
      <c r="BS33" s="11" t="s">
        <v>8</v>
      </c>
      <c r="BT33" s="11" t="s">
        <v>13</v>
      </c>
      <c r="BU33" s="11" t="s">
        <v>13</v>
      </c>
      <c r="BV33" s="11" t="s">
        <v>588</v>
      </c>
      <c r="BW33" s="11" t="s">
        <v>588</v>
      </c>
      <c r="BX33" s="11" t="s">
        <v>588</v>
      </c>
      <c r="BY33" s="11" t="s">
        <v>588</v>
      </c>
      <c r="BZ33" s="11" t="s">
        <v>588</v>
      </c>
    </row>
    <row r="34" spans="1:78" x14ac:dyDescent="0.25">
      <c r="A34" s="11">
        <v>202021</v>
      </c>
      <c r="B34" s="11" t="s">
        <v>324</v>
      </c>
      <c r="C34" s="11" t="s">
        <v>324</v>
      </c>
      <c r="D34" s="11" t="s">
        <v>326</v>
      </c>
      <c r="E34" s="11" t="s">
        <v>16</v>
      </c>
      <c r="F34" s="11">
        <v>2</v>
      </c>
      <c r="G34" s="11" t="s">
        <v>1044</v>
      </c>
      <c r="H34" s="11" t="s">
        <v>1044</v>
      </c>
      <c r="I34" s="13">
        <v>44188</v>
      </c>
      <c r="J34" s="11">
        <v>23</v>
      </c>
      <c r="K34" s="11">
        <v>12</v>
      </c>
      <c r="L34" s="11">
        <v>2020</v>
      </c>
      <c r="M34" s="11" t="s">
        <v>1116</v>
      </c>
      <c r="N34" s="11" t="s">
        <v>7</v>
      </c>
      <c r="O34" s="11" t="s">
        <v>51</v>
      </c>
      <c r="P34" s="23">
        <v>-38.565663999999998</v>
      </c>
      <c r="Q34" s="23">
        <v>145.495351</v>
      </c>
      <c r="R34" s="11" t="s">
        <v>588</v>
      </c>
      <c r="S34" s="11" t="s">
        <v>588</v>
      </c>
      <c r="T34" s="11">
        <v>3</v>
      </c>
      <c r="U34" s="11">
        <v>3</v>
      </c>
      <c r="V34" s="11" t="s">
        <v>588</v>
      </c>
      <c r="W34" s="11" t="s">
        <v>588</v>
      </c>
      <c r="X34" s="11">
        <v>6</v>
      </c>
      <c r="Y34" s="11">
        <v>5</v>
      </c>
      <c r="Z34" s="11" t="s">
        <v>1045</v>
      </c>
      <c r="AA34" s="13">
        <v>44210</v>
      </c>
      <c r="AB34" s="11">
        <v>14</v>
      </c>
      <c r="AC34" s="11">
        <v>1</v>
      </c>
      <c r="AD34" s="11">
        <v>2021</v>
      </c>
      <c r="AE34" s="13" t="s">
        <v>1095</v>
      </c>
      <c r="AF34" s="11" t="s">
        <v>12</v>
      </c>
      <c r="AG34" s="11" t="s">
        <v>588</v>
      </c>
      <c r="AH34" s="11" t="s">
        <v>588</v>
      </c>
      <c r="AI34" s="11" t="s">
        <v>588</v>
      </c>
      <c r="AJ34" s="11" t="s">
        <v>588</v>
      </c>
      <c r="AK34" s="13" t="s">
        <v>588</v>
      </c>
      <c r="AL34" s="11" t="s">
        <v>588</v>
      </c>
      <c r="AM34" s="11" t="s">
        <v>588</v>
      </c>
      <c r="AN34" s="11" t="s">
        <v>588</v>
      </c>
      <c r="AO34" s="11" t="s">
        <v>588</v>
      </c>
      <c r="AP34" s="13" t="s">
        <v>1046</v>
      </c>
      <c r="AQ34" s="11" t="s">
        <v>12</v>
      </c>
      <c r="AR34" s="11" t="s">
        <v>1047</v>
      </c>
      <c r="AS34" s="11" t="s">
        <v>1047</v>
      </c>
      <c r="AT34" s="11" t="s">
        <v>1047</v>
      </c>
      <c r="AU34" s="11" t="s">
        <v>588</v>
      </c>
      <c r="AV34" s="11" t="s">
        <v>588</v>
      </c>
      <c r="AW34" s="11" t="s">
        <v>588</v>
      </c>
      <c r="AX34" s="11" t="s">
        <v>588</v>
      </c>
      <c r="AY34" s="11" t="s">
        <v>588</v>
      </c>
      <c r="AZ34" s="11" t="s">
        <v>588</v>
      </c>
      <c r="BA34" s="11" t="s">
        <v>588</v>
      </c>
      <c r="BB34" s="11" t="s">
        <v>588</v>
      </c>
      <c r="BC34" s="11" t="s">
        <v>588</v>
      </c>
      <c r="BD34" s="11" t="s">
        <v>588</v>
      </c>
      <c r="BE34" s="11" t="s">
        <v>588</v>
      </c>
      <c r="BF34" s="11" t="s">
        <v>588</v>
      </c>
      <c r="BG34" s="11" t="s">
        <v>588</v>
      </c>
      <c r="BH34" s="11" t="s">
        <v>588</v>
      </c>
      <c r="BI34" s="11" t="s">
        <v>588</v>
      </c>
      <c r="BJ34" s="11" t="s">
        <v>588</v>
      </c>
      <c r="BK34" s="11" t="s">
        <v>588</v>
      </c>
      <c r="BL34" s="11" t="s">
        <v>588</v>
      </c>
      <c r="BM34" s="11" t="s">
        <v>588</v>
      </c>
      <c r="BN34" s="11" t="s">
        <v>588</v>
      </c>
      <c r="BO34" s="11" t="s">
        <v>41</v>
      </c>
      <c r="BP34" s="11" t="s">
        <v>588</v>
      </c>
      <c r="BQ34" s="11" t="s">
        <v>588</v>
      </c>
      <c r="BR34" s="11" t="s">
        <v>588</v>
      </c>
      <c r="BS34" s="11" t="s">
        <v>8</v>
      </c>
      <c r="BT34" s="11" t="s">
        <v>13</v>
      </c>
      <c r="BU34" s="11" t="s">
        <v>13</v>
      </c>
      <c r="BV34" s="11" t="s">
        <v>8</v>
      </c>
      <c r="BW34" s="11" t="s">
        <v>13</v>
      </c>
      <c r="BX34" s="11" t="s">
        <v>13</v>
      </c>
      <c r="BY34" s="11" t="s">
        <v>588</v>
      </c>
      <c r="BZ34" s="11" t="s">
        <v>588</v>
      </c>
    </row>
    <row r="35" spans="1:78" x14ac:dyDescent="0.25">
      <c r="A35" s="11">
        <v>202021</v>
      </c>
      <c r="B35" s="11" t="s">
        <v>324</v>
      </c>
      <c r="C35" s="11" t="s">
        <v>324</v>
      </c>
      <c r="D35" s="11" t="s">
        <v>326</v>
      </c>
      <c r="E35" s="11" t="s">
        <v>16</v>
      </c>
      <c r="F35" s="11">
        <v>3</v>
      </c>
      <c r="G35" s="11" t="s">
        <v>1048</v>
      </c>
      <c r="H35" s="11" t="s">
        <v>1048</v>
      </c>
      <c r="I35" s="13">
        <v>44223</v>
      </c>
      <c r="J35" s="11">
        <v>27</v>
      </c>
      <c r="K35" s="11">
        <v>1</v>
      </c>
      <c r="L35" s="11">
        <v>2021</v>
      </c>
      <c r="M35" s="11" t="s">
        <v>1117</v>
      </c>
      <c r="N35" s="11" t="s">
        <v>12</v>
      </c>
      <c r="O35" s="11" t="s">
        <v>51</v>
      </c>
      <c r="P35" s="11" t="s">
        <v>588</v>
      </c>
      <c r="Q35" s="11" t="s">
        <v>588</v>
      </c>
      <c r="R35" s="11" t="s">
        <v>588</v>
      </c>
      <c r="S35" s="11" t="s">
        <v>588</v>
      </c>
      <c r="T35" s="11">
        <v>3</v>
      </c>
      <c r="U35" s="11">
        <v>3</v>
      </c>
      <c r="V35" s="13">
        <v>44225</v>
      </c>
      <c r="W35" s="11" t="s">
        <v>223</v>
      </c>
      <c r="X35" s="11">
        <v>4</v>
      </c>
      <c r="Y35" s="11">
        <v>4</v>
      </c>
      <c r="Z35" s="11" t="s">
        <v>41</v>
      </c>
      <c r="AA35" s="13">
        <v>44228</v>
      </c>
      <c r="AB35" s="11">
        <v>1</v>
      </c>
      <c r="AC35" s="11">
        <v>2</v>
      </c>
      <c r="AD35" s="11">
        <v>2021</v>
      </c>
      <c r="AE35" s="13" t="s">
        <v>1108</v>
      </c>
      <c r="AF35" s="11" t="s">
        <v>21</v>
      </c>
      <c r="AG35" s="13">
        <v>44235</v>
      </c>
      <c r="AH35" s="11">
        <v>8</v>
      </c>
      <c r="AI35" s="11">
        <v>2</v>
      </c>
      <c r="AJ35" s="11">
        <v>2021</v>
      </c>
      <c r="AK35" s="13" t="s">
        <v>1107</v>
      </c>
      <c r="AL35" s="11" t="s">
        <v>21</v>
      </c>
      <c r="AM35" s="11" t="s">
        <v>20</v>
      </c>
      <c r="AN35" s="11" t="s">
        <v>8</v>
      </c>
      <c r="AO35" s="11" t="s">
        <v>1035</v>
      </c>
      <c r="AP35" s="11" t="s">
        <v>588</v>
      </c>
      <c r="AQ35" s="11" t="s">
        <v>588</v>
      </c>
      <c r="AR35" s="11" t="s">
        <v>588</v>
      </c>
      <c r="AS35" s="11" t="s">
        <v>588</v>
      </c>
      <c r="AT35" s="11" t="s">
        <v>588</v>
      </c>
      <c r="AU35" s="11" t="s">
        <v>588</v>
      </c>
      <c r="AV35" s="11" t="s">
        <v>588</v>
      </c>
      <c r="AW35" s="11" t="s">
        <v>588</v>
      </c>
      <c r="AX35" s="11" t="s">
        <v>588</v>
      </c>
      <c r="AY35" s="11" t="s">
        <v>588</v>
      </c>
      <c r="AZ35" s="11" t="s">
        <v>588</v>
      </c>
      <c r="BA35" s="11" t="s">
        <v>588</v>
      </c>
      <c r="BB35" s="11" t="s">
        <v>588</v>
      </c>
      <c r="BC35" s="11" t="s">
        <v>588</v>
      </c>
      <c r="BD35" s="11" t="s">
        <v>588</v>
      </c>
      <c r="BE35" s="11" t="s">
        <v>588</v>
      </c>
      <c r="BF35" s="11" t="s">
        <v>588</v>
      </c>
      <c r="BG35" s="11" t="s">
        <v>588</v>
      </c>
      <c r="BH35" s="11" t="s">
        <v>588</v>
      </c>
      <c r="BI35" s="11" t="s">
        <v>588</v>
      </c>
      <c r="BJ35" s="11" t="s">
        <v>588</v>
      </c>
      <c r="BK35" s="11" t="s">
        <v>588</v>
      </c>
      <c r="BL35" s="11" t="s">
        <v>588</v>
      </c>
      <c r="BM35" s="11" t="s">
        <v>588</v>
      </c>
      <c r="BN35" s="11" t="s">
        <v>588</v>
      </c>
      <c r="BO35" s="11" t="s">
        <v>588</v>
      </c>
      <c r="BP35" s="11" t="s">
        <v>588</v>
      </c>
      <c r="BQ35" s="11" t="s">
        <v>588</v>
      </c>
      <c r="BR35" s="11" t="s">
        <v>588</v>
      </c>
      <c r="BS35" s="11" t="s">
        <v>8</v>
      </c>
      <c r="BT35" s="11" t="s">
        <v>13</v>
      </c>
      <c r="BU35" s="11" t="s">
        <v>13</v>
      </c>
      <c r="BV35" s="11" t="s">
        <v>588</v>
      </c>
      <c r="BW35" s="11" t="s">
        <v>588</v>
      </c>
      <c r="BX35" s="11" t="s">
        <v>588</v>
      </c>
      <c r="BY35" s="11" t="s">
        <v>588</v>
      </c>
      <c r="BZ35" s="11" t="s">
        <v>588</v>
      </c>
    </row>
    <row r="36" spans="1:78" x14ac:dyDescent="0.25">
      <c r="A36" s="11">
        <v>202021</v>
      </c>
      <c r="B36" s="11" t="s">
        <v>552</v>
      </c>
      <c r="C36" s="11" t="s">
        <v>552</v>
      </c>
      <c r="D36" s="11" t="s">
        <v>404</v>
      </c>
      <c r="E36" s="11" t="s">
        <v>405</v>
      </c>
      <c r="F36" s="11">
        <v>4</v>
      </c>
      <c r="G36" s="11" t="s">
        <v>1049</v>
      </c>
      <c r="H36" s="11" t="s">
        <v>1049</v>
      </c>
      <c r="I36" s="13">
        <v>44223</v>
      </c>
      <c r="J36" s="11">
        <v>27</v>
      </c>
      <c r="K36" s="11">
        <v>1</v>
      </c>
      <c r="L36" s="11">
        <v>2021</v>
      </c>
      <c r="M36" s="11" t="s">
        <v>1117</v>
      </c>
      <c r="N36" s="11" t="s">
        <v>12</v>
      </c>
      <c r="O36" s="11" t="s">
        <v>51</v>
      </c>
      <c r="P36" s="23" t="s">
        <v>588</v>
      </c>
      <c r="Q36" s="23" t="s">
        <v>588</v>
      </c>
      <c r="R36" s="11" t="s">
        <v>588</v>
      </c>
      <c r="S36" s="11" t="s">
        <v>588</v>
      </c>
      <c r="T36" s="11">
        <v>1</v>
      </c>
      <c r="U36" s="11">
        <v>3</v>
      </c>
      <c r="V36" s="11" t="s">
        <v>588</v>
      </c>
      <c r="W36" s="11" t="s">
        <v>588</v>
      </c>
      <c r="X36" s="11">
        <v>3</v>
      </c>
      <c r="Y36" s="11">
        <v>2</v>
      </c>
      <c r="Z36" s="11" t="s">
        <v>41</v>
      </c>
      <c r="AA36" s="13">
        <v>44228</v>
      </c>
      <c r="AB36" s="11">
        <v>1</v>
      </c>
      <c r="AC36" s="11">
        <v>2</v>
      </c>
      <c r="AD36" s="11">
        <v>2021</v>
      </c>
      <c r="AE36" s="13" t="s">
        <v>1108</v>
      </c>
      <c r="AF36" s="11" t="s">
        <v>21</v>
      </c>
      <c r="AG36" s="13">
        <v>44228</v>
      </c>
      <c r="AH36" s="11">
        <v>1</v>
      </c>
      <c r="AI36" s="11">
        <v>2</v>
      </c>
      <c r="AJ36" s="11">
        <v>2021</v>
      </c>
      <c r="AK36" s="13" t="s">
        <v>1108</v>
      </c>
      <c r="AL36" s="11" t="s">
        <v>21</v>
      </c>
      <c r="AM36" s="11" t="s">
        <v>20</v>
      </c>
      <c r="AN36" s="11" t="s">
        <v>8</v>
      </c>
      <c r="AO36" s="11" t="s">
        <v>485</v>
      </c>
      <c r="AP36" s="11" t="s">
        <v>588</v>
      </c>
      <c r="AQ36" s="11" t="s">
        <v>588</v>
      </c>
      <c r="AR36" s="11" t="s">
        <v>588</v>
      </c>
      <c r="AS36" s="11" t="s">
        <v>588</v>
      </c>
      <c r="AT36" s="11" t="s">
        <v>588</v>
      </c>
      <c r="AU36" s="11" t="s">
        <v>588</v>
      </c>
      <c r="AV36" s="11" t="s">
        <v>588</v>
      </c>
      <c r="AW36" s="11" t="s">
        <v>588</v>
      </c>
      <c r="AX36" s="11" t="s">
        <v>588</v>
      </c>
      <c r="AY36" s="11" t="s">
        <v>588</v>
      </c>
      <c r="AZ36" s="11" t="s">
        <v>588</v>
      </c>
      <c r="BA36" s="11" t="s">
        <v>588</v>
      </c>
      <c r="BB36" s="11" t="s">
        <v>588</v>
      </c>
      <c r="BC36" s="11" t="s">
        <v>588</v>
      </c>
      <c r="BD36" s="11" t="s">
        <v>588</v>
      </c>
      <c r="BE36" s="11" t="s">
        <v>588</v>
      </c>
      <c r="BF36" s="11" t="s">
        <v>588</v>
      </c>
      <c r="BG36" s="11" t="s">
        <v>588</v>
      </c>
      <c r="BH36" s="11" t="s">
        <v>588</v>
      </c>
      <c r="BI36" s="11" t="s">
        <v>588</v>
      </c>
      <c r="BJ36" s="11" t="s">
        <v>588</v>
      </c>
      <c r="BK36" s="11" t="s">
        <v>588</v>
      </c>
      <c r="BL36" s="11" t="s">
        <v>588</v>
      </c>
      <c r="BM36" s="11" t="s">
        <v>588</v>
      </c>
      <c r="BN36" s="11" t="s">
        <v>588</v>
      </c>
      <c r="BO36" s="11" t="s">
        <v>588</v>
      </c>
      <c r="BP36" s="11" t="s">
        <v>588</v>
      </c>
      <c r="BQ36" s="11" t="s">
        <v>588</v>
      </c>
      <c r="BR36" s="11" t="s">
        <v>588</v>
      </c>
      <c r="BS36" s="11" t="s">
        <v>41</v>
      </c>
      <c r="BT36" s="11" t="s">
        <v>42</v>
      </c>
      <c r="BU36" s="11" t="s">
        <v>42</v>
      </c>
      <c r="BV36" s="11" t="s">
        <v>588</v>
      </c>
      <c r="BW36" s="11" t="s">
        <v>588</v>
      </c>
      <c r="BX36" s="11" t="s">
        <v>588</v>
      </c>
      <c r="BY36" s="11" t="s">
        <v>588</v>
      </c>
      <c r="BZ36" s="11" t="s">
        <v>588</v>
      </c>
    </row>
    <row r="37" spans="1:78" x14ac:dyDescent="0.25">
      <c r="A37" s="11">
        <v>202021</v>
      </c>
      <c r="B37" s="11" t="s">
        <v>552</v>
      </c>
      <c r="C37" s="11" t="s">
        <v>552</v>
      </c>
      <c r="D37" s="11" t="s">
        <v>404</v>
      </c>
      <c r="E37" s="11" t="s">
        <v>405</v>
      </c>
      <c r="F37" s="11">
        <v>5</v>
      </c>
      <c r="G37" s="11" t="s">
        <v>1050</v>
      </c>
      <c r="H37" s="11" t="s">
        <v>1050</v>
      </c>
      <c r="I37" s="13">
        <v>44235</v>
      </c>
      <c r="J37" s="11">
        <v>8</v>
      </c>
      <c r="K37" s="11">
        <v>2</v>
      </c>
      <c r="L37" s="11">
        <v>2021</v>
      </c>
      <c r="M37" s="11" t="s">
        <v>1107</v>
      </c>
      <c r="N37" s="11" t="s">
        <v>21</v>
      </c>
      <c r="O37" s="11" t="s">
        <v>51</v>
      </c>
      <c r="P37" s="23" t="s">
        <v>588</v>
      </c>
      <c r="Q37" s="23" t="s">
        <v>588</v>
      </c>
      <c r="R37" s="11" t="s">
        <v>588</v>
      </c>
      <c r="S37" s="11" t="s">
        <v>588</v>
      </c>
      <c r="T37" s="11">
        <v>2</v>
      </c>
      <c r="U37" s="11">
        <v>3</v>
      </c>
      <c r="V37" s="11" t="s">
        <v>588</v>
      </c>
      <c r="W37" s="11" t="s">
        <v>588</v>
      </c>
      <c r="X37" s="11">
        <v>4</v>
      </c>
      <c r="Y37" s="11">
        <v>4</v>
      </c>
      <c r="Z37" s="11" t="s">
        <v>41</v>
      </c>
      <c r="AA37" s="13">
        <v>44237</v>
      </c>
      <c r="AB37" s="11">
        <v>10</v>
      </c>
      <c r="AC37" s="11">
        <v>2</v>
      </c>
      <c r="AD37" s="11">
        <v>2021</v>
      </c>
      <c r="AE37" s="13" t="s">
        <v>1124</v>
      </c>
      <c r="AF37" s="11" t="s">
        <v>21</v>
      </c>
      <c r="AG37" s="13">
        <v>44246</v>
      </c>
      <c r="AH37" s="11">
        <v>19</v>
      </c>
      <c r="AI37" s="11">
        <v>2</v>
      </c>
      <c r="AJ37" s="11">
        <v>2021</v>
      </c>
      <c r="AK37" s="13" t="s">
        <v>1109</v>
      </c>
      <c r="AL37" s="11" t="s">
        <v>21</v>
      </c>
      <c r="AM37" s="11" t="s">
        <v>20</v>
      </c>
      <c r="AN37" s="11" t="s">
        <v>41</v>
      </c>
      <c r="AO37" s="11" t="s">
        <v>41</v>
      </c>
      <c r="AP37" s="11" t="s">
        <v>588</v>
      </c>
      <c r="AQ37" s="11" t="s">
        <v>588</v>
      </c>
      <c r="AR37" s="11" t="s">
        <v>588</v>
      </c>
      <c r="AS37" s="11" t="s">
        <v>588</v>
      </c>
      <c r="AT37" s="11" t="s">
        <v>588</v>
      </c>
      <c r="AU37" s="11" t="s">
        <v>588</v>
      </c>
      <c r="AV37" s="11" t="s">
        <v>588</v>
      </c>
      <c r="AW37" s="11" t="s">
        <v>588</v>
      </c>
      <c r="AX37" s="11" t="s">
        <v>588</v>
      </c>
      <c r="AY37" s="11" t="s">
        <v>588</v>
      </c>
      <c r="AZ37" s="11" t="s">
        <v>588</v>
      </c>
      <c r="BA37" s="11" t="s">
        <v>588</v>
      </c>
      <c r="BB37" s="11" t="s">
        <v>588</v>
      </c>
      <c r="BC37" s="11" t="s">
        <v>588</v>
      </c>
      <c r="BD37" s="11" t="s">
        <v>588</v>
      </c>
      <c r="BE37" s="11" t="s">
        <v>588</v>
      </c>
      <c r="BF37" s="11" t="s">
        <v>588</v>
      </c>
      <c r="BG37" s="11" t="s">
        <v>588</v>
      </c>
      <c r="BH37" s="11" t="s">
        <v>588</v>
      </c>
      <c r="BI37" s="11" t="s">
        <v>588</v>
      </c>
      <c r="BJ37" s="11" t="s">
        <v>588</v>
      </c>
      <c r="BK37" s="11" t="s">
        <v>588</v>
      </c>
      <c r="BL37" s="11" t="s">
        <v>588</v>
      </c>
      <c r="BM37" s="11" t="s">
        <v>588</v>
      </c>
      <c r="BN37" s="11" t="s">
        <v>588</v>
      </c>
      <c r="BO37" s="11" t="s">
        <v>588</v>
      </c>
      <c r="BP37" s="11" t="s">
        <v>588</v>
      </c>
      <c r="BQ37" s="11" t="s">
        <v>588</v>
      </c>
      <c r="BR37" s="11" t="s">
        <v>588</v>
      </c>
      <c r="BS37" s="11" t="s">
        <v>41</v>
      </c>
      <c r="BT37" s="11" t="s">
        <v>42</v>
      </c>
      <c r="BU37" s="11" t="s">
        <v>42</v>
      </c>
      <c r="BV37" s="11" t="s">
        <v>588</v>
      </c>
      <c r="BW37" s="11" t="s">
        <v>588</v>
      </c>
      <c r="BX37" s="11" t="s">
        <v>588</v>
      </c>
      <c r="BY37" s="11" t="s">
        <v>588</v>
      </c>
      <c r="BZ37" s="11" t="s">
        <v>588</v>
      </c>
    </row>
    <row r="38" spans="1:78" x14ac:dyDescent="0.25">
      <c r="A38" s="11">
        <v>202021</v>
      </c>
      <c r="B38" s="11" t="s">
        <v>425</v>
      </c>
      <c r="C38" s="11" t="s">
        <v>425</v>
      </c>
      <c r="D38" s="11" t="s">
        <v>558</v>
      </c>
      <c r="E38" s="11" t="s">
        <v>16</v>
      </c>
      <c r="F38" s="11">
        <v>1</v>
      </c>
      <c r="G38" s="11" t="s">
        <v>1051</v>
      </c>
      <c r="H38" s="11" t="s">
        <v>1051</v>
      </c>
      <c r="I38" s="13">
        <v>44121</v>
      </c>
      <c r="J38" s="11">
        <v>17</v>
      </c>
      <c r="K38" s="11">
        <v>10</v>
      </c>
      <c r="L38" s="11">
        <v>2020</v>
      </c>
      <c r="M38" s="11" t="s">
        <v>1157</v>
      </c>
      <c r="N38" s="11" t="s">
        <v>29</v>
      </c>
      <c r="O38" s="11" t="s">
        <v>10</v>
      </c>
      <c r="P38" s="11" t="s">
        <v>588</v>
      </c>
      <c r="Q38" s="11" t="s">
        <v>588</v>
      </c>
      <c r="R38" s="11" t="s">
        <v>588</v>
      </c>
      <c r="S38" s="11" t="s">
        <v>588</v>
      </c>
      <c r="T38" s="11">
        <v>3</v>
      </c>
      <c r="U38" s="11">
        <v>3</v>
      </c>
      <c r="V38" s="11" t="s">
        <v>588</v>
      </c>
      <c r="W38" s="11" t="s">
        <v>588</v>
      </c>
      <c r="X38" s="11">
        <v>3</v>
      </c>
      <c r="Y38" s="11">
        <v>3</v>
      </c>
      <c r="Z38" s="11" t="s">
        <v>41</v>
      </c>
      <c r="AA38" s="13">
        <v>44139</v>
      </c>
      <c r="AB38" s="11">
        <v>4</v>
      </c>
      <c r="AC38" s="11">
        <v>11</v>
      </c>
      <c r="AD38" s="11">
        <v>2020</v>
      </c>
      <c r="AE38" s="13" t="s">
        <v>1089</v>
      </c>
      <c r="AF38" s="11" t="s">
        <v>17</v>
      </c>
      <c r="AG38" s="13">
        <v>44148</v>
      </c>
      <c r="AH38" s="11">
        <v>13</v>
      </c>
      <c r="AI38" s="11">
        <v>11</v>
      </c>
      <c r="AJ38" s="11">
        <v>2020</v>
      </c>
      <c r="AK38" s="13" t="s">
        <v>1110</v>
      </c>
      <c r="AL38" s="11" t="s">
        <v>17</v>
      </c>
      <c r="AM38" s="11" t="s">
        <v>20</v>
      </c>
      <c r="AN38" s="11" t="s">
        <v>41</v>
      </c>
      <c r="AO38" s="11" t="s">
        <v>41</v>
      </c>
      <c r="AP38" s="11" t="s">
        <v>588</v>
      </c>
      <c r="AQ38" s="11" t="s">
        <v>588</v>
      </c>
      <c r="AR38" s="11" t="s">
        <v>588</v>
      </c>
      <c r="AS38" s="11" t="s">
        <v>588</v>
      </c>
      <c r="AT38" s="11" t="s">
        <v>588</v>
      </c>
      <c r="AU38" s="11" t="s">
        <v>588</v>
      </c>
      <c r="AV38" s="11" t="s">
        <v>588</v>
      </c>
      <c r="AW38" s="11" t="s">
        <v>588</v>
      </c>
      <c r="AX38" s="11" t="s">
        <v>588</v>
      </c>
      <c r="AY38" s="11" t="s">
        <v>588</v>
      </c>
      <c r="AZ38" s="11" t="s">
        <v>588</v>
      </c>
      <c r="BA38" s="11" t="s">
        <v>588</v>
      </c>
      <c r="BB38" s="11" t="s">
        <v>588</v>
      </c>
      <c r="BC38" s="11" t="s">
        <v>588</v>
      </c>
      <c r="BD38" s="11" t="s">
        <v>588</v>
      </c>
      <c r="BE38" s="11" t="s">
        <v>588</v>
      </c>
      <c r="BF38" s="11" t="s">
        <v>588</v>
      </c>
      <c r="BG38" s="11" t="s">
        <v>588</v>
      </c>
      <c r="BH38" s="11" t="s">
        <v>588</v>
      </c>
      <c r="BI38" s="11" t="s">
        <v>588</v>
      </c>
      <c r="BJ38" s="11" t="s">
        <v>588</v>
      </c>
      <c r="BK38" s="11" t="s">
        <v>588</v>
      </c>
      <c r="BL38" s="11" t="s">
        <v>588</v>
      </c>
      <c r="BM38" s="11" t="s">
        <v>588</v>
      </c>
      <c r="BN38" s="11" t="s">
        <v>588</v>
      </c>
      <c r="BO38" s="11" t="s">
        <v>588</v>
      </c>
      <c r="BP38" s="11" t="s">
        <v>588</v>
      </c>
      <c r="BQ38" s="11" t="s">
        <v>588</v>
      </c>
      <c r="BR38" s="11" t="s">
        <v>588</v>
      </c>
      <c r="BS38" s="11" t="s">
        <v>8</v>
      </c>
      <c r="BT38" s="11" t="s">
        <v>9</v>
      </c>
      <c r="BU38" s="11" t="s">
        <v>9</v>
      </c>
      <c r="BV38" s="11" t="s">
        <v>588</v>
      </c>
      <c r="BW38" s="11" t="s">
        <v>588</v>
      </c>
      <c r="BX38" s="11" t="s">
        <v>588</v>
      </c>
      <c r="BY38" s="11" t="s">
        <v>588</v>
      </c>
      <c r="BZ38" s="11" t="s">
        <v>588</v>
      </c>
    </row>
    <row r="39" spans="1:78" x14ac:dyDescent="0.25">
      <c r="A39" s="11">
        <v>202021</v>
      </c>
      <c r="B39" s="11" t="s">
        <v>425</v>
      </c>
      <c r="C39" s="11" t="s">
        <v>425</v>
      </c>
      <c r="D39" s="11" t="s">
        <v>558</v>
      </c>
      <c r="E39" s="11" t="s">
        <v>16</v>
      </c>
      <c r="F39" s="11">
        <v>2</v>
      </c>
      <c r="G39" s="11" t="s">
        <v>1052</v>
      </c>
      <c r="H39" s="11" t="s">
        <v>1052</v>
      </c>
      <c r="I39" s="13">
        <v>44161</v>
      </c>
      <c r="J39" s="11">
        <v>26</v>
      </c>
      <c r="K39" s="11">
        <v>11</v>
      </c>
      <c r="L39" s="11">
        <v>2020</v>
      </c>
      <c r="M39" s="11" t="s">
        <v>1099</v>
      </c>
      <c r="N39" s="11" t="s">
        <v>17</v>
      </c>
      <c r="O39" s="11" t="s">
        <v>36</v>
      </c>
      <c r="P39" s="11" t="s">
        <v>588</v>
      </c>
      <c r="Q39" s="11" t="s">
        <v>588</v>
      </c>
      <c r="R39" s="11" t="s">
        <v>588</v>
      </c>
      <c r="S39" s="11" t="s">
        <v>588</v>
      </c>
      <c r="T39" s="11">
        <v>2</v>
      </c>
      <c r="U39" s="11">
        <v>2</v>
      </c>
      <c r="V39" s="13">
        <v>44160</v>
      </c>
      <c r="W39" s="11" t="s">
        <v>219</v>
      </c>
      <c r="X39" s="11">
        <v>8</v>
      </c>
      <c r="Y39" s="11">
        <v>8</v>
      </c>
      <c r="Z39" s="11" t="s">
        <v>8</v>
      </c>
      <c r="AA39" s="13">
        <v>44186</v>
      </c>
      <c r="AB39" s="11">
        <v>21</v>
      </c>
      <c r="AC39" s="11">
        <v>12</v>
      </c>
      <c r="AD39" s="11">
        <v>2020</v>
      </c>
      <c r="AE39" s="13" t="s">
        <v>1158</v>
      </c>
      <c r="AF39" s="11" t="s">
        <v>7</v>
      </c>
      <c r="AG39" s="11" t="s">
        <v>588</v>
      </c>
      <c r="AH39" s="11" t="s">
        <v>588</v>
      </c>
      <c r="AI39" s="11" t="s">
        <v>588</v>
      </c>
      <c r="AJ39" s="11" t="s">
        <v>588</v>
      </c>
      <c r="AK39" s="13" t="s">
        <v>588</v>
      </c>
      <c r="AL39" s="11" t="s">
        <v>588</v>
      </c>
      <c r="AM39" s="11" t="s">
        <v>588</v>
      </c>
      <c r="AN39" s="11" t="s">
        <v>588</v>
      </c>
      <c r="AO39" s="11" t="s">
        <v>588</v>
      </c>
      <c r="AP39" s="13">
        <v>44188</v>
      </c>
      <c r="AQ39" s="11" t="s">
        <v>7</v>
      </c>
      <c r="AR39" s="11" t="s">
        <v>195</v>
      </c>
      <c r="AS39" s="11">
        <v>1</v>
      </c>
      <c r="AT39" s="11">
        <v>1</v>
      </c>
      <c r="AU39" s="13">
        <v>44211</v>
      </c>
      <c r="AV39" s="13">
        <v>44213</v>
      </c>
      <c r="AW39" s="11" t="s">
        <v>12</v>
      </c>
      <c r="AX39" s="11" t="s">
        <v>20</v>
      </c>
      <c r="AY39" s="11" t="s">
        <v>41</v>
      </c>
      <c r="AZ39" s="11" t="s">
        <v>41</v>
      </c>
      <c r="BA39" s="11" t="s">
        <v>588</v>
      </c>
      <c r="BB39" s="11" t="s">
        <v>588</v>
      </c>
      <c r="BC39" s="11" t="s">
        <v>588</v>
      </c>
      <c r="BD39" s="11" t="s">
        <v>588</v>
      </c>
      <c r="BE39" s="11" t="s">
        <v>588</v>
      </c>
      <c r="BF39" s="11" t="s">
        <v>588</v>
      </c>
      <c r="BG39" s="11" t="s">
        <v>588</v>
      </c>
      <c r="BH39" s="11" t="s">
        <v>588</v>
      </c>
      <c r="BI39" s="11" t="s">
        <v>588</v>
      </c>
      <c r="BJ39" s="11" t="s">
        <v>588</v>
      </c>
      <c r="BK39" s="11" t="s">
        <v>588</v>
      </c>
      <c r="BL39" s="11" t="s">
        <v>588</v>
      </c>
      <c r="BM39" s="11">
        <v>8</v>
      </c>
      <c r="BN39" s="11">
        <v>7</v>
      </c>
      <c r="BO39" s="11" t="s">
        <v>41</v>
      </c>
      <c r="BP39" s="11" t="s">
        <v>588</v>
      </c>
      <c r="BQ39" s="11" t="s">
        <v>588</v>
      </c>
      <c r="BR39" s="11" t="s">
        <v>588</v>
      </c>
      <c r="BS39" s="11" t="s">
        <v>8</v>
      </c>
      <c r="BT39" s="11" t="s">
        <v>9</v>
      </c>
      <c r="BU39" s="11" t="s">
        <v>9</v>
      </c>
      <c r="BV39" s="11" t="s">
        <v>8</v>
      </c>
      <c r="BW39" s="11" t="s">
        <v>97</v>
      </c>
      <c r="BX39" s="11" t="s">
        <v>97</v>
      </c>
      <c r="BY39" s="11" t="s">
        <v>588</v>
      </c>
      <c r="BZ39" s="11" t="s">
        <v>588</v>
      </c>
    </row>
    <row r="40" spans="1:78" x14ac:dyDescent="0.25">
      <c r="A40" s="11">
        <v>202021</v>
      </c>
      <c r="B40" s="11" t="s">
        <v>425</v>
      </c>
      <c r="C40" s="11" t="s">
        <v>425</v>
      </c>
      <c r="D40" s="11" t="s">
        <v>558</v>
      </c>
      <c r="E40" s="11" t="s">
        <v>16</v>
      </c>
      <c r="F40" s="11">
        <v>3</v>
      </c>
      <c r="G40" s="11" t="s">
        <v>1053</v>
      </c>
      <c r="H40" s="11" t="s">
        <v>1053</v>
      </c>
      <c r="I40" s="13">
        <v>44230</v>
      </c>
      <c r="J40" s="11">
        <v>3</v>
      </c>
      <c r="K40" s="11">
        <v>2</v>
      </c>
      <c r="L40" s="11">
        <v>2021</v>
      </c>
      <c r="M40" s="11" t="s">
        <v>1159</v>
      </c>
      <c r="N40" s="11" t="s">
        <v>21</v>
      </c>
      <c r="O40" s="11" t="s">
        <v>10</v>
      </c>
      <c r="P40" s="11" t="s">
        <v>588</v>
      </c>
      <c r="Q40" s="11" t="s">
        <v>588</v>
      </c>
      <c r="R40" s="11" t="s">
        <v>588</v>
      </c>
      <c r="S40" s="11" t="s">
        <v>588</v>
      </c>
      <c r="T40" s="11">
        <v>3</v>
      </c>
      <c r="U40" s="11">
        <v>3</v>
      </c>
      <c r="V40" s="11" t="s">
        <v>588</v>
      </c>
      <c r="W40" s="11" t="s">
        <v>588</v>
      </c>
      <c r="X40" s="11">
        <v>4</v>
      </c>
      <c r="Y40" s="11">
        <v>4</v>
      </c>
      <c r="Z40" s="11" t="s">
        <v>41</v>
      </c>
      <c r="AA40" s="13">
        <v>44236</v>
      </c>
      <c r="AB40" s="11">
        <v>9</v>
      </c>
      <c r="AC40" s="11">
        <v>2</v>
      </c>
      <c r="AD40" s="11">
        <v>2021</v>
      </c>
      <c r="AE40" s="13" t="s">
        <v>1160</v>
      </c>
      <c r="AF40" s="11" t="s">
        <v>21</v>
      </c>
      <c r="AG40" s="13">
        <v>44242</v>
      </c>
      <c r="AH40" s="11">
        <v>15</v>
      </c>
      <c r="AI40" s="11">
        <v>2</v>
      </c>
      <c r="AJ40" s="11">
        <v>2021</v>
      </c>
      <c r="AK40" s="13" t="s">
        <v>1087</v>
      </c>
      <c r="AL40" s="11" t="s">
        <v>21</v>
      </c>
      <c r="AM40" s="11" t="s">
        <v>20</v>
      </c>
      <c r="AN40" s="11" t="s">
        <v>41</v>
      </c>
      <c r="AO40" s="11" t="s">
        <v>41</v>
      </c>
      <c r="AP40" s="11" t="s">
        <v>588</v>
      </c>
      <c r="AQ40" s="11" t="s">
        <v>588</v>
      </c>
      <c r="AR40" s="11" t="s">
        <v>588</v>
      </c>
      <c r="AS40" s="11" t="s">
        <v>588</v>
      </c>
      <c r="AT40" s="11" t="s">
        <v>588</v>
      </c>
      <c r="AU40" s="11" t="s">
        <v>588</v>
      </c>
      <c r="AV40" s="11" t="s">
        <v>588</v>
      </c>
      <c r="AW40" s="11" t="s">
        <v>588</v>
      </c>
      <c r="AX40" s="11" t="s">
        <v>588</v>
      </c>
      <c r="AY40" s="11" t="s">
        <v>588</v>
      </c>
      <c r="AZ40" s="11" t="s">
        <v>588</v>
      </c>
      <c r="BA40" s="11" t="s">
        <v>588</v>
      </c>
      <c r="BB40" s="11" t="s">
        <v>588</v>
      </c>
      <c r="BC40" s="11" t="s">
        <v>588</v>
      </c>
      <c r="BD40" s="11" t="s">
        <v>588</v>
      </c>
      <c r="BE40" s="11" t="s">
        <v>588</v>
      </c>
      <c r="BF40" s="11" t="s">
        <v>588</v>
      </c>
      <c r="BG40" s="11" t="s">
        <v>588</v>
      </c>
      <c r="BH40" s="11" t="s">
        <v>588</v>
      </c>
      <c r="BI40" s="11" t="s">
        <v>588</v>
      </c>
      <c r="BJ40" s="11" t="s">
        <v>588</v>
      </c>
      <c r="BK40" s="11" t="s">
        <v>588</v>
      </c>
      <c r="BL40" s="11" t="s">
        <v>588</v>
      </c>
      <c r="BM40" s="11" t="s">
        <v>588</v>
      </c>
      <c r="BN40" s="11" t="s">
        <v>588</v>
      </c>
      <c r="BO40" s="11" t="s">
        <v>588</v>
      </c>
      <c r="BP40" s="11" t="s">
        <v>588</v>
      </c>
      <c r="BQ40" s="11" t="s">
        <v>588</v>
      </c>
      <c r="BR40" s="11" t="s">
        <v>588</v>
      </c>
      <c r="BS40" s="11" t="s">
        <v>8</v>
      </c>
      <c r="BT40" s="11" t="s">
        <v>9</v>
      </c>
      <c r="BU40" s="11" t="s">
        <v>9</v>
      </c>
      <c r="BV40" s="11" t="s">
        <v>588</v>
      </c>
      <c r="BW40" s="11" t="s">
        <v>588</v>
      </c>
      <c r="BX40" s="11" t="s">
        <v>588</v>
      </c>
      <c r="BY40" s="11" t="s">
        <v>588</v>
      </c>
      <c r="BZ40" s="11" t="s">
        <v>588</v>
      </c>
    </row>
    <row r="41" spans="1:78" x14ac:dyDescent="0.25">
      <c r="A41" s="11">
        <v>202021</v>
      </c>
      <c r="B41" s="11" t="s">
        <v>432</v>
      </c>
      <c r="C41" s="11" t="s">
        <v>432</v>
      </c>
      <c r="D41" s="11" t="s">
        <v>101</v>
      </c>
      <c r="E41" s="11" t="s">
        <v>101</v>
      </c>
      <c r="F41" s="11">
        <v>1</v>
      </c>
      <c r="G41" s="11" t="s">
        <v>1054</v>
      </c>
      <c r="H41" s="11" t="s">
        <v>1054</v>
      </c>
      <c r="I41" s="13">
        <v>44199</v>
      </c>
      <c r="J41" s="11">
        <v>3</v>
      </c>
      <c r="K41" s="11">
        <v>1</v>
      </c>
      <c r="L41" s="11">
        <v>2021</v>
      </c>
      <c r="M41" s="11" t="s">
        <v>1136</v>
      </c>
      <c r="N41" s="11" t="s">
        <v>12</v>
      </c>
      <c r="O41" s="11" t="s">
        <v>51</v>
      </c>
      <c r="P41" s="23">
        <v>-38.540301999999997</v>
      </c>
      <c r="Q41" s="23">
        <v>145.43818099999999</v>
      </c>
      <c r="R41" s="11" t="s">
        <v>588</v>
      </c>
      <c r="S41" s="11" t="s">
        <v>588</v>
      </c>
      <c r="T41" s="11">
        <v>3</v>
      </c>
      <c r="U41" s="11">
        <v>3</v>
      </c>
      <c r="V41" s="11" t="s">
        <v>588</v>
      </c>
      <c r="W41" s="11" t="s">
        <v>588</v>
      </c>
      <c r="X41" s="11">
        <v>1</v>
      </c>
      <c r="Y41" s="11">
        <v>1</v>
      </c>
      <c r="Z41" s="11" t="s">
        <v>8</v>
      </c>
      <c r="AA41" s="13">
        <v>44199</v>
      </c>
      <c r="AB41" s="11">
        <v>3</v>
      </c>
      <c r="AC41" s="11">
        <v>1</v>
      </c>
      <c r="AD41" s="11">
        <v>2021</v>
      </c>
      <c r="AE41" s="13" t="s">
        <v>1136</v>
      </c>
      <c r="AF41" s="11" t="s">
        <v>12</v>
      </c>
      <c r="AG41" s="11" t="s">
        <v>588</v>
      </c>
      <c r="AH41" s="11" t="s">
        <v>588</v>
      </c>
      <c r="AI41" s="11" t="s">
        <v>588</v>
      </c>
      <c r="AJ41" s="11" t="s">
        <v>588</v>
      </c>
      <c r="AK41" s="13" t="s">
        <v>588</v>
      </c>
      <c r="AL41" s="11" t="s">
        <v>588</v>
      </c>
      <c r="AM41" s="11" t="s">
        <v>588</v>
      </c>
      <c r="AN41" s="11" t="s">
        <v>588</v>
      </c>
      <c r="AO41" s="11" t="s">
        <v>588</v>
      </c>
      <c r="AP41" s="13">
        <v>44211</v>
      </c>
      <c r="AQ41" s="11" t="s">
        <v>12</v>
      </c>
      <c r="AR41" s="11" t="s">
        <v>195</v>
      </c>
      <c r="AS41" s="11">
        <v>3</v>
      </c>
      <c r="AT41" s="11">
        <v>3</v>
      </c>
      <c r="AU41" s="11" t="s">
        <v>588</v>
      </c>
      <c r="AV41" s="11" t="s">
        <v>588</v>
      </c>
      <c r="AW41" s="11" t="s">
        <v>588</v>
      </c>
      <c r="AX41" s="11" t="s">
        <v>588</v>
      </c>
      <c r="AY41" s="11" t="s">
        <v>588</v>
      </c>
      <c r="AZ41" s="11" t="s">
        <v>588</v>
      </c>
      <c r="BA41" s="11" t="s">
        <v>588</v>
      </c>
      <c r="BB41" s="11" t="s">
        <v>588</v>
      </c>
      <c r="BC41" s="11" t="s">
        <v>588</v>
      </c>
      <c r="BD41" s="11" t="s">
        <v>588</v>
      </c>
      <c r="BE41" s="11" t="s">
        <v>588</v>
      </c>
      <c r="BF41" s="11" t="s">
        <v>588</v>
      </c>
      <c r="BG41" s="11" t="s">
        <v>588</v>
      </c>
      <c r="BH41" s="11" t="s">
        <v>588</v>
      </c>
      <c r="BI41" s="11" t="s">
        <v>588</v>
      </c>
      <c r="BJ41" s="11" t="s">
        <v>588</v>
      </c>
      <c r="BK41" s="11" t="s">
        <v>588</v>
      </c>
      <c r="BL41" s="11" t="s">
        <v>588</v>
      </c>
      <c r="BM41" s="11" t="s">
        <v>588</v>
      </c>
      <c r="BN41" s="11" t="s">
        <v>588</v>
      </c>
      <c r="BO41" s="11" t="s">
        <v>8</v>
      </c>
      <c r="BP41" s="11">
        <v>1</v>
      </c>
      <c r="BQ41" s="13">
        <v>44248</v>
      </c>
      <c r="BR41" s="11" t="s">
        <v>21</v>
      </c>
      <c r="BS41" s="11" t="s">
        <v>8</v>
      </c>
      <c r="BT41" s="11" t="s">
        <v>18</v>
      </c>
      <c r="BU41" s="11" t="s">
        <v>18</v>
      </c>
      <c r="BV41" s="11" t="s">
        <v>8</v>
      </c>
      <c r="BW41" s="11" t="s">
        <v>18</v>
      </c>
      <c r="BX41" s="11" t="s">
        <v>18</v>
      </c>
      <c r="BY41" s="11" t="s">
        <v>588</v>
      </c>
      <c r="BZ41" s="11" t="s">
        <v>588</v>
      </c>
    </row>
    <row r="42" spans="1:78" x14ac:dyDescent="0.25">
      <c r="A42" s="11">
        <v>202021</v>
      </c>
      <c r="B42" s="11" t="s">
        <v>556</v>
      </c>
      <c r="C42" s="11" t="s">
        <v>556</v>
      </c>
      <c r="D42" s="11" t="s">
        <v>557</v>
      </c>
      <c r="E42" s="11" t="s">
        <v>543</v>
      </c>
      <c r="F42" s="11">
        <v>1</v>
      </c>
      <c r="G42" s="11" t="s">
        <v>1055</v>
      </c>
      <c r="H42" s="11" t="s">
        <v>1055</v>
      </c>
      <c r="I42" s="13">
        <v>44096</v>
      </c>
      <c r="J42" s="11">
        <v>22</v>
      </c>
      <c r="K42" s="11">
        <v>9</v>
      </c>
      <c r="L42" s="11">
        <v>2020</v>
      </c>
      <c r="M42" s="11" t="s">
        <v>1161</v>
      </c>
      <c r="N42" s="11" t="s">
        <v>28</v>
      </c>
      <c r="O42" s="11" t="s">
        <v>36</v>
      </c>
      <c r="P42" s="11" t="s">
        <v>588</v>
      </c>
      <c r="Q42" s="11" t="s">
        <v>588</v>
      </c>
      <c r="R42" s="11" t="s">
        <v>588</v>
      </c>
      <c r="S42" s="11" t="s">
        <v>588</v>
      </c>
      <c r="T42" s="11">
        <v>2</v>
      </c>
      <c r="U42" s="11">
        <v>3</v>
      </c>
      <c r="V42" s="11" t="s">
        <v>588</v>
      </c>
      <c r="W42" s="11" t="s">
        <v>588</v>
      </c>
      <c r="X42" s="11">
        <v>2</v>
      </c>
      <c r="Y42" s="11">
        <v>2</v>
      </c>
      <c r="Z42" s="11" t="s">
        <v>41</v>
      </c>
      <c r="AA42" s="13">
        <v>44096</v>
      </c>
      <c r="AB42" s="11">
        <v>22</v>
      </c>
      <c r="AC42" s="11">
        <v>9</v>
      </c>
      <c r="AD42" s="11">
        <v>2020</v>
      </c>
      <c r="AE42" s="13" t="s">
        <v>1161</v>
      </c>
      <c r="AF42" s="11" t="s">
        <v>28</v>
      </c>
      <c r="AG42" s="13">
        <v>44118</v>
      </c>
      <c r="AH42" s="11">
        <v>14</v>
      </c>
      <c r="AI42" s="11">
        <v>10</v>
      </c>
      <c r="AJ42" s="11">
        <v>2020</v>
      </c>
      <c r="AK42" s="13" t="s">
        <v>1111</v>
      </c>
      <c r="AL42" s="11" t="s">
        <v>29</v>
      </c>
      <c r="AM42" s="11" t="s">
        <v>20</v>
      </c>
      <c r="AN42" s="11" t="s">
        <v>41</v>
      </c>
      <c r="AO42" s="11" t="s">
        <v>41</v>
      </c>
      <c r="AP42" s="11" t="s">
        <v>588</v>
      </c>
      <c r="AQ42" s="11" t="s">
        <v>588</v>
      </c>
      <c r="AR42" s="11" t="s">
        <v>588</v>
      </c>
      <c r="AS42" s="11" t="s">
        <v>588</v>
      </c>
      <c r="AT42" s="11" t="s">
        <v>588</v>
      </c>
      <c r="AU42" s="11" t="s">
        <v>588</v>
      </c>
      <c r="AV42" s="11" t="s">
        <v>588</v>
      </c>
      <c r="AW42" s="11" t="s">
        <v>588</v>
      </c>
      <c r="AX42" s="11" t="s">
        <v>588</v>
      </c>
      <c r="AY42" s="11" t="s">
        <v>588</v>
      </c>
      <c r="AZ42" s="11" t="s">
        <v>588</v>
      </c>
      <c r="BA42" s="11" t="s">
        <v>588</v>
      </c>
      <c r="BB42" s="11" t="s">
        <v>588</v>
      </c>
      <c r="BC42" s="11" t="s">
        <v>588</v>
      </c>
      <c r="BD42" s="11" t="s">
        <v>588</v>
      </c>
      <c r="BE42" s="11" t="s">
        <v>588</v>
      </c>
      <c r="BF42" s="11" t="s">
        <v>588</v>
      </c>
      <c r="BG42" s="11" t="s">
        <v>588</v>
      </c>
      <c r="BH42" s="11" t="s">
        <v>588</v>
      </c>
      <c r="BI42" s="11" t="s">
        <v>588</v>
      </c>
      <c r="BJ42" s="11" t="s">
        <v>588</v>
      </c>
      <c r="BK42" s="11" t="s">
        <v>588</v>
      </c>
      <c r="BL42" s="11" t="s">
        <v>588</v>
      </c>
      <c r="BM42" s="11" t="s">
        <v>588</v>
      </c>
      <c r="BN42" s="11" t="s">
        <v>588</v>
      </c>
      <c r="BO42" s="11" t="s">
        <v>588</v>
      </c>
      <c r="BP42" s="11" t="s">
        <v>588</v>
      </c>
      <c r="BQ42" s="11" t="s">
        <v>588</v>
      </c>
      <c r="BR42" s="11" t="s">
        <v>588</v>
      </c>
      <c r="BS42" s="11" t="s">
        <v>41</v>
      </c>
      <c r="BT42" s="11" t="s">
        <v>42</v>
      </c>
      <c r="BU42" s="11" t="s">
        <v>42</v>
      </c>
      <c r="BV42" s="11" t="s">
        <v>588</v>
      </c>
      <c r="BW42" s="11" t="s">
        <v>588</v>
      </c>
      <c r="BX42" s="11" t="s">
        <v>588</v>
      </c>
      <c r="BY42" s="11" t="s">
        <v>588</v>
      </c>
      <c r="BZ42" s="11" t="s">
        <v>588</v>
      </c>
    </row>
    <row r="43" spans="1:78" x14ac:dyDescent="0.25">
      <c r="A43" s="11">
        <v>202021</v>
      </c>
      <c r="B43" s="11" t="s">
        <v>556</v>
      </c>
      <c r="C43" s="11" t="s">
        <v>556</v>
      </c>
      <c r="D43" s="11" t="s">
        <v>557</v>
      </c>
      <c r="E43" s="11" t="s">
        <v>543</v>
      </c>
      <c r="F43" s="11">
        <v>2</v>
      </c>
      <c r="G43" s="11" t="s">
        <v>1056</v>
      </c>
      <c r="H43" s="11" t="s">
        <v>1056</v>
      </c>
      <c r="I43" s="13">
        <v>44187</v>
      </c>
      <c r="J43" s="11">
        <v>22</v>
      </c>
      <c r="K43" s="11">
        <v>12</v>
      </c>
      <c r="L43" s="11">
        <v>2020</v>
      </c>
      <c r="M43" s="11" t="s">
        <v>1144</v>
      </c>
      <c r="N43" s="11" t="s">
        <v>7</v>
      </c>
      <c r="O43" s="11" t="s">
        <v>10</v>
      </c>
      <c r="P43" s="11" t="s">
        <v>588</v>
      </c>
      <c r="Q43" s="11" t="s">
        <v>588</v>
      </c>
      <c r="R43" s="11" t="s">
        <v>588</v>
      </c>
      <c r="S43" s="11" t="s">
        <v>588</v>
      </c>
      <c r="T43" s="11">
        <v>1</v>
      </c>
      <c r="U43" s="11">
        <v>3</v>
      </c>
      <c r="V43" s="11" t="s">
        <v>588</v>
      </c>
      <c r="W43" s="11" t="s">
        <v>588</v>
      </c>
      <c r="X43" s="11">
        <v>3</v>
      </c>
      <c r="Y43" s="11">
        <v>3</v>
      </c>
      <c r="Z43" s="11" t="s">
        <v>41</v>
      </c>
      <c r="AA43" s="13">
        <v>44197</v>
      </c>
      <c r="AB43" s="11">
        <v>1</v>
      </c>
      <c r="AC43" s="11">
        <v>1</v>
      </c>
      <c r="AD43" s="11">
        <v>2021</v>
      </c>
      <c r="AE43" s="13" t="s">
        <v>1139</v>
      </c>
      <c r="AF43" s="11" t="s">
        <v>12</v>
      </c>
      <c r="AG43" s="13">
        <v>44213</v>
      </c>
      <c r="AH43" s="11">
        <v>17</v>
      </c>
      <c r="AI43" s="11">
        <v>1</v>
      </c>
      <c r="AJ43" s="11">
        <v>2021</v>
      </c>
      <c r="AK43" s="13" t="s">
        <v>1112</v>
      </c>
      <c r="AL43" s="11" t="s">
        <v>12</v>
      </c>
      <c r="AM43" s="11" t="s">
        <v>20</v>
      </c>
      <c r="AN43" s="11" t="s">
        <v>8</v>
      </c>
      <c r="AO43" s="11" t="s">
        <v>11</v>
      </c>
      <c r="AP43" s="11" t="s">
        <v>588</v>
      </c>
      <c r="AQ43" s="11" t="s">
        <v>588</v>
      </c>
      <c r="AR43" s="11" t="s">
        <v>588</v>
      </c>
      <c r="AS43" s="11" t="s">
        <v>588</v>
      </c>
      <c r="AT43" s="11" t="s">
        <v>588</v>
      </c>
      <c r="AU43" s="11" t="s">
        <v>588</v>
      </c>
      <c r="AV43" s="11" t="s">
        <v>588</v>
      </c>
      <c r="AW43" s="11" t="s">
        <v>588</v>
      </c>
      <c r="AX43" s="11" t="s">
        <v>588</v>
      </c>
      <c r="AY43" s="11" t="s">
        <v>588</v>
      </c>
      <c r="AZ43" s="11" t="s">
        <v>588</v>
      </c>
      <c r="BA43" s="11" t="s">
        <v>588</v>
      </c>
      <c r="BB43" s="11" t="s">
        <v>588</v>
      </c>
      <c r="BC43" s="11" t="s">
        <v>588</v>
      </c>
      <c r="BD43" s="11" t="s">
        <v>588</v>
      </c>
      <c r="BE43" s="11" t="s">
        <v>588</v>
      </c>
      <c r="BF43" s="11" t="s">
        <v>588</v>
      </c>
      <c r="BG43" s="11" t="s">
        <v>588</v>
      </c>
      <c r="BH43" s="11" t="s">
        <v>588</v>
      </c>
      <c r="BI43" s="11" t="s">
        <v>588</v>
      </c>
      <c r="BJ43" s="11" t="s">
        <v>588</v>
      </c>
      <c r="BK43" s="11" t="s">
        <v>588</v>
      </c>
      <c r="BL43" s="11" t="s">
        <v>588</v>
      </c>
      <c r="BM43" s="11" t="s">
        <v>588</v>
      </c>
      <c r="BN43" s="11" t="s">
        <v>588</v>
      </c>
      <c r="BO43" s="11" t="s">
        <v>588</v>
      </c>
      <c r="BP43" s="11" t="s">
        <v>588</v>
      </c>
      <c r="BQ43" s="11" t="s">
        <v>588</v>
      </c>
      <c r="BR43" s="11" t="s">
        <v>588</v>
      </c>
      <c r="BS43" s="11" t="s">
        <v>41</v>
      </c>
      <c r="BT43" s="11" t="s">
        <v>42</v>
      </c>
      <c r="BU43" s="11" t="s">
        <v>42</v>
      </c>
      <c r="BV43" s="11" t="s">
        <v>588</v>
      </c>
      <c r="BW43" s="11" t="s">
        <v>588</v>
      </c>
      <c r="BX43" s="11" t="s">
        <v>588</v>
      </c>
      <c r="BY43" s="11" t="s">
        <v>588</v>
      </c>
      <c r="BZ43" s="11" t="s">
        <v>588</v>
      </c>
    </row>
    <row r="44" spans="1:78" x14ac:dyDescent="0.25">
      <c r="A44" s="11">
        <v>202021</v>
      </c>
      <c r="B44" s="11" t="s">
        <v>35</v>
      </c>
      <c r="C44" s="11" t="s">
        <v>35</v>
      </c>
      <c r="D44" s="11" t="s">
        <v>55</v>
      </c>
      <c r="E44" s="11" t="s">
        <v>95</v>
      </c>
      <c r="F44" s="11">
        <v>1</v>
      </c>
      <c r="G44" s="11" t="s">
        <v>1057</v>
      </c>
      <c r="H44" s="11" t="s">
        <v>1057</v>
      </c>
      <c r="I44" s="13">
        <v>44149</v>
      </c>
      <c r="J44" s="11">
        <v>14</v>
      </c>
      <c r="K44" s="11">
        <v>11</v>
      </c>
      <c r="L44" s="11">
        <v>2020</v>
      </c>
      <c r="M44" s="11" t="s">
        <v>1102</v>
      </c>
      <c r="N44" s="11" t="s">
        <v>17</v>
      </c>
      <c r="O44" s="11" t="s">
        <v>51</v>
      </c>
      <c r="P44" s="23" t="s">
        <v>588</v>
      </c>
      <c r="Q44" s="23" t="s">
        <v>588</v>
      </c>
      <c r="R44" s="11" t="s">
        <v>588</v>
      </c>
      <c r="S44" s="11" t="s">
        <v>588</v>
      </c>
      <c r="T44" s="11">
        <v>3</v>
      </c>
      <c r="U44" s="11">
        <v>3</v>
      </c>
      <c r="V44" s="11" t="s">
        <v>588</v>
      </c>
      <c r="W44" s="11" t="s">
        <v>588</v>
      </c>
      <c r="X44" s="11">
        <v>3</v>
      </c>
      <c r="Y44" s="11">
        <v>3</v>
      </c>
      <c r="Z44" s="11" t="s">
        <v>41</v>
      </c>
      <c r="AA44" s="13">
        <v>44153</v>
      </c>
      <c r="AB44" s="11">
        <v>18</v>
      </c>
      <c r="AC44" s="11">
        <v>11</v>
      </c>
      <c r="AD44" s="11">
        <v>2020</v>
      </c>
      <c r="AE44" s="13" t="s">
        <v>1156</v>
      </c>
      <c r="AF44" s="11" t="s">
        <v>17</v>
      </c>
      <c r="AG44" s="13">
        <v>44157</v>
      </c>
      <c r="AH44" s="11">
        <v>22</v>
      </c>
      <c r="AI44" s="11">
        <v>11</v>
      </c>
      <c r="AJ44" s="11">
        <v>2020</v>
      </c>
      <c r="AK44" s="13" t="s">
        <v>1096</v>
      </c>
      <c r="AL44" s="11" t="s">
        <v>17</v>
      </c>
      <c r="AM44" s="11" t="s">
        <v>11</v>
      </c>
      <c r="AN44" s="11" t="s">
        <v>588</v>
      </c>
      <c r="AO44" s="11" t="s">
        <v>588</v>
      </c>
      <c r="AP44" s="11" t="s">
        <v>588</v>
      </c>
      <c r="AQ44" s="11" t="s">
        <v>588</v>
      </c>
      <c r="AR44" s="11" t="s">
        <v>588</v>
      </c>
      <c r="AS44" s="11" t="s">
        <v>588</v>
      </c>
      <c r="AT44" s="11" t="s">
        <v>588</v>
      </c>
      <c r="AU44" s="11" t="s">
        <v>588</v>
      </c>
      <c r="AV44" s="11" t="s">
        <v>588</v>
      </c>
      <c r="AW44" s="11" t="s">
        <v>588</v>
      </c>
      <c r="AX44" s="11" t="s">
        <v>588</v>
      </c>
      <c r="AY44" s="11" t="s">
        <v>588</v>
      </c>
      <c r="AZ44" s="11" t="s">
        <v>588</v>
      </c>
      <c r="BA44" s="11" t="s">
        <v>588</v>
      </c>
      <c r="BB44" s="11" t="s">
        <v>588</v>
      </c>
      <c r="BC44" s="11" t="s">
        <v>588</v>
      </c>
      <c r="BD44" s="11" t="s">
        <v>588</v>
      </c>
      <c r="BE44" s="11" t="s">
        <v>588</v>
      </c>
      <c r="BF44" s="11" t="s">
        <v>588</v>
      </c>
      <c r="BG44" s="11" t="s">
        <v>588</v>
      </c>
      <c r="BH44" s="11" t="s">
        <v>588</v>
      </c>
      <c r="BI44" s="11" t="s">
        <v>588</v>
      </c>
      <c r="BJ44" s="11" t="s">
        <v>588</v>
      </c>
      <c r="BK44" s="11" t="s">
        <v>588</v>
      </c>
      <c r="BL44" s="11" t="s">
        <v>588</v>
      </c>
      <c r="BM44" s="11" t="s">
        <v>588</v>
      </c>
      <c r="BN44" s="11" t="s">
        <v>588</v>
      </c>
      <c r="BO44" s="11" t="s">
        <v>588</v>
      </c>
      <c r="BP44" s="11" t="s">
        <v>588</v>
      </c>
      <c r="BQ44" s="11" t="s">
        <v>588</v>
      </c>
      <c r="BR44" s="11" t="s">
        <v>588</v>
      </c>
      <c r="BS44" s="11" t="s">
        <v>8</v>
      </c>
      <c r="BT44" s="11" t="s">
        <v>47</v>
      </c>
      <c r="BU44" s="11" t="s">
        <v>47</v>
      </c>
      <c r="BV44" s="11" t="s">
        <v>588</v>
      </c>
      <c r="BW44" s="11" t="s">
        <v>588</v>
      </c>
      <c r="BX44" s="11" t="s">
        <v>588</v>
      </c>
      <c r="BY44" s="11" t="s">
        <v>588</v>
      </c>
      <c r="BZ44" s="11" t="s">
        <v>588</v>
      </c>
    </row>
    <row r="45" spans="1:78" x14ac:dyDescent="0.25">
      <c r="A45" s="11">
        <v>202021</v>
      </c>
      <c r="B45" s="11" t="s">
        <v>35</v>
      </c>
      <c r="C45" s="11" t="s">
        <v>35</v>
      </c>
      <c r="D45" s="11" t="s">
        <v>55</v>
      </c>
      <c r="E45" s="11" t="s">
        <v>95</v>
      </c>
      <c r="F45" s="11">
        <v>2</v>
      </c>
      <c r="G45" s="11" t="s">
        <v>1058</v>
      </c>
      <c r="H45" s="11" t="s">
        <v>1058</v>
      </c>
      <c r="I45" s="13">
        <v>44170</v>
      </c>
      <c r="J45" s="11">
        <v>5</v>
      </c>
      <c r="K45" s="11">
        <v>12</v>
      </c>
      <c r="L45" s="11">
        <v>2020</v>
      </c>
      <c r="M45" s="11" t="s">
        <v>1143</v>
      </c>
      <c r="N45" s="11" t="s">
        <v>7</v>
      </c>
      <c r="O45" s="11" t="s">
        <v>36</v>
      </c>
      <c r="P45" s="23" t="s">
        <v>588</v>
      </c>
      <c r="Q45" s="23" t="s">
        <v>588</v>
      </c>
      <c r="R45" s="11" t="s">
        <v>588</v>
      </c>
      <c r="S45" s="11" t="s">
        <v>588</v>
      </c>
      <c r="T45" s="11">
        <v>3</v>
      </c>
      <c r="U45" s="11">
        <v>3</v>
      </c>
      <c r="V45" s="11" t="s">
        <v>588</v>
      </c>
      <c r="W45" s="11" t="s">
        <v>588</v>
      </c>
      <c r="X45" s="11">
        <v>2</v>
      </c>
      <c r="Y45" s="11">
        <v>2</v>
      </c>
      <c r="Z45" s="11" t="s">
        <v>41</v>
      </c>
      <c r="AA45" s="13">
        <v>44170</v>
      </c>
      <c r="AB45" s="11">
        <v>5</v>
      </c>
      <c r="AC45" s="11">
        <v>12</v>
      </c>
      <c r="AD45" s="11">
        <v>2020</v>
      </c>
      <c r="AE45" s="13" t="s">
        <v>1143</v>
      </c>
      <c r="AF45" s="11" t="s">
        <v>7</v>
      </c>
      <c r="AG45" s="13">
        <v>44175</v>
      </c>
      <c r="AH45" s="11">
        <v>10</v>
      </c>
      <c r="AI45" s="11">
        <v>12</v>
      </c>
      <c r="AJ45" s="11">
        <v>2020</v>
      </c>
      <c r="AK45" s="13" t="s">
        <v>1113</v>
      </c>
      <c r="AL45" s="11" t="s">
        <v>7</v>
      </c>
      <c r="AM45" s="11" t="s">
        <v>20</v>
      </c>
      <c r="AN45" s="11" t="s">
        <v>8</v>
      </c>
      <c r="AO45" s="11" t="s">
        <v>1059</v>
      </c>
      <c r="AP45" s="11" t="s">
        <v>588</v>
      </c>
      <c r="AQ45" s="11" t="s">
        <v>588</v>
      </c>
      <c r="AR45" s="11" t="s">
        <v>588</v>
      </c>
      <c r="AS45" s="11" t="s">
        <v>588</v>
      </c>
      <c r="AT45" s="11" t="s">
        <v>588</v>
      </c>
      <c r="AU45" s="11" t="s">
        <v>588</v>
      </c>
      <c r="AV45" s="11" t="s">
        <v>588</v>
      </c>
      <c r="AW45" s="11" t="s">
        <v>588</v>
      </c>
      <c r="AX45" s="11" t="s">
        <v>588</v>
      </c>
      <c r="AY45" s="11" t="s">
        <v>588</v>
      </c>
      <c r="AZ45" s="11" t="s">
        <v>588</v>
      </c>
      <c r="BA45" s="11" t="s">
        <v>588</v>
      </c>
      <c r="BB45" s="11" t="s">
        <v>588</v>
      </c>
      <c r="BC45" s="11" t="s">
        <v>588</v>
      </c>
      <c r="BD45" s="11" t="s">
        <v>588</v>
      </c>
      <c r="BE45" s="11" t="s">
        <v>588</v>
      </c>
      <c r="BF45" s="11" t="s">
        <v>588</v>
      </c>
      <c r="BG45" s="11" t="s">
        <v>588</v>
      </c>
      <c r="BH45" s="11" t="s">
        <v>588</v>
      </c>
      <c r="BI45" s="11" t="s">
        <v>588</v>
      </c>
      <c r="BJ45" s="11" t="s">
        <v>588</v>
      </c>
      <c r="BK45" s="11" t="s">
        <v>588</v>
      </c>
      <c r="BL45" s="11" t="s">
        <v>588</v>
      </c>
      <c r="BM45" s="11" t="s">
        <v>588</v>
      </c>
      <c r="BN45" s="11" t="s">
        <v>588</v>
      </c>
      <c r="BO45" s="11" t="s">
        <v>588</v>
      </c>
      <c r="BP45" s="11" t="s">
        <v>588</v>
      </c>
      <c r="BQ45" s="11" t="s">
        <v>588</v>
      </c>
      <c r="BR45" s="11" t="s">
        <v>588</v>
      </c>
      <c r="BS45" s="11" t="s">
        <v>8</v>
      </c>
      <c r="BT45" s="11" t="s">
        <v>9</v>
      </c>
      <c r="BU45" s="11" t="s">
        <v>9</v>
      </c>
      <c r="BV45" s="11" t="s">
        <v>588</v>
      </c>
      <c r="BW45" s="11" t="s">
        <v>588</v>
      </c>
      <c r="BX45" s="11" t="s">
        <v>588</v>
      </c>
      <c r="BY45" s="11" t="s">
        <v>588</v>
      </c>
      <c r="BZ45" s="11" t="s">
        <v>588</v>
      </c>
    </row>
    <row r="46" spans="1:78" x14ac:dyDescent="0.25">
      <c r="A46" s="11">
        <v>202021</v>
      </c>
      <c r="B46" s="11" t="s">
        <v>35</v>
      </c>
      <c r="C46" s="11" t="s">
        <v>35</v>
      </c>
      <c r="D46" s="11" t="s">
        <v>55</v>
      </c>
      <c r="E46" s="11" t="s">
        <v>95</v>
      </c>
      <c r="F46" s="11">
        <v>3</v>
      </c>
      <c r="G46" s="11" t="s">
        <v>1060</v>
      </c>
      <c r="H46" s="11" t="s">
        <v>1060</v>
      </c>
      <c r="I46" s="13">
        <v>44245</v>
      </c>
      <c r="J46" s="11">
        <v>18</v>
      </c>
      <c r="K46" s="11">
        <v>2</v>
      </c>
      <c r="L46" s="11">
        <v>2021</v>
      </c>
      <c r="M46" s="11" t="s">
        <v>1125</v>
      </c>
      <c r="N46" s="11" t="s">
        <v>21</v>
      </c>
      <c r="O46" s="11" t="s">
        <v>10</v>
      </c>
      <c r="P46" s="23">
        <v>-38.672170000000001</v>
      </c>
      <c r="Q46" s="23">
        <v>145.63938999999999</v>
      </c>
      <c r="R46" s="11" t="s">
        <v>588</v>
      </c>
      <c r="S46" s="11" t="s">
        <v>588</v>
      </c>
      <c r="T46" s="11">
        <v>3</v>
      </c>
      <c r="U46" s="11">
        <v>3</v>
      </c>
      <c r="V46" s="11" t="s">
        <v>588</v>
      </c>
      <c r="W46" s="11" t="s">
        <v>588</v>
      </c>
      <c r="X46" s="11">
        <v>6</v>
      </c>
      <c r="Y46" s="11">
        <v>6</v>
      </c>
      <c r="Z46" s="11" t="s">
        <v>41</v>
      </c>
      <c r="AA46" s="13">
        <v>44254</v>
      </c>
      <c r="AB46" s="11">
        <v>27</v>
      </c>
      <c r="AC46" s="11">
        <v>2</v>
      </c>
      <c r="AD46" s="11">
        <v>2021</v>
      </c>
      <c r="AE46" s="13" t="s">
        <v>1162</v>
      </c>
      <c r="AF46" s="11" t="s">
        <v>21</v>
      </c>
      <c r="AG46" s="13">
        <v>44257</v>
      </c>
      <c r="AH46" s="11">
        <v>2</v>
      </c>
      <c r="AI46" s="11">
        <v>3</v>
      </c>
      <c r="AJ46" s="11">
        <v>2021</v>
      </c>
      <c r="AK46" s="13" t="s">
        <v>1114</v>
      </c>
      <c r="AL46" s="11" t="s">
        <v>22</v>
      </c>
      <c r="AM46" s="11" t="s">
        <v>20</v>
      </c>
      <c r="AN46" s="11" t="s">
        <v>8</v>
      </c>
      <c r="AO46" s="11" t="s">
        <v>1025</v>
      </c>
      <c r="AP46" s="11" t="s">
        <v>588</v>
      </c>
      <c r="AQ46" s="11" t="s">
        <v>588</v>
      </c>
      <c r="AR46" s="11" t="s">
        <v>588</v>
      </c>
      <c r="AS46" s="11" t="s">
        <v>588</v>
      </c>
      <c r="AT46" s="11" t="s">
        <v>588</v>
      </c>
      <c r="AU46" s="11" t="s">
        <v>588</v>
      </c>
      <c r="AV46" s="11" t="s">
        <v>588</v>
      </c>
      <c r="AW46" s="11" t="s">
        <v>588</v>
      </c>
      <c r="AX46" s="11" t="s">
        <v>588</v>
      </c>
      <c r="AY46" s="11" t="s">
        <v>588</v>
      </c>
      <c r="AZ46" s="11" t="s">
        <v>588</v>
      </c>
      <c r="BA46" s="11" t="s">
        <v>588</v>
      </c>
      <c r="BB46" s="11" t="s">
        <v>588</v>
      </c>
      <c r="BC46" s="11" t="s">
        <v>588</v>
      </c>
      <c r="BD46" s="11" t="s">
        <v>588</v>
      </c>
      <c r="BE46" s="11" t="s">
        <v>588</v>
      </c>
      <c r="BF46" s="11" t="s">
        <v>588</v>
      </c>
      <c r="BG46" s="11" t="s">
        <v>588</v>
      </c>
      <c r="BH46" s="11" t="s">
        <v>588</v>
      </c>
      <c r="BI46" s="11" t="s">
        <v>588</v>
      </c>
      <c r="BJ46" s="11" t="s">
        <v>588</v>
      </c>
      <c r="BK46" s="11" t="s">
        <v>588</v>
      </c>
      <c r="BL46" s="11" t="s">
        <v>588</v>
      </c>
      <c r="BM46" s="11" t="s">
        <v>588</v>
      </c>
      <c r="BN46" s="11" t="s">
        <v>588</v>
      </c>
      <c r="BO46" s="11" t="s">
        <v>588</v>
      </c>
      <c r="BP46" s="11" t="s">
        <v>588</v>
      </c>
      <c r="BQ46" s="11" t="s">
        <v>588</v>
      </c>
      <c r="BR46" s="11" t="s">
        <v>588</v>
      </c>
      <c r="BS46" s="11" t="s">
        <v>8</v>
      </c>
      <c r="BT46" s="11" t="s">
        <v>9</v>
      </c>
      <c r="BU46" s="11" t="s">
        <v>9</v>
      </c>
      <c r="BV46" s="11" t="s">
        <v>588</v>
      </c>
      <c r="BW46" s="11" t="s">
        <v>588</v>
      </c>
      <c r="BX46" s="11" t="s">
        <v>588</v>
      </c>
      <c r="BY46" s="11" t="s">
        <v>588</v>
      </c>
      <c r="BZ46" s="11" t="s">
        <v>588</v>
      </c>
    </row>
    <row r="47" spans="1:78" x14ac:dyDescent="0.25">
      <c r="A47" s="11">
        <v>202021</v>
      </c>
      <c r="B47" s="11" t="s">
        <v>76</v>
      </c>
      <c r="C47" s="11" t="s">
        <v>76</v>
      </c>
      <c r="D47" s="11" t="s">
        <v>30</v>
      </c>
      <c r="E47" s="11" t="s">
        <v>16</v>
      </c>
      <c r="F47" s="11">
        <v>1</v>
      </c>
      <c r="G47" s="11" t="s">
        <v>1061</v>
      </c>
      <c r="H47" s="11" t="s">
        <v>1061</v>
      </c>
      <c r="I47" s="13">
        <v>44137</v>
      </c>
      <c r="J47" s="11">
        <v>2</v>
      </c>
      <c r="K47" s="11">
        <v>11</v>
      </c>
      <c r="L47" s="11">
        <v>2020</v>
      </c>
      <c r="M47" s="11" t="s">
        <v>1134</v>
      </c>
      <c r="N47" s="11" t="s">
        <v>17</v>
      </c>
      <c r="O47" s="11" t="s">
        <v>10</v>
      </c>
      <c r="P47" s="23" t="s">
        <v>588</v>
      </c>
      <c r="Q47" s="23" t="s">
        <v>588</v>
      </c>
      <c r="R47" s="11" t="s">
        <v>588</v>
      </c>
      <c r="S47" s="11" t="s">
        <v>588</v>
      </c>
      <c r="T47" s="11">
        <v>1</v>
      </c>
      <c r="U47" s="11">
        <v>3</v>
      </c>
      <c r="V47" s="11" t="s">
        <v>588</v>
      </c>
      <c r="W47" s="11" t="s">
        <v>588</v>
      </c>
      <c r="X47" s="11">
        <v>3</v>
      </c>
      <c r="Y47" s="11">
        <v>3</v>
      </c>
      <c r="Z47" s="11" t="s">
        <v>41</v>
      </c>
      <c r="AA47" s="13">
        <v>44138</v>
      </c>
      <c r="AB47" s="11">
        <v>3</v>
      </c>
      <c r="AC47" s="11">
        <v>11</v>
      </c>
      <c r="AD47" s="11">
        <v>2020</v>
      </c>
      <c r="AE47" s="13" t="s">
        <v>1152</v>
      </c>
      <c r="AF47" s="11" t="s">
        <v>17</v>
      </c>
      <c r="AG47" s="13">
        <v>44142</v>
      </c>
      <c r="AH47" s="11">
        <v>7</v>
      </c>
      <c r="AI47" s="11">
        <v>11</v>
      </c>
      <c r="AJ47" s="11">
        <v>2020</v>
      </c>
      <c r="AK47" s="13" t="s">
        <v>1115</v>
      </c>
      <c r="AL47" s="11" t="s">
        <v>17</v>
      </c>
      <c r="AM47" s="11" t="s">
        <v>20</v>
      </c>
      <c r="AN47" s="11" t="s">
        <v>8</v>
      </c>
      <c r="AO47" s="11" t="s">
        <v>1025</v>
      </c>
      <c r="AP47" s="11" t="s">
        <v>588</v>
      </c>
      <c r="AQ47" s="11" t="s">
        <v>588</v>
      </c>
      <c r="AR47" s="11" t="s">
        <v>588</v>
      </c>
      <c r="AS47" s="11" t="s">
        <v>588</v>
      </c>
      <c r="AT47" s="11" t="s">
        <v>588</v>
      </c>
      <c r="AU47" s="11" t="s">
        <v>588</v>
      </c>
      <c r="AV47" s="11" t="s">
        <v>588</v>
      </c>
      <c r="AW47" s="11" t="s">
        <v>588</v>
      </c>
      <c r="AX47" s="11" t="s">
        <v>588</v>
      </c>
      <c r="AY47" s="11" t="s">
        <v>588</v>
      </c>
      <c r="AZ47" s="11" t="s">
        <v>588</v>
      </c>
      <c r="BA47" s="11" t="s">
        <v>588</v>
      </c>
      <c r="BB47" s="11" t="s">
        <v>588</v>
      </c>
      <c r="BC47" s="11" t="s">
        <v>588</v>
      </c>
      <c r="BD47" s="11" t="s">
        <v>588</v>
      </c>
      <c r="BE47" s="11" t="s">
        <v>588</v>
      </c>
      <c r="BF47" s="11" t="s">
        <v>588</v>
      </c>
      <c r="BG47" s="11" t="s">
        <v>588</v>
      </c>
      <c r="BH47" s="11" t="s">
        <v>588</v>
      </c>
      <c r="BI47" s="11" t="s">
        <v>588</v>
      </c>
      <c r="BJ47" s="11" t="s">
        <v>588</v>
      </c>
      <c r="BK47" s="11" t="s">
        <v>588</v>
      </c>
      <c r="BL47" s="11" t="s">
        <v>588</v>
      </c>
      <c r="BM47" s="11" t="s">
        <v>588</v>
      </c>
      <c r="BN47" s="11" t="s">
        <v>588</v>
      </c>
      <c r="BO47" s="11" t="s">
        <v>588</v>
      </c>
      <c r="BP47" s="11" t="s">
        <v>588</v>
      </c>
      <c r="BQ47" s="11" t="s">
        <v>588</v>
      </c>
      <c r="BR47" s="11" t="s">
        <v>588</v>
      </c>
      <c r="BS47" s="11" t="s">
        <v>8</v>
      </c>
      <c r="BT47" s="11" t="s">
        <v>18</v>
      </c>
      <c r="BU47" s="11" t="s">
        <v>18</v>
      </c>
      <c r="BV47" s="11" t="s">
        <v>588</v>
      </c>
      <c r="BW47" s="11" t="s">
        <v>588</v>
      </c>
      <c r="BX47" s="11" t="s">
        <v>588</v>
      </c>
      <c r="BY47" s="11" t="s">
        <v>588</v>
      </c>
      <c r="BZ47" s="11" t="s">
        <v>588</v>
      </c>
    </row>
    <row r="48" spans="1:78" x14ac:dyDescent="0.25">
      <c r="A48" s="11">
        <v>202021</v>
      </c>
      <c r="B48" s="11" t="s">
        <v>76</v>
      </c>
      <c r="C48" s="11" t="s">
        <v>76</v>
      </c>
      <c r="D48" s="11" t="s">
        <v>30</v>
      </c>
      <c r="E48" s="11" t="s">
        <v>16</v>
      </c>
      <c r="F48" s="11">
        <v>2</v>
      </c>
      <c r="G48" s="11" t="s">
        <v>1062</v>
      </c>
      <c r="H48" s="11" t="s">
        <v>1062</v>
      </c>
      <c r="I48" s="13">
        <v>44175</v>
      </c>
      <c r="J48" s="11">
        <v>10</v>
      </c>
      <c r="K48" s="11">
        <v>12</v>
      </c>
      <c r="L48" s="11">
        <v>2020</v>
      </c>
      <c r="M48" s="11" t="s">
        <v>1113</v>
      </c>
      <c r="N48" s="11" t="s">
        <v>7</v>
      </c>
      <c r="O48" s="11" t="s">
        <v>51</v>
      </c>
      <c r="P48" s="23" t="s">
        <v>588</v>
      </c>
      <c r="Q48" s="23" t="s">
        <v>588</v>
      </c>
      <c r="R48" s="11" t="s">
        <v>588</v>
      </c>
      <c r="S48" s="11" t="s">
        <v>588</v>
      </c>
      <c r="T48" s="11">
        <v>2</v>
      </c>
      <c r="U48" s="11">
        <v>3</v>
      </c>
      <c r="V48" s="11" t="s">
        <v>588</v>
      </c>
      <c r="W48" s="11" t="s">
        <v>588</v>
      </c>
      <c r="X48" s="11">
        <v>5</v>
      </c>
      <c r="Y48" s="11">
        <v>5</v>
      </c>
      <c r="Z48" s="11" t="s">
        <v>41</v>
      </c>
      <c r="AA48" s="13">
        <v>44182</v>
      </c>
      <c r="AB48" s="11">
        <v>17</v>
      </c>
      <c r="AC48" s="11">
        <v>12</v>
      </c>
      <c r="AD48" s="11">
        <v>2020</v>
      </c>
      <c r="AE48" s="13" t="s">
        <v>1149</v>
      </c>
      <c r="AF48" s="11" t="s">
        <v>7</v>
      </c>
      <c r="AG48" s="13">
        <v>44188</v>
      </c>
      <c r="AH48" s="11">
        <v>23</v>
      </c>
      <c r="AI48" s="11">
        <v>12</v>
      </c>
      <c r="AJ48" s="11">
        <v>2020</v>
      </c>
      <c r="AK48" s="13" t="s">
        <v>1116</v>
      </c>
      <c r="AL48" s="11" t="s">
        <v>7</v>
      </c>
      <c r="AM48" s="11" t="s">
        <v>20</v>
      </c>
      <c r="AN48" s="11" t="s">
        <v>8</v>
      </c>
      <c r="AO48" s="11" t="s">
        <v>1021</v>
      </c>
      <c r="AP48" s="11" t="s">
        <v>588</v>
      </c>
      <c r="AQ48" s="11" t="s">
        <v>588</v>
      </c>
      <c r="AR48" s="11" t="s">
        <v>588</v>
      </c>
      <c r="AS48" s="11" t="s">
        <v>588</v>
      </c>
      <c r="AT48" s="11" t="s">
        <v>588</v>
      </c>
      <c r="AU48" s="11" t="s">
        <v>588</v>
      </c>
      <c r="AV48" s="11" t="s">
        <v>588</v>
      </c>
      <c r="AW48" s="11" t="s">
        <v>588</v>
      </c>
      <c r="AX48" s="11" t="s">
        <v>588</v>
      </c>
      <c r="AY48" s="11" t="s">
        <v>588</v>
      </c>
      <c r="AZ48" s="11" t="s">
        <v>588</v>
      </c>
      <c r="BA48" s="11" t="s">
        <v>588</v>
      </c>
      <c r="BB48" s="11" t="s">
        <v>588</v>
      </c>
      <c r="BC48" s="11" t="s">
        <v>588</v>
      </c>
      <c r="BD48" s="11" t="s">
        <v>588</v>
      </c>
      <c r="BE48" s="11" t="s">
        <v>588</v>
      </c>
      <c r="BF48" s="11" t="s">
        <v>588</v>
      </c>
      <c r="BG48" s="11" t="s">
        <v>588</v>
      </c>
      <c r="BH48" s="11" t="s">
        <v>588</v>
      </c>
      <c r="BI48" s="11" t="s">
        <v>588</v>
      </c>
      <c r="BJ48" s="11" t="s">
        <v>588</v>
      </c>
      <c r="BK48" s="11" t="s">
        <v>588</v>
      </c>
      <c r="BL48" s="11" t="s">
        <v>588</v>
      </c>
      <c r="BM48" s="11" t="s">
        <v>588</v>
      </c>
      <c r="BN48" s="11" t="s">
        <v>588</v>
      </c>
      <c r="BO48" s="11" t="s">
        <v>588</v>
      </c>
      <c r="BP48" s="11" t="s">
        <v>588</v>
      </c>
      <c r="BQ48" s="11" t="s">
        <v>588</v>
      </c>
      <c r="BR48" s="11" t="s">
        <v>588</v>
      </c>
      <c r="BS48" s="11" t="s">
        <v>8</v>
      </c>
      <c r="BT48" s="11" t="s">
        <v>52</v>
      </c>
      <c r="BU48" s="11" t="s">
        <v>52</v>
      </c>
      <c r="BV48" s="11" t="s">
        <v>588</v>
      </c>
      <c r="BW48" s="11" t="s">
        <v>588</v>
      </c>
      <c r="BX48" s="11" t="s">
        <v>588</v>
      </c>
      <c r="BY48" s="11" t="s">
        <v>588</v>
      </c>
      <c r="BZ48" s="11" t="s">
        <v>588</v>
      </c>
    </row>
    <row r="49" spans="1:78" x14ac:dyDescent="0.25">
      <c r="A49" s="11">
        <v>202021</v>
      </c>
      <c r="B49" s="11" t="s">
        <v>76</v>
      </c>
      <c r="C49" s="11" t="s">
        <v>76</v>
      </c>
      <c r="D49" s="11" t="s">
        <v>30</v>
      </c>
      <c r="E49" s="11" t="s">
        <v>16</v>
      </c>
      <c r="F49" s="11">
        <v>3</v>
      </c>
      <c r="G49" s="11" t="s">
        <v>1063</v>
      </c>
      <c r="H49" s="11" t="s">
        <v>1063</v>
      </c>
      <c r="I49" s="13">
        <v>44206</v>
      </c>
      <c r="J49" s="11">
        <v>10</v>
      </c>
      <c r="K49" s="11">
        <v>1</v>
      </c>
      <c r="L49" s="11">
        <v>2021</v>
      </c>
      <c r="M49" s="11" t="s">
        <v>1163</v>
      </c>
      <c r="N49" s="11" t="s">
        <v>12</v>
      </c>
      <c r="O49" s="11" t="s">
        <v>10</v>
      </c>
      <c r="P49" s="23" t="s">
        <v>588</v>
      </c>
      <c r="Q49" s="23" t="s">
        <v>588</v>
      </c>
      <c r="R49" s="11" t="s">
        <v>588</v>
      </c>
      <c r="S49" s="11" t="s">
        <v>588</v>
      </c>
      <c r="T49" s="11">
        <v>3</v>
      </c>
      <c r="U49" s="11">
        <v>3</v>
      </c>
      <c r="V49" s="11" t="s">
        <v>588</v>
      </c>
      <c r="W49" s="11" t="s">
        <v>588</v>
      </c>
      <c r="X49" s="11">
        <v>3</v>
      </c>
      <c r="Y49" s="11">
        <v>3</v>
      </c>
      <c r="Z49" s="11" t="s">
        <v>41</v>
      </c>
      <c r="AA49" s="13">
        <v>44208</v>
      </c>
      <c r="AB49" s="11">
        <v>12</v>
      </c>
      <c r="AC49" s="11">
        <v>1</v>
      </c>
      <c r="AD49" s="11">
        <v>2021</v>
      </c>
      <c r="AE49" s="13" t="s">
        <v>1164</v>
      </c>
      <c r="AF49" s="11" t="s">
        <v>12</v>
      </c>
      <c r="AG49" s="13">
        <v>44223</v>
      </c>
      <c r="AH49" s="11">
        <v>27</v>
      </c>
      <c r="AI49" s="11">
        <v>1</v>
      </c>
      <c r="AJ49" s="11">
        <v>2021</v>
      </c>
      <c r="AK49" s="13" t="s">
        <v>1117</v>
      </c>
      <c r="AL49" s="11" t="s">
        <v>12</v>
      </c>
      <c r="AM49" s="11" t="s">
        <v>20</v>
      </c>
      <c r="AN49" s="11" t="s">
        <v>8</v>
      </c>
      <c r="AO49" s="11" t="s">
        <v>1025</v>
      </c>
      <c r="AP49" s="11" t="s">
        <v>588</v>
      </c>
      <c r="AQ49" s="11" t="s">
        <v>588</v>
      </c>
      <c r="AR49" s="11" t="s">
        <v>588</v>
      </c>
      <c r="AS49" s="11" t="s">
        <v>588</v>
      </c>
      <c r="AT49" s="11" t="s">
        <v>588</v>
      </c>
      <c r="AU49" s="11" t="s">
        <v>588</v>
      </c>
      <c r="AV49" s="11" t="s">
        <v>588</v>
      </c>
      <c r="AW49" s="11" t="s">
        <v>588</v>
      </c>
      <c r="AX49" s="11" t="s">
        <v>588</v>
      </c>
      <c r="AY49" s="11" t="s">
        <v>588</v>
      </c>
      <c r="AZ49" s="11" t="s">
        <v>588</v>
      </c>
      <c r="BA49" s="11" t="s">
        <v>588</v>
      </c>
      <c r="BB49" s="11" t="s">
        <v>588</v>
      </c>
      <c r="BC49" s="11" t="s">
        <v>588</v>
      </c>
      <c r="BD49" s="11" t="s">
        <v>588</v>
      </c>
      <c r="BE49" s="11" t="s">
        <v>588</v>
      </c>
      <c r="BF49" s="11" t="s">
        <v>588</v>
      </c>
      <c r="BG49" s="11" t="s">
        <v>588</v>
      </c>
      <c r="BH49" s="11" t="s">
        <v>588</v>
      </c>
      <c r="BI49" s="11" t="s">
        <v>588</v>
      </c>
      <c r="BJ49" s="11" t="s">
        <v>588</v>
      </c>
      <c r="BK49" s="11" t="s">
        <v>588</v>
      </c>
      <c r="BL49" s="11" t="s">
        <v>588</v>
      </c>
      <c r="BM49" s="11" t="s">
        <v>588</v>
      </c>
      <c r="BN49" s="11" t="s">
        <v>588</v>
      </c>
      <c r="BO49" s="11" t="s">
        <v>588</v>
      </c>
      <c r="BP49" s="11" t="s">
        <v>588</v>
      </c>
      <c r="BQ49" s="11" t="s">
        <v>588</v>
      </c>
      <c r="BR49" s="11" t="s">
        <v>588</v>
      </c>
      <c r="BS49" s="11" t="s">
        <v>8</v>
      </c>
      <c r="BT49" s="11" t="s">
        <v>9</v>
      </c>
      <c r="BU49" s="11" t="s">
        <v>9</v>
      </c>
      <c r="BV49" s="11" t="s">
        <v>588</v>
      </c>
      <c r="BW49" s="11" t="s">
        <v>588</v>
      </c>
      <c r="BX49" s="11" t="s">
        <v>588</v>
      </c>
      <c r="BY49" s="11" t="s">
        <v>588</v>
      </c>
      <c r="BZ49" s="11" t="s">
        <v>588</v>
      </c>
    </row>
    <row r="50" spans="1:78" x14ac:dyDescent="0.25">
      <c r="A50" s="11">
        <v>202021</v>
      </c>
      <c r="B50" s="11" t="s">
        <v>37</v>
      </c>
      <c r="C50" s="11" t="s">
        <v>37</v>
      </c>
      <c r="D50" s="11" t="s">
        <v>102</v>
      </c>
      <c r="E50" s="11" t="s">
        <v>38</v>
      </c>
      <c r="F50" s="11">
        <v>1</v>
      </c>
      <c r="G50" s="11" t="s">
        <v>1064</v>
      </c>
      <c r="H50" s="11" t="s">
        <v>1064</v>
      </c>
      <c r="I50" s="13">
        <v>44163</v>
      </c>
      <c r="J50" s="11">
        <v>28</v>
      </c>
      <c r="K50" s="11">
        <v>11</v>
      </c>
      <c r="L50" s="11">
        <v>2020</v>
      </c>
      <c r="M50" s="11" t="s">
        <v>1153</v>
      </c>
      <c r="N50" s="11" t="s">
        <v>17</v>
      </c>
      <c r="O50" s="11" t="s">
        <v>10</v>
      </c>
      <c r="P50" s="23">
        <v>-38.655192</v>
      </c>
      <c r="Q50" s="23">
        <v>145.57013699999999</v>
      </c>
      <c r="R50" s="11" t="s">
        <v>588</v>
      </c>
      <c r="S50" s="11" t="s">
        <v>588</v>
      </c>
      <c r="T50" s="11">
        <v>1</v>
      </c>
      <c r="U50" s="11">
        <v>3</v>
      </c>
      <c r="V50" s="11" t="s">
        <v>588</v>
      </c>
      <c r="W50" s="11" t="s">
        <v>588</v>
      </c>
      <c r="X50" s="11">
        <v>2</v>
      </c>
      <c r="Y50" s="11">
        <v>2</v>
      </c>
      <c r="Z50" s="11" t="s">
        <v>41</v>
      </c>
      <c r="AA50" s="13">
        <v>44163</v>
      </c>
      <c r="AB50" s="11">
        <v>28</v>
      </c>
      <c r="AC50" s="11">
        <v>11</v>
      </c>
      <c r="AD50" s="11">
        <v>2020</v>
      </c>
      <c r="AE50" s="13" t="s">
        <v>1153</v>
      </c>
      <c r="AF50" s="11" t="s">
        <v>17</v>
      </c>
      <c r="AG50" s="13">
        <v>44165</v>
      </c>
      <c r="AH50" s="11">
        <v>30</v>
      </c>
      <c r="AI50" s="11">
        <v>11</v>
      </c>
      <c r="AJ50" s="11">
        <v>2020</v>
      </c>
      <c r="AK50" s="13" t="s">
        <v>1118</v>
      </c>
      <c r="AL50" s="11" t="s">
        <v>17</v>
      </c>
      <c r="AM50" s="11" t="s">
        <v>20</v>
      </c>
      <c r="AN50" s="11" t="s">
        <v>41</v>
      </c>
      <c r="AO50" s="11" t="s">
        <v>41</v>
      </c>
      <c r="AP50" s="11" t="s">
        <v>588</v>
      </c>
      <c r="AQ50" s="11" t="s">
        <v>588</v>
      </c>
      <c r="AR50" s="11" t="s">
        <v>588</v>
      </c>
      <c r="AS50" s="11" t="s">
        <v>588</v>
      </c>
      <c r="AT50" s="11" t="s">
        <v>588</v>
      </c>
      <c r="AU50" s="11" t="s">
        <v>588</v>
      </c>
      <c r="AV50" s="11" t="s">
        <v>588</v>
      </c>
      <c r="AW50" s="11" t="s">
        <v>588</v>
      </c>
      <c r="AX50" s="11" t="s">
        <v>588</v>
      </c>
      <c r="AY50" s="11" t="s">
        <v>588</v>
      </c>
      <c r="AZ50" s="11" t="s">
        <v>588</v>
      </c>
      <c r="BA50" s="11" t="s">
        <v>588</v>
      </c>
      <c r="BB50" s="11" t="s">
        <v>588</v>
      </c>
      <c r="BC50" s="11" t="s">
        <v>588</v>
      </c>
      <c r="BD50" s="11" t="s">
        <v>588</v>
      </c>
      <c r="BE50" s="11" t="s">
        <v>588</v>
      </c>
      <c r="BF50" s="11" t="s">
        <v>588</v>
      </c>
      <c r="BG50" s="11" t="s">
        <v>588</v>
      </c>
      <c r="BH50" s="11" t="s">
        <v>588</v>
      </c>
      <c r="BI50" s="11" t="s">
        <v>588</v>
      </c>
      <c r="BJ50" s="11" t="s">
        <v>588</v>
      </c>
      <c r="BK50" s="11" t="s">
        <v>588</v>
      </c>
      <c r="BL50" s="11" t="s">
        <v>588</v>
      </c>
      <c r="BM50" s="11" t="s">
        <v>588</v>
      </c>
      <c r="BN50" s="11" t="s">
        <v>588</v>
      </c>
      <c r="BO50" s="11" t="s">
        <v>588</v>
      </c>
      <c r="BP50" s="11" t="s">
        <v>588</v>
      </c>
      <c r="BQ50" s="11" t="s">
        <v>588</v>
      </c>
      <c r="BR50" s="11" t="s">
        <v>588</v>
      </c>
      <c r="BS50" s="11" t="s">
        <v>8</v>
      </c>
      <c r="BT50" s="11" t="s">
        <v>9</v>
      </c>
      <c r="BU50" s="11" t="s">
        <v>9</v>
      </c>
      <c r="BV50" s="11" t="s">
        <v>588</v>
      </c>
      <c r="BW50" s="11" t="s">
        <v>588</v>
      </c>
      <c r="BX50" s="11" t="s">
        <v>588</v>
      </c>
      <c r="BY50" s="11" t="s">
        <v>588</v>
      </c>
      <c r="BZ50" s="11" t="s">
        <v>588</v>
      </c>
    </row>
    <row r="51" spans="1:78" x14ac:dyDescent="0.25">
      <c r="A51" s="11">
        <v>202021</v>
      </c>
      <c r="B51" s="11" t="s">
        <v>37</v>
      </c>
      <c r="C51" s="11" t="s">
        <v>37</v>
      </c>
      <c r="D51" s="11" t="s">
        <v>53</v>
      </c>
      <c r="E51" s="11" t="s">
        <v>16</v>
      </c>
      <c r="F51" s="11">
        <v>1</v>
      </c>
      <c r="G51" s="11" t="s">
        <v>1064</v>
      </c>
      <c r="H51" s="11" t="s">
        <v>1064</v>
      </c>
      <c r="I51" s="13">
        <v>44188</v>
      </c>
      <c r="J51" s="11">
        <v>23</v>
      </c>
      <c r="K51" s="11">
        <v>12</v>
      </c>
      <c r="L51" s="11">
        <v>2020</v>
      </c>
      <c r="M51" s="11" t="s">
        <v>1116</v>
      </c>
      <c r="N51" s="11" t="s">
        <v>7</v>
      </c>
      <c r="O51" s="11" t="s">
        <v>10</v>
      </c>
      <c r="P51" s="23">
        <v>-38.65728</v>
      </c>
      <c r="Q51" s="23">
        <v>145.57680999999999</v>
      </c>
      <c r="R51" s="11" t="s">
        <v>588</v>
      </c>
      <c r="S51" s="11" t="s">
        <v>588</v>
      </c>
      <c r="T51" s="11">
        <v>1</v>
      </c>
      <c r="U51" s="11">
        <v>3</v>
      </c>
      <c r="V51" s="11" t="s">
        <v>588</v>
      </c>
      <c r="W51" s="11" t="s">
        <v>588</v>
      </c>
      <c r="X51" s="11">
        <v>2</v>
      </c>
      <c r="Y51" s="11">
        <v>2</v>
      </c>
      <c r="Z51" s="11" t="s">
        <v>41</v>
      </c>
      <c r="AA51" s="13">
        <v>44188</v>
      </c>
      <c r="AB51" s="11">
        <v>23</v>
      </c>
      <c r="AC51" s="11">
        <v>12</v>
      </c>
      <c r="AD51" s="11">
        <v>2020</v>
      </c>
      <c r="AE51" s="13" t="s">
        <v>1116</v>
      </c>
      <c r="AF51" s="11" t="s">
        <v>7</v>
      </c>
      <c r="AG51" s="13">
        <v>44193</v>
      </c>
      <c r="AH51" s="11">
        <v>28</v>
      </c>
      <c r="AI51" s="11">
        <v>12</v>
      </c>
      <c r="AJ51" s="11">
        <v>2020</v>
      </c>
      <c r="AK51" s="13" t="s">
        <v>1119</v>
      </c>
      <c r="AL51" s="11" t="s">
        <v>7</v>
      </c>
      <c r="AM51" s="11" t="s">
        <v>20</v>
      </c>
      <c r="AN51" s="11" t="s">
        <v>8</v>
      </c>
      <c r="AO51" s="11" t="s">
        <v>1035</v>
      </c>
      <c r="AP51" s="11" t="s">
        <v>588</v>
      </c>
      <c r="AQ51" s="11" t="s">
        <v>588</v>
      </c>
      <c r="AR51" s="11" t="s">
        <v>588</v>
      </c>
      <c r="AS51" s="11" t="s">
        <v>588</v>
      </c>
      <c r="AT51" s="11" t="s">
        <v>588</v>
      </c>
      <c r="AU51" s="11" t="s">
        <v>588</v>
      </c>
      <c r="AV51" s="11" t="s">
        <v>588</v>
      </c>
      <c r="AW51" s="11" t="s">
        <v>588</v>
      </c>
      <c r="AX51" s="11" t="s">
        <v>588</v>
      </c>
      <c r="AY51" s="11" t="s">
        <v>588</v>
      </c>
      <c r="AZ51" s="11" t="s">
        <v>588</v>
      </c>
      <c r="BA51" s="11" t="s">
        <v>588</v>
      </c>
      <c r="BB51" s="11" t="s">
        <v>588</v>
      </c>
      <c r="BC51" s="11" t="s">
        <v>588</v>
      </c>
      <c r="BD51" s="11" t="s">
        <v>588</v>
      </c>
      <c r="BE51" s="11" t="s">
        <v>588</v>
      </c>
      <c r="BF51" s="11" t="s">
        <v>588</v>
      </c>
      <c r="BG51" s="11" t="s">
        <v>588</v>
      </c>
      <c r="BH51" s="11" t="s">
        <v>588</v>
      </c>
      <c r="BI51" s="11" t="s">
        <v>588</v>
      </c>
      <c r="BJ51" s="11" t="s">
        <v>588</v>
      </c>
      <c r="BK51" s="11" t="s">
        <v>588</v>
      </c>
      <c r="BL51" s="11" t="s">
        <v>588</v>
      </c>
      <c r="BM51" s="11" t="s">
        <v>588</v>
      </c>
      <c r="BN51" s="11" t="s">
        <v>588</v>
      </c>
      <c r="BO51" s="11" t="s">
        <v>588</v>
      </c>
      <c r="BP51" s="11" t="s">
        <v>588</v>
      </c>
      <c r="BQ51" s="11" t="s">
        <v>588</v>
      </c>
      <c r="BR51" s="11" t="s">
        <v>588</v>
      </c>
      <c r="BS51" s="11" t="s">
        <v>8</v>
      </c>
      <c r="BT51" s="11" t="s">
        <v>9</v>
      </c>
      <c r="BU51" s="11" t="s">
        <v>9</v>
      </c>
      <c r="BV51" s="11" t="s">
        <v>588</v>
      </c>
      <c r="BW51" s="11" t="s">
        <v>588</v>
      </c>
      <c r="BX51" s="11" t="s">
        <v>588</v>
      </c>
      <c r="BY51" s="11" t="s">
        <v>588</v>
      </c>
      <c r="BZ51" s="11" t="s">
        <v>588</v>
      </c>
    </row>
    <row r="52" spans="1:78" x14ac:dyDescent="0.25">
      <c r="A52" s="11">
        <v>202021</v>
      </c>
      <c r="B52" s="11" t="s">
        <v>37</v>
      </c>
      <c r="C52" s="11" t="s">
        <v>37</v>
      </c>
      <c r="D52" s="11" t="s">
        <v>53</v>
      </c>
      <c r="E52" s="11" t="s">
        <v>16</v>
      </c>
      <c r="F52" s="11">
        <v>2</v>
      </c>
      <c r="G52" s="11" t="s">
        <v>1065</v>
      </c>
      <c r="H52" s="11" t="s">
        <v>1065</v>
      </c>
      <c r="I52" s="13">
        <v>44193</v>
      </c>
      <c r="J52" s="11">
        <v>28</v>
      </c>
      <c r="K52" s="11">
        <v>12</v>
      </c>
      <c r="L52" s="11">
        <v>2020</v>
      </c>
      <c r="M52" s="11" t="s">
        <v>1119</v>
      </c>
      <c r="N52" s="11" t="s">
        <v>7</v>
      </c>
      <c r="O52" s="11" t="s">
        <v>10</v>
      </c>
      <c r="P52" s="23" t="s">
        <v>588</v>
      </c>
      <c r="Q52" s="23" t="s">
        <v>588</v>
      </c>
      <c r="R52" s="11" t="s">
        <v>588</v>
      </c>
      <c r="S52" s="11" t="s">
        <v>588</v>
      </c>
      <c r="T52" s="11">
        <v>1</v>
      </c>
      <c r="U52" s="11">
        <v>3</v>
      </c>
      <c r="V52" s="11" t="s">
        <v>588</v>
      </c>
      <c r="W52" s="11" t="s">
        <v>588</v>
      </c>
      <c r="X52" s="11">
        <v>2</v>
      </c>
      <c r="Y52" s="11">
        <v>2</v>
      </c>
      <c r="Z52" s="11" t="s">
        <v>41</v>
      </c>
      <c r="AA52" s="13">
        <v>44193</v>
      </c>
      <c r="AB52" s="11">
        <v>28</v>
      </c>
      <c r="AC52" s="11">
        <v>12</v>
      </c>
      <c r="AD52" s="11">
        <v>2020</v>
      </c>
      <c r="AE52" s="13" t="s">
        <v>1119</v>
      </c>
      <c r="AF52" s="11" t="s">
        <v>7</v>
      </c>
      <c r="AG52" s="13">
        <v>44203</v>
      </c>
      <c r="AH52" s="11">
        <v>7</v>
      </c>
      <c r="AI52" s="11">
        <v>1</v>
      </c>
      <c r="AJ52" s="11">
        <v>2021</v>
      </c>
      <c r="AK52" s="13" t="s">
        <v>1091</v>
      </c>
      <c r="AL52" s="11" t="s">
        <v>12</v>
      </c>
      <c r="AM52" s="11" t="s">
        <v>11</v>
      </c>
      <c r="AN52" s="11" t="s">
        <v>41</v>
      </c>
      <c r="AO52" s="11" t="s">
        <v>41</v>
      </c>
      <c r="AP52" s="11" t="s">
        <v>588</v>
      </c>
      <c r="AQ52" s="11" t="s">
        <v>588</v>
      </c>
      <c r="AR52" s="11" t="s">
        <v>588</v>
      </c>
      <c r="AS52" s="11" t="s">
        <v>588</v>
      </c>
      <c r="AT52" s="11" t="s">
        <v>588</v>
      </c>
      <c r="AU52" s="11" t="s">
        <v>588</v>
      </c>
      <c r="AV52" s="11" t="s">
        <v>588</v>
      </c>
      <c r="AW52" s="11" t="s">
        <v>588</v>
      </c>
      <c r="AX52" s="11" t="s">
        <v>588</v>
      </c>
      <c r="AY52" s="11" t="s">
        <v>588</v>
      </c>
      <c r="AZ52" s="11" t="s">
        <v>588</v>
      </c>
      <c r="BA52" s="11" t="s">
        <v>588</v>
      </c>
      <c r="BB52" s="11" t="s">
        <v>588</v>
      </c>
      <c r="BC52" s="11" t="s">
        <v>588</v>
      </c>
      <c r="BD52" s="11" t="s">
        <v>588</v>
      </c>
      <c r="BE52" s="11" t="s">
        <v>588</v>
      </c>
      <c r="BF52" s="11" t="s">
        <v>588</v>
      </c>
      <c r="BG52" s="11" t="s">
        <v>588</v>
      </c>
      <c r="BH52" s="11" t="s">
        <v>588</v>
      </c>
      <c r="BI52" s="11" t="s">
        <v>588</v>
      </c>
      <c r="BJ52" s="11" t="s">
        <v>588</v>
      </c>
      <c r="BK52" s="11" t="s">
        <v>588</v>
      </c>
      <c r="BL52" s="11" t="s">
        <v>588</v>
      </c>
      <c r="BM52" s="11" t="s">
        <v>588</v>
      </c>
      <c r="BN52" s="11" t="s">
        <v>588</v>
      </c>
      <c r="BO52" s="11" t="s">
        <v>588</v>
      </c>
      <c r="BP52" s="11" t="s">
        <v>588</v>
      </c>
      <c r="BQ52" s="11" t="s">
        <v>588</v>
      </c>
      <c r="BR52" s="11" t="s">
        <v>588</v>
      </c>
      <c r="BS52" s="11" t="s">
        <v>8</v>
      </c>
      <c r="BT52" s="11" t="s">
        <v>9</v>
      </c>
      <c r="BU52" s="11" t="s">
        <v>9</v>
      </c>
      <c r="BV52" s="11" t="s">
        <v>588</v>
      </c>
      <c r="BW52" s="11" t="s">
        <v>588</v>
      </c>
      <c r="BX52" s="11" t="s">
        <v>588</v>
      </c>
      <c r="BY52" s="11" t="s">
        <v>588</v>
      </c>
      <c r="BZ52" s="11" t="s">
        <v>588</v>
      </c>
    </row>
    <row r="53" spans="1:78" x14ac:dyDescent="0.25">
      <c r="A53" s="11">
        <v>202021</v>
      </c>
      <c r="B53" s="11" t="s">
        <v>351</v>
      </c>
      <c r="C53" s="11" t="s">
        <v>351</v>
      </c>
      <c r="D53" s="11" t="s">
        <v>352</v>
      </c>
      <c r="E53" s="11" t="s">
        <v>16</v>
      </c>
      <c r="F53" s="11">
        <v>1</v>
      </c>
      <c r="G53" s="11" t="s">
        <v>1066</v>
      </c>
      <c r="H53" s="11" t="s">
        <v>1066</v>
      </c>
      <c r="I53" s="13">
        <v>44160</v>
      </c>
      <c r="J53" s="11">
        <v>25</v>
      </c>
      <c r="K53" s="11">
        <v>11</v>
      </c>
      <c r="L53" s="11">
        <v>2020</v>
      </c>
      <c r="M53" s="11" t="s">
        <v>1165</v>
      </c>
      <c r="N53" s="11" t="s">
        <v>17</v>
      </c>
      <c r="O53" s="11" t="s">
        <v>51</v>
      </c>
      <c r="P53" s="23">
        <v>-38.604585999999998</v>
      </c>
      <c r="Q53" s="23">
        <v>145.53218799999999</v>
      </c>
      <c r="R53" s="11" t="s">
        <v>588</v>
      </c>
      <c r="S53" s="11" t="s">
        <v>588</v>
      </c>
      <c r="T53" s="11">
        <v>1</v>
      </c>
      <c r="U53" s="11">
        <v>3</v>
      </c>
      <c r="V53" s="11" t="s">
        <v>588</v>
      </c>
      <c r="W53" s="11" t="s">
        <v>588</v>
      </c>
      <c r="X53" s="11">
        <v>2</v>
      </c>
      <c r="Y53" s="11">
        <v>2</v>
      </c>
      <c r="Z53" s="11" t="s">
        <v>41</v>
      </c>
      <c r="AA53" s="13">
        <v>44160</v>
      </c>
      <c r="AB53" s="11">
        <v>25</v>
      </c>
      <c r="AC53" s="11">
        <v>11</v>
      </c>
      <c r="AD53" s="11">
        <v>2020</v>
      </c>
      <c r="AE53" s="13" t="s">
        <v>1165</v>
      </c>
      <c r="AF53" s="11" t="s">
        <v>17</v>
      </c>
      <c r="AG53" s="13">
        <v>44188</v>
      </c>
      <c r="AH53" s="11">
        <v>23</v>
      </c>
      <c r="AI53" s="11">
        <v>12</v>
      </c>
      <c r="AJ53" s="11">
        <v>2020</v>
      </c>
      <c r="AK53" s="13" t="s">
        <v>1116</v>
      </c>
      <c r="AL53" s="11" t="s">
        <v>7</v>
      </c>
      <c r="AM53" s="11" t="s">
        <v>20</v>
      </c>
      <c r="AN53" s="11" t="s">
        <v>8</v>
      </c>
      <c r="AO53" s="11" t="s">
        <v>1067</v>
      </c>
      <c r="AP53" s="11" t="s">
        <v>588</v>
      </c>
      <c r="AQ53" s="11" t="s">
        <v>588</v>
      </c>
      <c r="AR53" s="11" t="s">
        <v>588</v>
      </c>
      <c r="AS53" s="11" t="s">
        <v>588</v>
      </c>
      <c r="AT53" s="11" t="s">
        <v>588</v>
      </c>
      <c r="AU53" s="11" t="s">
        <v>588</v>
      </c>
      <c r="AV53" s="11" t="s">
        <v>588</v>
      </c>
      <c r="AW53" s="11" t="s">
        <v>588</v>
      </c>
      <c r="AX53" s="11" t="s">
        <v>588</v>
      </c>
      <c r="AY53" s="11" t="s">
        <v>588</v>
      </c>
      <c r="AZ53" s="11" t="s">
        <v>588</v>
      </c>
      <c r="BA53" s="11" t="s">
        <v>588</v>
      </c>
      <c r="BB53" s="11" t="s">
        <v>588</v>
      </c>
      <c r="BC53" s="11" t="s">
        <v>588</v>
      </c>
      <c r="BD53" s="11" t="s">
        <v>588</v>
      </c>
      <c r="BE53" s="11" t="s">
        <v>588</v>
      </c>
      <c r="BF53" s="11" t="s">
        <v>588</v>
      </c>
      <c r="BG53" s="11" t="s">
        <v>588</v>
      </c>
      <c r="BH53" s="11" t="s">
        <v>588</v>
      </c>
      <c r="BI53" s="11" t="s">
        <v>588</v>
      </c>
      <c r="BJ53" s="11" t="s">
        <v>588</v>
      </c>
      <c r="BK53" s="11" t="s">
        <v>588</v>
      </c>
      <c r="BL53" s="11" t="s">
        <v>588</v>
      </c>
      <c r="BM53" s="11" t="s">
        <v>588</v>
      </c>
      <c r="BN53" s="11" t="s">
        <v>588</v>
      </c>
      <c r="BO53" s="11" t="s">
        <v>588</v>
      </c>
      <c r="BP53" s="11" t="s">
        <v>588</v>
      </c>
      <c r="BQ53" s="11" t="s">
        <v>588</v>
      </c>
      <c r="BR53" s="11" t="s">
        <v>588</v>
      </c>
      <c r="BS53" s="11" t="s">
        <v>41</v>
      </c>
      <c r="BT53" s="11" t="s">
        <v>42</v>
      </c>
      <c r="BU53" s="11" t="s">
        <v>42</v>
      </c>
      <c r="BV53" s="11" t="s">
        <v>588</v>
      </c>
      <c r="BW53" s="11" t="s">
        <v>588</v>
      </c>
      <c r="BX53" s="11" t="s">
        <v>588</v>
      </c>
      <c r="BY53" s="11" t="s">
        <v>588</v>
      </c>
      <c r="BZ53" s="11" t="s">
        <v>588</v>
      </c>
    </row>
    <row r="54" spans="1:78" x14ac:dyDescent="0.25">
      <c r="A54" s="11">
        <v>202021</v>
      </c>
      <c r="B54" s="11" t="s">
        <v>351</v>
      </c>
      <c r="C54" s="11" t="s">
        <v>351</v>
      </c>
      <c r="D54" s="11" t="s">
        <v>352</v>
      </c>
      <c r="E54" s="11" t="s">
        <v>16</v>
      </c>
      <c r="F54" s="11">
        <v>2</v>
      </c>
      <c r="G54" s="11" t="s">
        <v>1068</v>
      </c>
      <c r="H54" s="11" t="s">
        <v>1068</v>
      </c>
      <c r="I54" s="13">
        <v>44188</v>
      </c>
      <c r="J54" s="11">
        <v>23</v>
      </c>
      <c r="K54" s="11">
        <v>12</v>
      </c>
      <c r="L54" s="11">
        <v>2020</v>
      </c>
      <c r="M54" s="11" t="s">
        <v>1116</v>
      </c>
      <c r="N54" s="11" t="s">
        <v>7</v>
      </c>
      <c r="O54" s="11" t="s">
        <v>10</v>
      </c>
      <c r="P54" s="23">
        <v>-38.601722000000002</v>
      </c>
      <c r="Q54" s="23">
        <v>145.529583</v>
      </c>
      <c r="R54" s="11" t="s">
        <v>588</v>
      </c>
      <c r="S54" s="11" t="s">
        <v>588</v>
      </c>
      <c r="T54" s="11">
        <v>2</v>
      </c>
      <c r="U54" s="11">
        <v>3</v>
      </c>
      <c r="V54" s="11" t="s">
        <v>588</v>
      </c>
      <c r="W54" s="11" t="s">
        <v>588</v>
      </c>
      <c r="X54" s="11">
        <v>2</v>
      </c>
      <c r="Y54" s="11">
        <v>2</v>
      </c>
      <c r="Z54" s="11" t="s">
        <v>41</v>
      </c>
      <c r="AA54" s="13">
        <v>44188</v>
      </c>
      <c r="AB54" s="11">
        <v>23</v>
      </c>
      <c r="AC54" s="11">
        <v>12</v>
      </c>
      <c r="AD54" s="11">
        <v>2020</v>
      </c>
      <c r="AE54" s="13" t="s">
        <v>1116</v>
      </c>
      <c r="AF54" s="11" t="s">
        <v>7</v>
      </c>
      <c r="AG54" s="13">
        <v>44207</v>
      </c>
      <c r="AH54" s="11">
        <v>11</v>
      </c>
      <c r="AI54" s="11">
        <v>1</v>
      </c>
      <c r="AJ54" s="11">
        <v>2021</v>
      </c>
      <c r="AK54" s="13" t="s">
        <v>1085</v>
      </c>
      <c r="AL54" s="11" t="s">
        <v>12</v>
      </c>
      <c r="AM54" s="11" t="s">
        <v>20</v>
      </c>
      <c r="AN54" s="11" t="s">
        <v>41</v>
      </c>
      <c r="AO54" s="11" t="s">
        <v>41</v>
      </c>
      <c r="AP54" s="11" t="s">
        <v>588</v>
      </c>
      <c r="AQ54" s="11" t="s">
        <v>588</v>
      </c>
      <c r="AR54" s="11" t="s">
        <v>588</v>
      </c>
      <c r="AS54" s="11" t="s">
        <v>588</v>
      </c>
      <c r="AT54" s="11" t="s">
        <v>588</v>
      </c>
      <c r="AU54" s="11" t="s">
        <v>588</v>
      </c>
      <c r="AV54" s="11" t="s">
        <v>588</v>
      </c>
      <c r="AW54" s="11" t="s">
        <v>588</v>
      </c>
      <c r="AX54" s="11" t="s">
        <v>588</v>
      </c>
      <c r="AY54" s="11" t="s">
        <v>588</v>
      </c>
      <c r="AZ54" s="11" t="s">
        <v>588</v>
      </c>
      <c r="BA54" s="11" t="s">
        <v>588</v>
      </c>
      <c r="BB54" s="11" t="s">
        <v>588</v>
      </c>
      <c r="BC54" s="11" t="s">
        <v>588</v>
      </c>
      <c r="BD54" s="11" t="s">
        <v>588</v>
      </c>
      <c r="BE54" s="11" t="s">
        <v>588</v>
      </c>
      <c r="BF54" s="11" t="s">
        <v>588</v>
      </c>
      <c r="BG54" s="11" t="s">
        <v>588</v>
      </c>
      <c r="BH54" s="11" t="s">
        <v>588</v>
      </c>
      <c r="BI54" s="11" t="s">
        <v>588</v>
      </c>
      <c r="BJ54" s="11" t="s">
        <v>588</v>
      </c>
      <c r="BK54" s="11" t="s">
        <v>588</v>
      </c>
      <c r="BL54" s="11" t="s">
        <v>588</v>
      </c>
      <c r="BM54" s="11" t="s">
        <v>588</v>
      </c>
      <c r="BN54" s="11" t="s">
        <v>588</v>
      </c>
      <c r="BO54" s="11" t="s">
        <v>588</v>
      </c>
      <c r="BP54" s="11" t="s">
        <v>588</v>
      </c>
      <c r="BQ54" s="11" t="s">
        <v>588</v>
      </c>
      <c r="BR54" s="11" t="s">
        <v>588</v>
      </c>
      <c r="BS54" s="11" t="s">
        <v>41</v>
      </c>
      <c r="BT54" s="11" t="s">
        <v>42</v>
      </c>
      <c r="BU54" s="11" t="s">
        <v>42</v>
      </c>
      <c r="BV54" s="11" t="s">
        <v>588</v>
      </c>
      <c r="BW54" s="11" t="s">
        <v>588</v>
      </c>
      <c r="BX54" s="11" t="s">
        <v>588</v>
      </c>
      <c r="BY54" s="11" t="s">
        <v>588</v>
      </c>
      <c r="BZ54" s="11" t="s">
        <v>588</v>
      </c>
    </row>
    <row r="55" spans="1:78" x14ac:dyDescent="0.25">
      <c r="A55" s="11">
        <v>202021</v>
      </c>
      <c r="B55" s="11" t="s">
        <v>351</v>
      </c>
      <c r="C55" s="11" t="s">
        <v>351</v>
      </c>
      <c r="D55" s="11" t="s">
        <v>352</v>
      </c>
      <c r="E55" s="11" t="s">
        <v>16</v>
      </c>
      <c r="F55" s="11">
        <v>3</v>
      </c>
      <c r="G55" s="11" t="s">
        <v>1069</v>
      </c>
      <c r="H55" s="11" t="s">
        <v>1069</v>
      </c>
      <c r="I55" s="13">
        <v>44207</v>
      </c>
      <c r="J55" s="11">
        <v>11</v>
      </c>
      <c r="K55" s="11">
        <v>1</v>
      </c>
      <c r="L55" s="11">
        <v>2021</v>
      </c>
      <c r="M55" s="11" t="s">
        <v>1085</v>
      </c>
      <c r="N55" s="11" t="s">
        <v>12</v>
      </c>
      <c r="O55" s="11" t="s">
        <v>10</v>
      </c>
      <c r="P55" s="23">
        <v>-38.604604999999999</v>
      </c>
      <c r="Q55" s="23">
        <v>145.53217000000001</v>
      </c>
      <c r="R55" s="11" t="s">
        <v>588</v>
      </c>
      <c r="S55" s="11" t="s">
        <v>588</v>
      </c>
      <c r="T55" s="11">
        <v>1</v>
      </c>
      <c r="U55" s="11">
        <v>3</v>
      </c>
      <c r="V55" s="11" t="s">
        <v>588</v>
      </c>
      <c r="W55" s="11" t="s">
        <v>588</v>
      </c>
      <c r="X55" s="11">
        <v>2</v>
      </c>
      <c r="Y55" s="11">
        <v>2</v>
      </c>
      <c r="Z55" s="11" t="s">
        <v>41</v>
      </c>
      <c r="AA55" s="13">
        <v>44207</v>
      </c>
      <c r="AB55" s="11">
        <v>11</v>
      </c>
      <c r="AC55" s="11">
        <v>1</v>
      </c>
      <c r="AD55" s="11">
        <v>2021</v>
      </c>
      <c r="AE55" s="13" t="s">
        <v>1085</v>
      </c>
      <c r="AF55" s="11" t="s">
        <v>12</v>
      </c>
      <c r="AG55" s="13">
        <v>44231</v>
      </c>
      <c r="AH55" s="11">
        <v>4</v>
      </c>
      <c r="AI55" s="11">
        <v>2</v>
      </c>
      <c r="AJ55" s="11">
        <v>2021</v>
      </c>
      <c r="AK55" s="13" t="s">
        <v>1086</v>
      </c>
      <c r="AL55" s="11" t="s">
        <v>21</v>
      </c>
      <c r="AM55" s="11" t="s">
        <v>20</v>
      </c>
      <c r="AN55" s="11" t="s">
        <v>41</v>
      </c>
      <c r="AO55" s="11" t="s">
        <v>41</v>
      </c>
      <c r="AP55" s="11" t="s">
        <v>588</v>
      </c>
      <c r="AQ55" s="11" t="s">
        <v>588</v>
      </c>
      <c r="AR55" s="11" t="s">
        <v>588</v>
      </c>
      <c r="AS55" s="11" t="s">
        <v>588</v>
      </c>
      <c r="AT55" s="11" t="s">
        <v>588</v>
      </c>
      <c r="AU55" s="11" t="s">
        <v>588</v>
      </c>
      <c r="AV55" s="11" t="s">
        <v>588</v>
      </c>
      <c r="AW55" s="11" t="s">
        <v>588</v>
      </c>
      <c r="AX55" s="11" t="s">
        <v>588</v>
      </c>
      <c r="AY55" s="11" t="s">
        <v>588</v>
      </c>
      <c r="AZ55" s="11" t="s">
        <v>588</v>
      </c>
      <c r="BA55" s="11" t="s">
        <v>588</v>
      </c>
      <c r="BB55" s="11" t="s">
        <v>588</v>
      </c>
      <c r="BC55" s="11" t="s">
        <v>588</v>
      </c>
      <c r="BD55" s="11" t="s">
        <v>588</v>
      </c>
      <c r="BE55" s="11" t="s">
        <v>588</v>
      </c>
      <c r="BF55" s="11" t="s">
        <v>588</v>
      </c>
      <c r="BG55" s="11" t="s">
        <v>588</v>
      </c>
      <c r="BH55" s="11" t="s">
        <v>588</v>
      </c>
      <c r="BI55" s="11" t="s">
        <v>588</v>
      </c>
      <c r="BJ55" s="11" t="s">
        <v>588</v>
      </c>
      <c r="BK55" s="11" t="s">
        <v>588</v>
      </c>
      <c r="BL55" s="11" t="s">
        <v>588</v>
      </c>
      <c r="BM55" s="11" t="s">
        <v>588</v>
      </c>
      <c r="BN55" s="11" t="s">
        <v>588</v>
      </c>
      <c r="BO55" s="11" t="s">
        <v>588</v>
      </c>
      <c r="BP55" s="11" t="s">
        <v>588</v>
      </c>
      <c r="BQ55" s="11" t="s">
        <v>588</v>
      </c>
      <c r="BR55" s="11" t="s">
        <v>588</v>
      </c>
      <c r="BS55" s="11" t="s">
        <v>41</v>
      </c>
      <c r="BT55" s="11" t="s">
        <v>42</v>
      </c>
      <c r="BU55" s="11" t="s">
        <v>42</v>
      </c>
      <c r="BV55" s="11" t="s">
        <v>588</v>
      </c>
      <c r="BW55" s="11" t="s">
        <v>588</v>
      </c>
      <c r="BX55" s="11" t="s">
        <v>588</v>
      </c>
      <c r="BY55" s="11" t="s">
        <v>588</v>
      </c>
      <c r="BZ55" s="11" t="s">
        <v>588</v>
      </c>
    </row>
    <row r="56" spans="1:78" x14ac:dyDescent="0.25">
      <c r="A56" s="11">
        <v>202021</v>
      </c>
      <c r="B56" s="11" t="s">
        <v>359</v>
      </c>
      <c r="C56" s="11" t="s">
        <v>359</v>
      </c>
      <c r="D56" s="11" t="s">
        <v>360</v>
      </c>
      <c r="E56" s="11" t="s">
        <v>440</v>
      </c>
      <c r="F56" s="11">
        <v>1</v>
      </c>
      <c r="G56" s="11" t="s">
        <v>1070</v>
      </c>
      <c r="H56" s="11" t="s">
        <v>1070</v>
      </c>
      <c r="I56" s="13">
        <v>44165</v>
      </c>
      <c r="J56" s="11">
        <v>30</v>
      </c>
      <c r="K56" s="11">
        <v>11</v>
      </c>
      <c r="L56" s="11">
        <v>2020</v>
      </c>
      <c r="M56" s="11" t="s">
        <v>1118</v>
      </c>
      <c r="N56" s="11" t="s">
        <v>17</v>
      </c>
      <c r="O56" s="11" t="s">
        <v>10</v>
      </c>
      <c r="P56" s="23">
        <v>-38.592942000000001</v>
      </c>
      <c r="Q56" s="23">
        <v>145.52105800000001</v>
      </c>
      <c r="R56" s="11" t="s">
        <v>588</v>
      </c>
      <c r="S56" s="11" t="s">
        <v>588</v>
      </c>
      <c r="T56" s="11">
        <v>3</v>
      </c>
      <c r="U56" s="11">
        <v>3</v>
      </c>
      <c r="V56" s="11" t="s">
        <v>588</v>
      </c>
      <c r="W56" s="11" t="s">
        <v>588</v>
      </c>
      <c r="X56" s="11">
        <v>2</v>
      </c>
      <c r="Y56" s="11">
        <v>2</v>
      </c>
      <c r="Z56" s="11" t="s">
        <v>41</v>
      </c>
      <c r="AA56" s="13">
        <v>44165</v>
      </c>
      <c r="AB56" s="11">
        <v>30</v>
      </c>
      <c r="AC56" s="11">
        <v>11</v>
      </c>
      <c r="AD56" s="11">
        <v>2020</v>
      </c>
      <c r="AE56" s="13" t="s">
        <v>1118</v>
      </c>
      <c r="AF56" s="11" t="s">
        <v>17</v>
      </c>
      <c r="AG56" s="13">
        <v>44168</v>
      </c>
      <c r="AH56" s="11">
        <v>3</v>
      </c>
      <c r="AI56" s="11">
        <v>12</v>
      </c>
      <c r="AJ56" s="11">
        <v>2020</v>
      </c>
      <c r="AK56" s="13" t="s">
        <v>1120</v>
      </c>
      <c r="AL56" s="11" t="s">
        <v>7</v>
      </c>
      <c r="AM56" s="11" t="s">
        <v>20</v>
      </c>
      <c r="AN56" s="11" t="s">
        <v>8</v>
      </c>
      <c r="AO56" s="11" t="s">
        <v>11</v>
      </c>
      <c r="AP56" s="11" t="s">
        <v>588</v>
      </c>
      <c r="AQ56" s="11" t="s">
        <v>588</v>
      </c>
      <c r="AR56" s="11" t="s">
        <v>588</v>
      </c>
      <c r="AS56" s="11" t="s">
        <v>588</v>
      </c>
      <c r="AT56" s="11" t="s">
        <v>588</v>
      </c>
      <c r="AU56" s="11" t="s">
        <v>588</v>
      </c>
      <c r="AV56" s="11" t="s">
        <v>588</v>
      </c>
      <c r="AW56" s="11" t="s">
        <v>588</v>
      </c>
      <c r="AX56" s="11" t="s">
        <v>588</v>
      </c>
      <c r="AY56" s="11" t="s">
        <v>588</v>
      </c>
      <c r="AZ56" s="11" t="s">
        <v>588</v>
      </c>
      <c r="BA56" s="11" t="s">
        <v>588</v>
      </c>
      <c r="BB56" s="11" t="s">
        <v>588</v>
      </c>
      <c r="BC56" s="11" t="s">
        <v>588</v>
      </c>
      <c r="BD56" s="11" t="s">
        <v>588</v>
      </c>
      <c r="BE56" s="11" t="s">
        <v>588</v>
      </c>
      <c r="BF56" s="11" t="s">
        <v>588</v>
      </c>
      <c r="BG56" s="11" t="s">
        <v>588</v>
      </c>
      <c r="BH56" s="11" t="s">
        <v>588</v>
      </c>
      <c r="BI56" s="11" t="s">
        <v>588</v>
      </c>
      <c r="BJ56" s="11" t="s">
        <v>588</v>
      </c>
      <c r="BK56" s="11" t="s">
        <v>588</v>
      </c>
      <c r="BL56" s="11" t="s">
        <v>588</v>
      </c>
      <c r="BM56" s="11" t="s">
        <v>588</v>
      </c>
      <c r="BN56" s="11" t="s">
        <v>588</v>
      </c>
      <c r="BO56" s="11" t="s">
        <v>588</v>
      </c>
      <c r="BP56" s="11" t="s">
        <v>588</v>
      </c>
      <c r="BQ56" s="11" t="s">
        <v>588</v>
      </c>
      <c r="BR56" s="11" t="s">
        <v>588</v>
      </c>
      <c r="BS56" s="11" t="s">
        <v>8</v>
      </c>
      <c r="BT56" s="11" t="s">
        <v>13</v>
      </c>
      <c r="BU56" s="11" t="s">
        <v>13</v>
      </c>
      <c r="BV56" s="11" t="s">
        <v>588</v>
      </c>
      <c r="BW56" s="11" t="s">
        <v>588</v>
      </c>
      <c r="BX56" s="11" t="s">
        <v>588</v>
      </c>
      <c r="BY56" s="11" t="s">
        <v>588</v>
      </c>
      <c r="BZ56" s="11" t="s">
        <v>588</v>
      </c>
    </row>
    <row r="57" spans="1:78" x14ac:dyDescent="0.25">
      <c r="A57" s="11">
        <v>202021</v>
      </c>
      <c r="B57" s="11" t="s">
        <v>359</v>
      </c>
      <c r="C57" s="11" t="s">
        <v>359</v>
      </c>
      <c r="D57" s="11" t="s">
        <v>360</v>
      </c>
      <c r="E57" s="11" t="s">
        <v>440</v>
      </c>
      <c r="F57" s="11">
        <v>2</v>
      </c>
      <c r="G57" s="11" t="s">
        <v>1071</v>
      </c>
      <c r="H57" s="11" t="s">
        <v>1071</v>
      </c>
      <c r="I57" s="13">
        <v>44198</v>
      </c>
      <c r="J57" s="11">
        <v>2</v>
      </c>
      <c r="K57" s="11">
        <v>1</v>
      </c>
      <c r="L57" s="11">
        <v>2021</v>
      </c>
      <c r="M57" s="11" t="s">
        <v>1155</v>
      </c>
      <c r="N57" s="11" t="s">
        <v>12</v>
      </c>
      <c r="O57" s="11" t="s">
        <v>51</v>
      </c>
      <c r="P57" s="23">
        <v>-38.590308</v>
      </c>
      <c r="Q57" s="23">
        <v>145.51817199999999</v>
      </c>
      <c r="R57" s="11" t="s">
        <v>588</v>
      </c>
      <c r="S57" s="11" t="s">
        <v>588</v>
      </c>
      <c r="T57" s="11">
        <v>1</v>
      </c>
      <c r="U57" s="11">
        <v>3</v>
      </c>
      <c r="V57" s="11" t="s">
        <v>588</v>
      </c>
      <c r="W57" s="11" t="s">
        <v>588</v>
      </c>
      <c r="X57" s="11">
        <v>2</v>
      </c>
      <c r="Y57" s="11">
        <v>2</v>
      </c>
      <c r="Z57" s="11" t="s">
        <v>41</v>
      </c>
      <c r="AA57" s="13">
        <v>44198</v>
      </c>
      <c r="AB57" s="11">
        <v>2</v>
      </c>
      <c r="AC57" s="11">
        <v>1</v>
      </c>
      <c r="AD57" s="11">
        <v>2021</v>
      </c>
      <c r="AE57" s="13" t="s">
        <v>1155</v>
      </c>
      <c r="AF57" s="11" t="s">
        <v>12</v>
      </c>
      <c r="AG57" s="13">
        <v>44203</v>
      </c>
      <c r="AH57" s="11">
        <v>7</v>
      </c>
      <c r="AI57" s="11">
        <v>1</v>
      </c>
      <c r="AJ57" s="11">
        <v>2021</v>
      </c>
      <c r="AK57" s="13" t="s">
        <v>1091</v>
      </c>
      <c r="AL57" s="11" t="s">
        <v>12</v>
      </c>
      <c r="AM57" s="11" t="s">
        <v>20</v>
      </c>
      <c r="AN57" s="11" t="s">
        <v>41</v>
      </c>
      <c r="AO57" s="11" t="s">
        <v>41</v>
      </c>
      <c r="AP57" s="11" t="s">
        <v>588</v>
      </c>
      <c r="AQ57" s="11" t="s">
        <v>588</v>
      </c>
      <c r="AR57" s="11" t="s">
        <v>588</v>
      </c>
      <c r="AS57" s="11" t="s">
        <v>588</v>
      </c>
      <c r="AT57" s="11" t="s">
        <v>588</v>
      </c>
      <c r="AU57" s="11" t="s">
        <v>588</v>
      </c>
      <c r="AV57" s="11" t="s">
        <v>588</v>
      </c>
      <c r="AW57" s="11" t="s">
        <v>588</v>
      </c>
      <c r="AX57" s="11" t="s">
        <v>588</v>
      </c>
      <c r="AY57" s="11" t="s">
        <v>588</v>
      </c>
      <c r="AZ57" s="11" t="s">
        <v>588</v>
      </c>
      <c r="BA57" s="11" t="s">
        <v>588</v>
      </c>
      <c r="BB57" s="11" t="s">
        <v>588</v>
      </c>
      <c r="BC57" s="11" t="s">
        <v>588</v>
      </c>
      <c r="BD57" s="11" t="s">
        <v>588</v>
      </c>
      <c r="BE57" s="11" t="s">
        <v>588</v>
      </c>
      <c r="BF57" s="11" t="s">
        <v>588</v>
      </c>
      <c r="BG57" s="11" t="s">
        <v>588</v>
      </c>
      <c r="BH57" s="11" t="s">
        <v>588</v>
      </c>
      <c r="BI57" s="11" t="s">
        <v>588</v>
      </c>
      <c r="BJ57" s="11" t="s">
        <v>588</v>
      </c>
      <c r="BK57" s="11" t="s">
        <v>588</v>
      </c>
      <c r="BL57" s="11" t="s">
        <v>588</v>
      </c>
      <c r="BM57" s="11" t="s">
        <v>588</v>
      </c>
      <c r="BN57" s="11" t="s">
        <v>588</v>
      </c>
      <c r="BO57" s="11" t="s">
        <v>588</v>
      </c>
      <c r="BP57" s="11" t="s">
        <v>588</v>
      </c>
      <c r="BQ57" s="11" t="s">
        <v>588</v>
      </c>
      <c r="BR57" s="11" t="s">
        <v>588</v>
      </c>
      <c r="BS57" s="11" t="s">
        <v>41</v>
      </c>
      <c r="BT57" s="11" t="s">
        <v>42</v>
      </c>
      <c r="BU57" s="11" t="s">
        <v>42</v>
      </c>
      <c r="BV57" s="11" t="s">
        <v>588</v>
      </c>
      <c r="BW57" s="11" t="s">
        <v>588</v>
      </c>
      <c r="BX57" s="11" t="s">
        <v>588</v>
      </c>
      <c r="BY57" s="11" t="s">
        <v>588</v>
      </c>
      <c r="BZ57" s="11" t="s">
        <v>588</v>
      </c>
    </row>
    <row r="58" spans="1:78" x14ac:dyDescent="0.25">
      <c r="A58" s="11">
        <v>202021</v>
      </c>
      <c r="B58" s="11" t="s">
        <v>359</v>
      </c>
      <c r="C58" s="11" t="s">
        <v>359</v>
      </c>
      <c r="D58" s="11" t="s">
        <v>360</v>
      </c>
      <c r="E58" s="11" t="s">
        <v>440</v>
      </c>
      <c r="F58" s="11">
        <v>3</v>
      </c>
      <c r="G58" s="11" t="s">
        <v>1072</v>
      </c>
      <c r="H58" s="11" t="s">
        <v>1072</v>
      </c>
      <c r="I58" s="13">
        <v>44216</v>
      </c>
      <c r="J58" s="11">
        <v>20</v>
      </c>
      <c r="K58" s="11">
        <v>1</v>
      </c>
      <c r="L58" s="11">
        <v>2021</v>
      </c>
      <c r="M58" s="11" t="s">
        <v>1092</v>
      </c>
      <c r="N58" s="11" t="s">
        <v>12</v>
      </c>
      <c r="O58" s="11" t="s">
        <v>10</v>
      </c>
      <c r="P58" s="23">
        <v>-38.593257999999999</v>
      </c>
      <c r="Q58" s="23">
        <v>145.52133000000001</v>
      </c>
      <c r="R58" s="11" t="s">
        <v>588</v>
      </c>
      <c r="S58" s="11" t="s">
        <v>588</v>
      </c>
      <c r="T58" s="11">
        <v>1</v>
      </c>
      <c r="U58" s="11">
        <v>3</v>
      </c>
      <c r="V58" s="11" t="s">
        <v>588</v>
      </c>
      <c r="W58" s="11" t="s">
        <v>588</v>
      </c>
      <c r="X58" s="11">
        <v>4</v>
      </c>
      <c r="Y58" s="11">
        <v>4</v>
      </c>
      <c r="Z58" s="11" t="s">
        <v>41</v>
      </c>
      <c r="AA58" s="13">
        <v>44223</v>
      </c>
      <c r="AB58" s="11">
        <v>27</v>
      </c>
      <c r="AC58" s="11">
        <v>1</v>
      </c>
      <c r="AD58" s="11">
        <v>2021</v>
      </c>
      <c r="AE58" s="13" t="s">
        <v>1117</v>
      </c>
      <c r="AF58" s="11" t="s">
        <v>12</v>
      </c>
      <c r="AG58" s="13">
        <v>44228</v>
      </c>
      <c r="AH58" s="11">
        <v>1</v>
      </c>
      <c r="AI58" s="11">
        <v>2</v>
      </c>
      <c r="AJ58" s="11">
        <v>2021</v>
      </c>
      <c r="AK58" s="13" t="s">
        <v>1108</v>
      </c>
      <c r="AL58" s="11" t="s">
        <v>21</v>
      </c>
      <c r="AM58" s="11" t="s">
        <v>20</v>
      </c>
      <c r="AN58" s="11" t="s">
        <v>41</v>
      </c>
      <c r="AO58" s="11" t="s">
        <v>41</v>
      </c>
      <c r="AP58" s="11" t="s">
        <v>588</v>
      </c>
      <c r="AQ58" s="11" t="s">
        <v>588</v>
      </c>
      <c r="AR58" s="11" t="s">
        <v>588</v>
      </c>
      <c r="AS58" s="11" t="s">
        <v>588</v>
      </c>
      <c r="AT58" s="11" t="s">
        <v>588</v>
      </c>
      <c r="AU58" s="11" t="s">
        <v>588</v>
      </c>
      <c r="AV58" s="11" t="s">
        <v>588</v>
      </c>
      <c r="AW58" s="11" t="s">
        <v>588</v>
      </c>
      <c r="AX58" s="11" t="s">
        <v>588</v>
      </c>
      <c r="AY58" s="11" t="s">
        <v>588</v>
      </c>
      <c r="AZ58" s="11" t="s">
        <v>588</v>
      </c>
      <c r="BA58" s="11" t="s">
        <v>588</v>
      </c>
      <c r="BB58" s="11" t="s">
        <v>588</v>
      </c>
      <c r="BC58" s="11" t="s">
        <v>588</v>
      </c>
      <c r="BD58" s="11" t="s">
        <v>588</v>
      </c>
      <c r="BE58" s="11" t="s">
        <v>588</v>
      </c>
      <c r="BF58" s="11" t="s">
        <v>588</v>
      </c>
      <c r="BG58" s="11" t="s">
        <v>588</v>
      </c>
      <c r="BH58" s="11" t="s">
        <v>588</v>
      </c>
      <c r="BI58" s="11" t="s">
        <v>588</v>
      </c>
      <c r="BJ58" s="11" t="s">
        <v>588</v>
      </c>
      <c r="BK58" s="11" t="s">
        <v>588</v>
      </c>
      <c r="BL58" s="11" t="s">
        <v>588</v>
      </c>
      <c r="BM58" s="11" t="s">
        <v>588</v>
      </c>
      <c r="BN58" s="11" t="s">
        <v>588</v>
      </c>
      <c r="BO58" s="11" t="s">
        <v>588</v>
      </c>
      <c r="BP58" s="11" t="s">
        <v>588</v>
      </c>
      <c r="BQ58" s="11" t="s">
        <v>588</v>
      </c>
      <c r="BR58" s="11" t="s">
        <v>588</v>
      </c>
      <c r="BS58" s="11" t="s">
        <v>8</v>
      </c>
      <c r="BT58" s="11" t="s">
        <v>13</v>
      </c>
      <c r="BU58" s="11" t="s">
        <v>13</v>
      </c>
      <c r="BV58" s="11" t="s">
        <v>588</v>
      </c>
      <c r="BW58" s="11" t="s">
        <v>588</v>
      </c>
      <c r="BX58" s="11" t="s">
        <v>588</v>
      </c>
      <c r="BY58" s="11" t="s">
        <v>588</v>
      </c>
      <c r="BZ58" s="11" t="s">
        <v>588</v>
      </c>
    </row>
    <row r="59" spans="1:78" x14ac:dyDescent="0.25">
      <c r="A59" s="11">
        <v>202021</v>
      </c>
      <c r="B59" s="11" t="s">
        <v>359</v>
      </c>
      <c r="C59" s="11" t="s">
        <v>359</v>
      </c>
      <c r="D59" s="11" t="s">
        <v>360</v>
      </c>
      <c r="E59" s="11" t="s">
        <v>440</v>
      </c>
      <c r="F59" s="11">
        <v>4</v>
      </c>
      <c r="G59" s="11" t="s">
        <v>1073</v>
      </c>
      <c r="H59" s="11" t="s">
        <v>1073</v>
      </c>
      <c r="I59" s="13">
        <v>44245</v>
      </c>
      <c r="J59" s="11">
        <v>18</v>
      </c>
      <c r="K59" s="11">
        <v>2</v>
      </c>
      <c r="L59" s="11">
        <v>2021</v>
      </c>
      <c r="M59" s="11" t="s">
        <v>1125</v>
      </c>
      <c r="N59" s="11" t="s">
        <v>21</v>
      </c>
      <c r="O59" s="11" t="s">
        <v>10</v>
      </c>
      <c r="P59" s="23">
        <v>-38.592756999999999</v>
      </c>
      <c r="Q59" s="23">
        <v>145.520308</v>
      </c>
      <c r="R59" s="11" t="s">
        <v>588</v>
      </c>
      <c r="S59" s="11" t="s">
        <v>588</v>
      </c>
      <c r="T59" s="11">
        <v>2</v>
      </c>
      <c r="U59" s="11">
        <v>3</v>
      </c>
      <c r="V59" s="11" t="s">
        <v>588</v>
      </c>
      <c r="W59" s="11" t="s">
        <v>588</v>
      </c>
      <c r="X59" s="11">
        <v>3</v>
      </c>
      <c r="Y59" s="11">
        <v>3</v>
      </c>
      <c r="Z59" s="11" t="s">
        <v>41</v>
      </c>
      <c r="AA59" s="13">
        <v>44256</v>
      </c>
      <c r="AB59" s="11">
        <v>1</v>
      </c>
      <c r="AC59" s="11">
        <v>3</v>
      </c>
      <c r="AD59" s="11">
        <v>2021</v>
      </c>
      <c r="AE59" s="13" t="s">
        <v>1166</v>
      </c>
      <c r="AF59" s="11" t="s">
        <v>22</v>
      </c>
      <c r="AG59" s="13">
        <v>44266</v>
      </c>
      <c r="AH59" s="11">
        <v>11</v>
      </c>
      <c r="AI59" s="11">
        <v>3</v>
      </c>
      <c r="AJ59" s="11">
        <v>2021</v>
      </c>
      <c r="AK59" s="13" t="s">
        <v>1121</v>
      </c>
      <c r="AL59" s="11" t="s">
        <v>22</v>
      </c>
      <c r="AM59" s="11" t="s">
        <v>20</v>
      </c>
      <c r="AN59" s="11" t="s">
        <v>41</v>
      </c>
      <c r="AO59" s="11" t="s">
        <v>41</v>
      </c>
      <c r="AP59" s="11" t="s">
        <v>588</v>
      </c>
      <c r="AQ59" s="11" t="s">
        <v>588</v>
      </c>
      <c r="AR59" s="11" t="s">
        <v>588</v>
      </c>
      <c r="AS59" s="11" t="s">
        <v>588</v>
      </c>
      <c r="AT59" s="11" t="s">
        <v>588</v>
      </c>
      <c r="AU59" s="11" t="s">
        <v>588</v>
      </c>
      <c r="AV59" s="11" t="s">
        <v>588</v>
      </c>
      <c r="AW59" s="11" t="s">
        <v>588</v>
      </c>
      <c r="AX59" s="11" t="s">
        <v>588</v>
      </c>
      <c r="AY59" s="11" t="s">
        <v>588</v>
      </c>
      <c r="AZ59" s="11" t="s">
        <v>588</v>
      </c>
      <c r="BA59" s="11" t="s">
        <v>588</v>
      </c>
      <c r="BB59" s="11" t="s">
        <v>588</v>
      </c>
      <c r="BC59" s="11" t="s">
        <v>588</v>
      </c>
      <c r="BD59" s="11" t="s">
        <v>588</v>
      </c>
      <c r="BE59" s="11" t="s">
        <v>588</v>
      </c>
      <c r="BF59" s="11" t="s">
        <v>588</v>
      </c>
      <c r="BG59" s="11" t="s">
        <v>588</v>
      </c>
      <c r="BH59" s="11" t="s">
        <v>588</v>
      </c>
      <c r="BI59" s="11" t="s">
        <v>588</v>
      </c>
      <c r="BJ59" s="11" t="s">
        <v>588</v>
      </c>
      <c r="BK59" s="11" t="s">
        <v>588</v>
      </c>
      <c r="BL59" s="11" t="s">
        <v>588</v>
      </c>
      <c r="BM59" s="11" t="s">
        <v>588</v>
      </c>
      <c r="BN59" s="11" t="s">
        <v>588</v>
      </c>
      <c r="BO59" s="11" t="s">
        <v>588</v>
      </c>
      <c r="BP59" s="11" t="s">
        <v>588</v>
      </c>
      <c r="BQ59" s="11" t="s">
        <v>588</v>
      </c>
      <c r="BR59" s="11" t="s">
        <v>588</v>
      </c>
      <c r="BS59" s="11" t="s">
        <v>8</v>
      </c>
      <c r="BT59" s="11" t="s">
        <v>47</v>
      </c>
      <c r="BU59" s="11" t="s">
        <v>47</v>
      </c>
      <c r="BV59" s="11" t="s">
        <v>588</v>
      </c>
      <c r="BW59" s="11" t="s">
        <v>588</v>
      </c>
      <c r="BX59" s="11" t="s">
        <v>588</v>
      </c>
      <c r="BY59" s="11" t="s">
        <v>588</v>
      </c>
      <c r="BZ59" s="11" t="s">
        <v>588</v>
      </c>
    </row>
    <row r="60" spans="1:78" x14ac:dyDescent="0.25">
      <c r="A60" s="11">
        <v>202021</v>
      </c>
      <c r="B60" s="11" t="s">
        <v>365</v>
      </c>
      <c r="C60" s="11" t="s">
        <v>365</v>
      </c>
      <c r="D60" s="11" t="s">
        <v>16</v>
      </c>
      <c r="E60" s="11" t="s">
        <v>16</v>
      </c>
      <c r="F60" s="11">
        <v>1</v>
      </c>
      <c r="G60" s="11" t="s">
        <v>1074</v>
      </c>
      <c r="H60" s="11" t="s">
        <v>1074</v>
      </c>
      <c r="I60" s="13">
        <v>44165</v>
      </c>
      <c r="J60" s="11">
        <v>30</v>
      </c>
      <c r="K60" s="11">
        <v>11</v>
      </c>
      <c r="L60" s="11">
        <v>2020</v>
      </c>
      <c r="M60" s="11" t="s">
        <v>1118</v>
      </c>
      <c r="N60" s="11" t="s">
        <v>17</v>
      </c>
      <c r="O60" s="11" t="s">
        <v>10</v>
      </c>
      <c r="P60" s="23">
        <v>-38.595970000000001</v>
      </c>
      <c r="Q60" s="23">
        <v>145.52416700000001</v>
      </c>
      <c r="R60" s="11" t="s">
        <v>588</v>
      </c>
      <c r="S60" s="11" t="s">
        <v>588</v>
      </c>
      <c r="T60" s="11">
        <v>1</v>
      </c>
      <c r="U60" s="11">
        <v>3</v>
      </c>
      <c r="V60" s="11" t="s">
        <v>588</v>
      </c>
      <c r="W60" s="11" t="s">
        <v>588</v>
      </c>
      <c r="X60" s="11">
        <v>2</v>
      </c>
      <c r="Y60" s="11">
        <v>2</v>
      </c>
      <c r="Z60" s="11" t="s">
        <v>41</v>
      </c>
      <c r="AA60" s="13">
        <v>44165</v>
      </c>
      <c r="AB60" s="11">
        <v>30</v>
      </c>
      <c r="AC60" s="11">
        <v>11</v>
      </c>
      <c r="AD60" s="11">
        <v>2020</v>
      </c>
      <c r="AE60" s="13" t="s">
        <v>1118</v>
      </c>
      <c r="AF60" s="11" t="s">
        <v>17</v>
      </c>
      <c r="AG60" s="13">
        <v>44168</v>
      </c>
      <c r="AH60" s="11">
        <v>3</v>
      </c>
      <c r="AI60" s="11">
        <v>12</v>
      </c>
      <c r="AJ60" s="11">
        <v>2020</v>
      </c>
      <c r="AK60" s="13" t="s">
        <v>1120</v>
      </c>
      <c r="AL60" s="11" t="s">
        <v>7</v>
      </c>
      <c r="AM60" s="11" t="s">
        <v>20</v>
      </c>
      <c r="AN60" s="11" t="s">
        <v>41</v>
      </c>
      <c r="AO60" s="11" t="s">
        <v>41</v>
      </c>
      <c r="AP60" s="11" t="s">
        <v>588</v>
      </c>
      <c r="AQ60" s="11" t="s">
        <v>588</v>
      </c>
      <c r="AR60" s="11" t="s">
        <v>588</v>
      </c>
      <c r="AS60" s="11" t="s">
        <v>588</v>
      </c>
      <c r="AT60" s="11" t="s">
        <v>588</v>
      </c>
      <c r="AU60" s="11" t="s">
        <v>588</v>
      </c>
      <c r="AV60" s="11" t="s">
        <v>588</v>
      </c>
      <c r="AW60" s="11" t="s">
        <v>588</v>
      </c>
      <c r="AX60" s="11" t="s">
        <v>588</v>
      </c>
      <c r="AY60" s="11" t="s">
        <v>588</v>
      </c>
      <c r="AZ60" s="11" t="s">
        <v>588</v>
      </c>
      <c r="BA60" s="11" t="s">
        <v>588</v>
      </c>
      <c r="BB60" s="11" t="s">
        <v>588</v>
      </c>
      <c r="BC60" s="11" t="s">
        <v>588</v>
      </c>
      <c r="BD60" s="11" t="s">
        <v>588</v>
      </c>
      <c r="BE60" s="11" t="s">
        <v>588</v>
      </c>
      <c r="BF60" s="11" t="s">
        <v>588</v>
      </c>
      <c r="BG60" s="11" t="s">
        <v>588</v>
      </c>
      <c r="BH60" s="11" t="s">
        <v>588</v>
      </c>
      <c r="BI60" s="11" t="s">
        <v>588</v>
      </c>
      <c r="BJ60" s="11" t="s">
        <v>588</v>
      </c>
      <c r="BK60" s="11" t="s">
        <v>588</v>
      </c>
      <c r="BL60" s="11" t="s">
        <v>588</v>
      </c>
      <c r="BM60" s="11" t="s">
        <v>588</v>
      </c>
      <c r="BN60" s="11" t="s">
        <v>588</v>
      </c>
      <c r="BO60" s="11" t="s">
        <v>588</v>
      </c>
      <c r="BP60" s="11" t="s">
        <v>588</v>
      </c>
      <c r="BQ60" s="11" t="s">
        <v>588</v>
      </c>
      <c r="BR60" s="11" t="s">
        <v>588</v>
      </c>
      <c r="BS60" s="11" t="s">
        <v>8</v>
      </c>
      <c r="BT60" s="11" t="s">
        <v>9</v>
      </c>
      <c r="BU60" s="11" t="s">
        <v>9</v>
      </c>
      <c r="BV60" s="11" t="s">
        <v>588</v>
      </c>
      <c r="BW60" s="11" t="s">
        <v>588</v>
      </c>
      <c r="BX60" s="11" t="s">
        <v>588</v>
      </c>
      <c r="BY60" s="11" t="s">
        <v>588</v>
      </c>
      <c r="BZ60" s="11" t="s">
        <v>588</v>
      </c>
    </row>
    <row r="61" spans="1:78" x14ac:dyDescent="0.25">
      <c r="A61" s="11">
        <v>202021</v>
      </c>
      <c r="B61" s="11" t="s">
        <v>365</v>
      </c>
      <c r="C61" s="11" t="s">
        <v>365</v>
      </c>
      <c r="D61" s="11" t="s">
        <v>16</v>
      </c>
      <c r="E61" s="11" t="s">
        <v>16</v>
      </c>
      <c r="F61" s="11">
        <v>2</v>
      </c>
      <c r="G61" s="11" t="s">
        <v>1075</v>
      </c>
      <c r="H61" s="11" t="s">
        <v>1075</v>
      </c>
      <c r="I61" s="13">
        <v>44174</v>
      </c>
      <c r="J61" s="11">
        <v>9</v>
      </c>
      <c r="K61" s="11">
        <v>12</v>
      </c>
      <c r="L61" s="11">
        <v>2020</v>
      </c>
      <c r="M61" s="11" t="s">
        <v>1135</v>
      </c>
      <c r="N61" s="11" t="s">
        <v>7</v>
      </c>
      <c r="O61" s="11" t="s">
        <v>36</v>
      </c>
      <c r="P61" s="23">
        <v>-38.596122000000001</v>
      </c>
      <c r="Q61" s="23">
        <v>145.524505</v>
      </c>
      <c r="R61" s="11" t="s">
        <v>588</v>
      </c>
      <c r="S61" s="11" t="s">
        <v>588</v>
      </c>
      <c r="T61" s="11">
        <v>2</v>
      </c>
      <c r="U61" s="11">
        <v>3</v>
      </c>
      <c r="V61" s="13">
        <v>44178</v>
      </c>
      <c r="W61" s="11" t="s">
        <v>223</v>
      </c>
      <c r="X61" s="11">
        <v>3</v>
      </c>
      <c r="Y61" s="11">
        <v>3</v>
      </c>
      <c r="Z61" s="11" t="s">
        <v>41</v>
      </c>
      <c r="AA61" s="13">
        <v>44177</v>
      </c>
      <c r="AB61" s="11">
        <v>12</v>
      </c>
      <c r="AC61" s="11">
        <v>12</v>
      </c>
      <c r="AD61" s="11">
        <v>2020</v>
      </c>
      <c r="AE61" s="13" t="s">
        <v>1094</v>
      </c>
      <c r="AF61" s="11" t="s">
        <v>7</v>
      </c>
      <c r="AG61" s="13">
        <v>44185</v>
      </c>
      <c r="AH61" s="11">
        <v>20</v>
      </c>
      <c r="AI61" s="11">
        <v>12</v>
      </c>
      <c r="AJ61" s="11">
        <v>2020</v>
      </c>
      <c r="AK61" s="13" t="s">
        <v>1122</v>
      </c>
      <c r="AL61" s="11" t="s">
        <v>7</v>
      </c>
      <c r="AM61" s="11" t="s">
        <v>20</v>
      </c>
      <c r="AN61" s="11" t="s">
        <v>8</v>
      </c>
      <c r="AO61" s="11" t="s">
        <v>1043</v>
      </c>
      <c r="AP61" s="11" t="s">
        <v>588</v>
      </c>
      <c r="AQ61" s="11" t="s">
        <v>588</v>
      </c>
      <c r="AR61" s="11" t="s">
        <v>588</v>
      </c>
      <c r="AS61" s="11" t="s">
        <v>588</v>
      </c>
      <c r="AT61" s="11" t="s">
        <v>588</v>
      </c>
      <c r="AU61" s="11" t="s">
        <v>588</v>
      </c>
      <c r="AV61" s="11" t="s">
        <v>588</v>
      </c>
      <c r="AW61" s="11" t="s">
        <v>588</v>
      </c>
      <c r="AX61" s="11" t="s">
        <v>588</v>
      </c>
      <c r="AY61" s="11" t="s">
        <v>588</v>
      </c>
      <c r="AZ61" s="11" t="s">
        <v>588</v>
      </c>
      <c r="BA61" s="11" t="s">
        <v>588</v>
      </c>
      <c r="BB61" s="11" t="s">
        <v>588</v>
      </c>
      <c r="BC61" s="11" t="s">
        <v>588</v>
      </c>
      <c r="BD61" s="11" t="s">
        <v>588</v>
      </c>
      <c r="BE61" s="11" t="s">
        <v>588</v>
      </c>
      <c r="BF61" s="11" t="s">
        <v>588</v>
      </c>
      <c r="BG61" s="11" t="s">
        <v>588</v>
      </c>
      <c r="BH61" s="11" t="s">
        <v>588</v>
      </c>
      <c r="BI61" s="11" t="s">
        <v>588</v>
      </c>
      <c r="BJ61" s="11" t="s">
        <v>588</v>
      </c>
      <c r="BK61" s="11" t="s">
        <v>588</v>
      </c>
      <c r="BL61" s="11" t="s">
        <v>588</v>
      </c>
      <c r="BM61" s="11" t="s">
        <v>588</v>
      </c>
      <c r="BN61" s="11" t="s">
        <v>588</v>
      </c>
      <c r="BO61" s="11" t="s">
        <v>588</v>
      </c>
      <c r="BP61" s="11" t="s">
        <v>588</v>
      </c>
      <c r="BQ61" s="11" t="s">
        <v>588</v>
      </c>
      <c r="BR61" s="11" t="s">
        <v>588</v>
      </c>
      <c r="BS61" s="11" t="s">
        <v>8</v>
      </c>
      <c r="BT61" s="11" t="s">
        <v>13</v>
      </c>
      <c r="BU61" s="11" t="s">
        <v>13</v>
      </c>
      <c r="BV61" s="11" t="s">
        <v>588</v>
      </c>
      <c r="BW61" s="11" t="s">
        <v>588</v>
      </c>
      <c r="BX61" s="11" t="s">
        <v>588</v>
      </c>
      <c r="BY61" s="11" t="s">
        <v>588</v>
      </c>
      <c r="BZ61" s="11" t="s">
        <v>588</v>
      </c>
    </row>
    <row r="62" spans="1:78" x14ac:dyDescent="0.25">
      <c r="A62" s="11">
        <v>202021</v>
      </c>
      <c r="B62" s="11" t="s">
        <v>365</v>
      </c>
      <c r="C62" s="11" t="s">
        <v>365</v>
      </c>
      <c r="D62" s="11" t="s">
        <v>16</v>
      </c>
      <c r="E62" s="11" t="s">
        <v>16</v>
      </c>
      <c r="F62" s="11">
        <v>3</v>
      </c>
      <c r="G62" s="11" t="s">
        <v>1076</v>
      </c>
      <c r="H62" s="11" t="s">
        <v>1076</v>
      </c>
      <c r="I62" s="13">
        <v>44207</v>
      </c>
      <c r="J62" s="11">
        <v>11</v>
      </c>
      <c r="K62" s="11">
        <v>1</v>
      </c>
      <c r="L62" s="11">
        <v>2021</v>
      </c>
      <c r="M62" s="11" t="s">
        <v>1085</v>
      </c>
      <c r="N62" s="11" t="s">
        <v>12</v>
      </c>
      <c r="O62" s="11" t="s">
        <v>10</v>
      </c>
      <c r="P62" s="23">
        <v>-38.593364999999999</v>
      </c>
      <c r="Q62" s="23">
        <v>145.521331</v>
      </c>
      <c r="R62" s="11" t="s">
        <v>588</v>
      </c>
      <c r="S62" s="11" t="s">
        <v>588</v>
      </c>
      <c r="T62" s="11">
        <v>1</v>
      </c>
      <c r="U62" s="11">
        <v>3</v>
      </c>
      <c r="V62" s="11" t="s">
        <v>588</v>
      </c>
      <c r="W62" s="11" t="s">
        <v>588</v>
      </c>
      <c r="X62" s="11">
        <v>2</v>
      </c>
      <c r="Y62" s="11">
        <v>2</v>
      </c>
      <c r="Z62" s="11" t="s">
        <v>41</v>
      </c>
      <c r="AA62" s="13">
        <v>44207</v>
      </c>
      <c r="AB62" s="11">
        <v>11</v>
      </c>
      <c r="AC62" s="11">
        <v>1</v>
      </c>
      <c r="AD62" s="11">
        <v>2021</v>
      </c>
      <c r="AE62" s="13" t="s">
        <v>1085</v>
      </c>
      <c r="AF62" s="11" t="s">
        <v>12</v>
      </c>
      <c r="AG62" s="13">
        <v>44210</v>
      </c>
      <c r="AH62" s="11">
        <v>14</v>
      </c>
      <c r="AI62" s="11">
        <v>1</v>
      </c>
      <c r="AJ62" s="11">
        <v>2021</v>
      </c>
      <c r="AK62" s="13" t="s">
        <v>1095</v>
      </c>
      <c r="AL62" s="11" t="s">
        <v>12</v>
      </c>
      <c r="AM62" s="11" t="s">
        <v>20</v>
      </c>
      <c r="AN62" s="11" t="s">
        <v>8</v>
      </c>
      <c r="AO62" s="11" t="s">
        <v>1067</v>
      </c>
      <c r="AP62" s="11" t="s">
        <v>588</v>
      </c>
      <c r="AQ62" s="11" t="s">
        <v>588</v>
      </c>
      <c r="AR62" s="11" t="s">
        <v>588</v>
      </c>
      <c r="AS62" s="11" t="s">
        <v>588</v>
      </c>
      <c r="AT62" s="11" t="s">
        <v>588</v>
      </c>
      <c r="AU62" s="11" t="s">
        <v>588</v>
      </c>
      <c r="AV62" s="11" t="s">
        <v>588</v>
      </c>
      <c r="AW62" s="11" t="s">
        <v>588</v>
      </c>
      <c r="AX62" s="11" t="s">
        <v>588</v>
      </c>
      <c r="AY62" s="11" t="s">
        <v>588</v>
      </c>
      <c r="AZ62" s="11" t="s">
        <v>588</v>
      </c>
      <c r="BA62" s="11" t="s">
        <v>588</v>
      </c>
      <c r="BB62" s="11" t="s">
        <v>588</v>
      </c>
      <c r="BC62" s="11" t="s">
        <v>588</v>
      </c>
      <c r="BD62" s="11" t="s">
        <v>588</v>
      </c>
      <c r="BE62" s="11" t="s">
        <v>588</v>
      </c>
      <c r="BF62" s="11" t="s">
        <v>588</v>
      </c>
      <c r="BG62" s="11" t="s">
        <v>588</v>
      </c>
      <c r="BH62" s="11" t="s">
        <v>588</v>
      </c>
      <c r="BI62" s="11" t="s">
        <v>588</v>
      </c>
      <c r="BJ62" s="11" t="s">
        <v>588</v>
      </c>
      <c r="BK62" s="11" t="s">
        <v>588</v>
      </c>
      <c r="BL62" s="11" t="s">
        <v>588</v>
      </c>
      <c r="BM62" s="11" t="s">
        <v>588</v>
      </c>
      <c r="BN62" s="11" t="s">
        <v>588</v>
      </c>
      <c r="BO62" s="11" t="s">
        <v>588</v>
      </c>
      <c r="BP62" s="11" t="s">
        <v>588</v>
      </c>
      <c r="BQ62" s="11" t="s">
        <v>588</v>
      </c>
      <c r="BR62" s="11" t="s">
        <v>588</v>
      </c>
      <c r="BS62" s="11" t="s">
        <v>8</v>
      </c>
      <c r="BT62" s="11" t="s">
        <v>52</v>
      </c>
      <c r="BU62" s="11" t="s">
        <v>52</v>
      </c>
      <c r="BV62" s="11" t="s">
        <v>588</v>
      </c>
      <c r="BW62" s="11" t="s">
        <v>588</v>
      </c>
      <c r="BX62" s="11" t="s">
        <v>588</v>
      </c>
      <c r="BY62" s="11" t="s">
        <v>588</v>
      </c>
      <c r="BZ62" s="11" t="s">
        <v>588</v>
      </c>
    </row>
    <row r="63" spans="1:78" x14ac:dyDescent="0.25">
      <c r="A63" s="11">
        <v>202021</v>
      </c>
      <c r="B63" s="11" t="s">
        <v>365</v>
      </c>
      <c r="C63" s="11" t="s">
        <v>365</v>
      </c>
      <c r="D63" s="11" t="s">
        <v>16</v>
      </c>
      <c r="E63" s="11" t="s">
        <v>16</v>
      </c>
      <c r="F63" s="11">
        <v>4</v>
      </c>
      <c r="G63" s="11" t="s">
        <v>1077</v>
      </c>
      <c r="H63" s="11" t="s">
        <v>1077</v>
      </c>
      <c r="I63" s="13">
        <v>44221</v>
      </c>
      <c r="J63" s="11">
        <v>25</v>
      </c>
      <c r="K63" s="11">
        <v>1</v>
      </c>
      <c r="L63" s="11">
        <v>2021</v>
      </c>
      <c r="M63" s="11" t="s">
        <v>1141</v>
      </c>
      <c r="N63" s="11" t="s">
        <v>12</v>
      </c>
      <c r="O63" s="11" t="s">
        <v>10</v>
      </c>
      <c r="P63" s="11" t="s">
        <v>588</v>
      </c>
      <c r="Q63" s="11" t="s">
        <v>588</v>
      </c>
      <c r="R63" s="11" t="s">
        <v>588</v>
      </c>
      <c r="S63" s="11" t="s">
        <v>588</v>
      </c>
      <c r="T63" s="11">
        <v>2</v>
      </c>
      <c r="U63" s="11">
        <v>3</v>
      </c>
      <c r="V63" s="11" t="s">
        <v>588</v>
      </c>
      <c r="W63" s="11" t="s">
        <v>588</v>
      </c>
      <c r="X63" s="11">
        <v>5</v>
      </c>
      <c r="Y63" s="11">
        <v>5</v>
      </c>
      <c r="Z63" s="11" t="s">
        <v>8</v>
      </c>
      <c r="AA63" s="13">
        <v>44245</v>
      </c>
      <c r="AB63" s="11">
        <v>18</v>
      </c>
      <c r="AC63" s="11">
        <v>2</v>
      </c>
      <c r="AD63" s="11">
        <v>2021</v>
      </c>
      <c r="AE63" s="13" t="s">
        <v>1125</v>
      </c>
      <c r="AF63" s="11" t="s">
        <v>21</v>
      </c>
      <c r="AG63" s="11" t="s">
        <v>588</v>
      </c>
      <c r="AH63" s="11" t="s">
        <v>588</v>
      </c>
      <c r="AI63" s="11" t="s">
        <v>588</v>
      </c>
      <c r="AJ63" s="11" t="s">
        <v>588</v>
      </c>
      <c r="AK63" s="13" t="s">
        <v>588</v>
      </c>
      <c r="AL63" s="11" t="s">
        <v>588</v>
      </c>
      <c r="AM63" s="11" t="s">
        <v>588</v>
      </c>
      <c r="AN63" s="11" t="s">
        <v>588</v>
      </c>
      <c r="AO63" s="11" t="s">
        <v>588</v>
      </c>
      <c r="AP63" s="13">
        <v>44253</v>
      </c>
      <c r="AQ63" s="11" t="s">
        <v>21</v>
      </c>
      <c r="AR63" s="11" t="s">
        <v>195</v>
      </c>
      <c r="AS63" s="11">
        <v>2</v>
      </c>
      <c r="AT63" s="11">
        <v>2</v>
      </c>
      <c r="AU63" s="13">
        <v>44256</v>
      </c>
      <c r="AV63" s="13">
        <v>44270</v>
      </c>
      <c r="AW63" s="11" t="s">
        <v>22</v>
      </c>
      <c r="AX63" s="11" t="s">
        <v>588</v>
      </c>
      <c r="AY63" s="11" t="s">
        <v>588</v>
      </c>
      <c r="AZ63" s="11" t="s">
        <v>588</v>
      </c>
      <c r="BA63" s="11" t="s">
        <v>588</v>
      </c>
      <c r="BB63" s="11" t="s">
        <v>588</v>
      </c>
      <c r="BC63" s="11" t="s">
        <v>588</v>
      </c>
      <c r="BD63" s="11" t="s">
        <v>588</v>
      </c>
      <c r="BE63" s="11" t="s">
        <v>588</v>
      </c>
      <c r="BF63" s="11" t="s">
        <v>588</v>
      </c>
      <c r="BG63" s="11" t="s">
        <v>588</v>
      </c>
      <c r="BH63" s="11" t="s">
        <v>588</v>
      </c>
      <c r="BI63" s="11" t="s">
        <v>588</v>
      </c>
      <c r="BJ63" s="11" t="s">
        <v>588</v>
      </c>
      <c r="BK63" s="11" t="s">
        <v>588</v>
      </c>
      <c r="BL63" s="11" t="s">
        <v>588</v>
      </c>
      <c r="BM63" s="11">
        <v>10</v>
      </c>
      <c r="BN63" s="11">
        <v>10</v>
      </c>
      <c r="BO63" s="11" t="s">
        <v>8</v>
      </c>
      <c r="BP63" s="11">
        <v>1</v>
      </c>
      <c r="BQ63" s="13">
        <v>44303</v>
      </c>
      <c r="BR63" s="11" t="s">
        <v>72</v>
      </c>
      <c r="BS63" s="11" t="s">
        <v>8</v>
      </c>
      <c r="BT63" s="11" t="s">
        <v>9</v>
      </c>
      <c r="BU63" s="11" t="s">
        <v>9</v>
      </c>
      <c r="BV63" s="11" t="s">
        <v>8</v>
      </c>
      <c r="BW63" s="11" t="s">
        <v>13</v>
      </c>
      <c r="BX63" s="11" t="s">
        <v>13</v>
      </c>
      <c r="BY63" s="11" t="s">
        <v>588</v>
      </c>
      <c r="BZ63" s="11" t="s">
        <v>588</v>
      </c>
    </row>
    <row r="64" spans="1:78" x14ac:dyDescent="0.25">
      <c r="A64" s="11">
        <v>202021</v>
      </c>
      <c r="B64" s="11" t="s">
        <v>39</v>
      </c>
      <c r="C64" s="11" t="s">
        <v>39</v>
      </c>
      <c r="D64" s="11" t="s">
        <v>100</v>
      </c>
      <c r="E64" s="11" t="s">
        <v>16</v>
      </c>
      <c r="F64" s="11">
        <v>1</v>
      </c>
      <c r="G64" s="11" t="s">
        <v>1078</v>
      </c>
      <c r="H64" s="11" t="s">
        <v>1078</v>
      </c>
      <c r="I64" s="13">
        <v>44188</v>
      </c>
      <c r="J64" s="11">
        <v>23</v>
      </c>
      <c r="K64" s="11">
        <v>12</v>
      </c>
      <c r="L64" s="11">
        <v>2020</v>
      </c>
      <c r="M64" s="11" t="s">
        <v>1116</v>
      </c>
      <c r="N64" s="11" t="s">
        <v>7</v>
      </c>
      <c r="O64" s="11" t="s">
        <v>10</v>
      </c>
      <c r="P64" s="23">
        <v>-38.66865</v>
      </c>
      <c r="Q64" s="23">
        <v>145.59130999999999</v>
      </c>
      <c r="R64" s="11" t="s">
        <v>588</v>
      </c>
      <c r="S64" s="11" t="s">
        <v>588</v>
      </c>
      <c r="T64" s="11">
        <v>3</v>
      </c>
      <c r="U64" s="11">
        <v>3</v>
      </c>
      <c r="V64" s="13">
        <v>44192</v>
      </c>
      <c r="W64" s="11" t="s">
        <v>223</v>
      </c>
      <c r="X64" s="11">
        <v>3</v>
      </c>
      <c r="Y64" s="11">
        <v>3</v>
      </c>
      <c r="Z64" s="11" t="s">
        <v>41</v>
      </c>
      <c r="AA64" s="13">
        <v>44196</v>
      </c>
      <c r="AB64" s="11">
        <v>31</v>
      </c>
      <c r="AC64" s="11">
        <v>12</v>
      </c>
      <c r="AD64" s="11">
        <v>2020</v>
      </c>
      <c r="AE64" s="13" t="s">
        <v>1154</v>
      </c>
      <c r="AF64" s="11" t="s">
        <v>7</v>
      </c>
      <c r="AG64" s="13">
        <v>44203</v>
      </c>
      <c r="AH64" s="11">
        <v>7</v>
      </c>
      <c r="AI64" s="11">
        <v>1</v>
      </c>
      <c r="AJ64" s="11">
        <v>2021</v>
      </c>
      <c r="AK64" s="13" t="s">
        <v>1091</v>
      </c>
      <c r="AL64" s="11" t="s">
        <v>12</v>
      </c>
      <c r="AM64" s="11" t="s">
        <v>25</v>
      </c>
      <c r="AN64" s="11" t="s">
        <v>41</v>
      </c>
      <c r="AO64" s="11" t="s">
        <v>41</v>
      </c>
      <c r="AP64" s="11" t="s">
        <v>588</v>
      </c>
      <c r="AQ64" s="11" t="s">
        <v>588</v>
      </c>
      <c r="AR64" s="11" t="s">
        <v>588</v>
      </c>
      <c r="AS64" s="11" t="s">
        <v>588</v>
      </c>
      <c r="AT64" s="11" t="s">
        <v>588</v>
      </c>
      <c r="AU64" s="11" t="s">
        <v>588</v>
      </c>
      <c r="AV64" s="11" t="s">
        <v>588</v>
      </c>
      <c r="AW64" s="11" t="s">
        <v>588</v>
      </c>
      <c r="AX64" s="11" t="s">
        <v>588</v>
      </c>
      <c r="AY64" s="11" t="s">
        <v>588</v>
      </c>
      <c r="AZ64" s="11" t="s">
        <v>588</v>
      </c>
      <c r="BA64" s="11" t="s">
        <v>588</v>
      </c>
      <c r="BB64" s="11" t="s">
        <v>588</v>
      </c>
      <c r="BC64" s="11" t="s">
        <v>588</v>
      </c>
      <c r="BD64" s="11" t="s">
        <v>588</v>
      </c>
      <c r="BE64" s="11" t="s">
        <v>588</v>
      </c>
      <c r="BF64" s="11" t="s">
        <v>588</v>
      </c>
      <c r="BG64" s="11" t="s">
        <v>588</v>
      </c>
      <c r="BH64" s="11" t="s">
        <v>588</v>
      </c>
      <c r="BI64" s="11" t="s">
        <v>588</v>
      </c>
      <c r="BJ64" s="11" t="s">
        <v>588</v>
      </c>
      <c r="BK64" s="11" t="s">
        <v>588</v>
      </c>
      <c r="BL64" s="11" t="s">
        <v>588</v>
      </c>
      <c r="BM64" s="11" t="s">
        <v>588</v>
      </c>
      <c r="BN64" s="11" t="s">
        <v>588</v>
      </c>
      <c r="BO64" s="11" t="s">
        <v>588</v>
      </c>
      <c r="BP64" s="11" t="s">
        <v>588</v>
      </c>
      <c r="BQ64" s="11" t="s">
        <v>588</v>
      </c>
      <c r="BR64" s="11" t="s">
        <v>588</v>
      </c>
      <c r="BS64" s="11" t="s">
        <v>8</v>
      </c>
      <c r="BT64" s="11" t="s">
        <v>9</v>
      </c>
      <c r="BU64" s="11" t="s">
        <v>9</v>
      </c>
      <c r="BV64" s="11" t="s">
        <v>588</v>
      </c>
      <c r="BW64" s="11" t="s">
        <v>588</v>
      </c>
      <c r="BX64" s="11" t="s">
        <v>588</v>
      </c>
      <c r="BY64" s="11" t="s">
        <v>588</v>
      </c>
      <c r="BZ64" s="11" t="s">
        <v>588</v>
      </c>
    </row>
    <row r="65" spans="1:78" x14ac:dyDescent="0.25">
      <c r="A65" s="11">
        <v>202021</v>
      </c>
      <c r="B65" s="11" t="s">
        <v>43</v>
      </c>
      <c r="C65" s="11" t="s">
        <v>43</v>
      </c>
      <c r="D65" s="11" t="s">
        <v>101</v>
      </c>
      <c r="E65" s="11" t="s">
        <v>16</v>
      </c>
      <c r="F65" s="11">
        <v>1</v>
      </c>
      <c r="G65" s="11" t="s">
        <v>1079</v>
      </c>
      <c r="H65" s="11" t="s">
        <v>1079</v>
      </c>
      <c r="I65" s="13">
        <v>44118</v>
      </c>
      <c r="J65" s="11">
        <v>14</v>
      </c>
      <c r="K65" s="11">
        <v>10</v>
      </c>
      <c r="L65" s="11">
        <v>2020</v>
      </c>
      <c r="M65" s="11" t="s">
        <v>1111</v>
      </c>
      <c r="N65" s="11" t="s">
        <v>29</v>
      </c>
      <c r="O65" s="11" t="s">
        <v>51</v>
      </c>
      <c r="P65" s="23" t="s">
        <v>588</v>
      </c>
      <c r="Q65" s="23" t="s">
        <v>588</v>
      </c>
      <c r="R65" s="11" t="s">
        <v>588</v>
      </c>
      <c r="S65" s="11" t="s">
        <v>588</v>
      </c>
      <c r="T65" s="11">
        <v>1</v>
      </c>
      <c r="U65" s="11">
        <v>3</v>
      </c>
      <c r="V65" s="11" t="s">
        <v>588</v>
      </c>
      <c r="W65" s="11" t="s">
        <v>588</v>
      </c>
      <c r="X65" s="11">
        <v>2</v>
      </c>
      <c r="Y65" s="11">
        <v>2</v>
      </c>
      <c r="Z65" s="11" t="s">
        <v>41</v>
      </c>
      <c r="AA65" s="13">
        <v>44118</v>
      </c>
      <c r="AB65" s="11">
        <v>14</v>
      </c>
      <c r="AC65" s="11">
        <v>10</v>
      </c>
      <c r="AD65" s="11">
        <v>2020</v>
      </c>
      <c r="AE65" s="13" t="s">
        <v>1111</v>
      </c>
      <c r="AF65" s="11" t="s">
        <v>29</v>
      </c>
      <c r="AG65" s="13">
        <v>44120</v>
      </c>
      <c r="AH65" s="11">
        <v>16</v>
      </c>
      <c r="AI65" s="11">
        <v>10</v>
      </c>
      <c r="AJ65" s="11">
        <v>2020</v>
      </c>
      <c r="AK65" s="13" t="s">
        <v>1123</v>
      </c>
      <c r="AL65" s="11" t="s">
        <v>29</v>
      </c>
      <c r="AM65" s="11" t="s">
        <v>20</v>
      </c>
      <c r="AN65" s="11" t="s">
        <v>41</v>
      </c>
      <c r="AO65" s="11" t="s">
        <v>41</v>
      </c>
      <c r="AP65" s="11" t="s">
        <v>588</v>
      </c>
      <c r="AQ65" s="11" t="s">
        <v>588</v>
      </c>
      <c r="AR65" s="11" t="s">
        <v>588</v>
      </c>
      <c r="AS65" s="11" t="s">
        <v>588</v>
      </c>
      <c r="AT65" s="11" t="s">
        <v>588</v>
      </c>
      <c r="AU65" s="11" t="s">
        <v>588</v>
      </c>
      <c r="AV65" s="11" t="s">
        <v>588</v>
      </c>
      <c r="AW65" s="11" t="s">
        <v>588</v>
      </c>
      <c r="AX65" s="11" t="s">
        <v>588</v>
      </c>
      <c r="AY65" s="11" t="s">
        <v>588</v>
      </c>
      <c r="AZ65" s="11" t="s">
        <v>588</v>
      </c>
      <c r="BA65" s="11" t="s">
        <v>588</v>
      </c>
      <c r="BB65" s="11" t="s">
        <v>588</v>
      </c>
      <c r="BC65" s="11" t="s">
        <v>588</v>
      </c>
      <c r="BD65" s="11" t="s">
        <v>588</v>
      </c>
      <c r="BE65" s="11" t="s">
        <v>588</v>
      </c>
      <c r="BF65" s="11" t="s">
        <v>588</v>
      </c>
      <c r="BG65" s="11" t="s">
        <v>588</v>
      </c>
      <c r="BH65" s="11" t="s">
        <v>588</v>
      </c>
      <c r="BI65" s="11" t="s">
        <v>588</v>
      </c>
      <c r="BJ65" s="11" t="s">
        <v>588</v>
      </c>
      <c r="BK65" s="11" t="s">
        <v>588</v>
      </c>
      <c r="BL65" s="11" t="s">
        <v>588</v>
      </c>
      <c r="BM65" s="11" t="s">
        <v>588</v>
      </c>
      <c r="BN65" s="11" t="s">
        <v>588</v>
      </c>
      <c r="BO65" s="11" t="s">
        <v>588</v>
      </c>
      <c r="BP65" s="11" t="s">
        <v>588</v>
      </c>
      <c r="BQ65" s="11" t="s">
        <v>588</v>
      </c>
      <c r="BR65" s="11" t="s">
        <v>588</v>
      </c>
      <c r="BS65" s="11" t="s">
        <v>41</v>
      </c>
      <c r="BT65" s="11" t="s">
        <v>42</v>
      </c>
      <c r="BU65" s="11" t="s">
        <v>42</v>
      </c>
      <c r="BV65" s="11" t="s">
        <v>588</v>
      </c>
      <c r="BW65" s="11" t="s">
        <v>588</v>
      </c>
      <c r="BX65" s="11" t="s">
        <v>588</v>
      </c>
      <c r="BY65" s="11" t="s">
        <v>588</v>
      </c>
      <c r="BZ65" s="11" t="s">
        <v>588</v>
      </c>
    </row>
    <row r="66" spans="1:78" x14ac:dyDescent="0.25">
      <c r="A66" s="11">
        <v>202021</v>
      </c>
      <c r="B66" s="11" t="s">
        <v>45</v>
      </c>
      <c r="C66" s="11" t="s">
        <v>45</v>
      </c>
      <c r="D66" s="11" t="s">
        <v>16</v>
      </c>
      <c r="E66" s="11" t="s">
        <v>16</v>
      </c>
      <c r="F66" s="11">
        <v>1</v>
      </c>
      <c r="G66" s="11" t="s">
        <v>1080</v>
      </c>
      <c r="H66" s="11" t="s">
        <v>1080</v>
      </c>
      <c r="I66" s="13">
        <v>44227</v>
      </c>
      <c r="J66" s="11">
        <v>31</v>
      </c>
      <c r="K66" s="11">
        <v>1</v>
      </c>
      <c r="L66" s="11">
        <v>2021</v>
      </c>
      <c r="M66" s="11" t="s">
        <v>1093</v>
      </c>
      <c r="N66" s="11" t="s">
        <v>12</v>
      </c>
      <c r="O66" s="11" t="s">
        <v>10</v>
      </c>
      <c r="P66" s="23">
        <v>-38.668104</v>
      </c>
      <c r="Q66" s="23">
        <v>145.589201</v>
      </c>
      <c r="R66" s="11" t="s">
        <v>588</v>
      </c>
      <c r="S66" s="11" t="s">
        <v>588</v>
      </c>
      <c r="T66" s="11">
        <v>3</v>
      </c>
      <c r="U66" s="11">
        <v>3</v>
      </c>
      <c r="V66" s="11" t="s">
        <v>588</v>
      </c>
      <c r="W66" s="11" t="s">
        <v>588</v>
      </c>
      <c r="X66" s="11">
        <v>2</v>
      </c>
      <c r="Y66" s="11">
        <v>2</v>
      </c>
      <c r="Z66" s="11" t="s">
        <v>41</v>
      </c>
      <c r="AA66" s="13">
        <v>44227</v>
      </c>
      <c r="AB66" s="11">
        <v>31</v>
      </c>
      <c r="AC66" s="11">
        <v>1</v>
      </c>
      <c r="AD66" s="11">
        <v>2021</v>
      </c>
      <c r="AE66" s="13" t="s">
        <v>1093</v>
      </c>
      <c r="AF66" s="11" t="s">
        <v>12</v>
      </c>
      <c r="AG66" s="13">
        <v>44237</v>
      </c>
      <c r="AH66" s="11">
        <v>10</v>
      </c>
      <c r="AI66" s="11">
        <v>2</v>
      </c>
      <c r="AJ66" s="11">
        <v>2021</v>
      </c>
      <c r="AK66" s="13" t="s">
        <v>1124</v>
      </c>
      <c r="AL66" s="11" t="s">
        <v>21</v>
      </c>
      <c r="AM66" s="11" t="s">
        <v>20</v>
      </c>
      <c r="AN66" s="11" t="s">
        <v>41</v>
      </c>
      <c r="AO66" s="11" t="s">
        <v>41</v>
      </c>
      <c r="AP66" s="11" t="s">
        <v>588</v>
      </c>
      <c r="AQ66" s="11" t="s">
        <v>588</v>
      </c>
      <c r="AR66" s="11" t="s">
        <v>588</v>
      </c>
      <c r="AS66" s="11" t="s">
        <v>588</v>
      </c>
      <c r="AT66" s="11" t="s">
        <v>588</v>
      </c>
      <c r="AU66" s="11" t="s">
        <v>588</v>
      </c>
      <c r="AV66" s="11" t="s">
        <v>588</v>
      </c>
      <c r="AW66" s="11" t="s">
        <v>588</v>
      </c>
      <c r="AX66" s="11" t="s">
        <v>588</v>
      </c>
      <c r="AY66" s="11" t="s">
        <v>588</v>
      </c>
      <c r="AZ66" s="11" t="s">
        <v>588</v>
      </c>
      <c r="BA66" s="11" t="s">
        <v>588</v>
      </c>
      <c r="BB66" s="11" t="s">
        <v>588</v>
      </c>
      <c r="BC66" s="11" t="s">
        <v>588</v>
      </c>
      <c r="BD66" s="11" t="s">
        <v>588</v>
      </c>
      <c r="BE66" s="11" t="s">
        <v>588</v>
      </c>
      <c r="BF66" s="11" t="s">
        <v>588</v>
      </c>
      <c r="BG66" s="11" t="s">
        <v>588</v>
      </c>
      <c r="BH66" s="11" t="s">
        <v>588</v>
      </c>
      <c r="BI66" s="11" t="s">
        <v>588</v>
      </c>
      <c r="BJ66" s="11" t="s">
        <v>588</v>
      </c>
      <c r="BK66" s="11" t="s">
        <v>588</v>
      </c>
      <c r="BL66" s="11" t="s">
        <v>588</v>
      </c>
      <c r="BM66" s="11" t="s">
        <v>588</v>
      </c>
      <c r="BN66" s="11" t="s">
        <v>588</v>
      </c>
      <c r="BO66" s="11" t="s">
        <v>588</v>
      </c>
      <c r="BP66" s="11" t="s">
        <v>588</v>
      </c>
      <c r="BQ66" s="11" t="s">
        <v>588</v>
      </c>
      <c r="BR66" s="11" t="s">
        <v>588</v>
      </c>
      <c r="BS66" s="11" t="s">
        <v>41</v>
      </c>
      <c r="BT66" s="11" t="s">
        <v>42</v>
      </c>
      <c r="BU66" s="11" t="s">
        <v>42</v>
      </c>
      <c r="BV66" s="11" t="s">
        <v>588</v>
      </c>
      <c r="BW66" s="11" t="s">
        <v>588</v>
      </c>
      <c r="BX66" s="11" t="s">
        <v>588</v>
      </c>
      <c r="BY66" s="11" t="s">
        <v>588</v>
      </c>
      <c r="BZ66" s="11" t="s">
        <v>588</v>
      </c>
    </row>
    <row r="67" spans="1:78" x14ac:dyDescent="0.25">
      <c r="A67" s="11">
        <v>202021</v>
      </c>
      <c r="B67" s="11" t="s">
        <v>54</v>
      </c>
      <c r="C67" s="11" t="s">
        <v>54</v>
      </c>
      <c r="D67" s="11" t="s">
        <v>99</v>
      </c>
      <c r="E67" s="11" t="s">
        <v>16</v>
      </c>
      <c r="F67" s="11">
        <v>1</v>
      </c>
      <c r="G67" s="11" t="s">
        <v>1081</v>
      </c>
      <c r="H67" s="11" t="s">
        <v>1081</v>
      </c>
      <c r="I67" s="13">
        <v>44237</v>
      </c>
      <c r="J67" s="11">
        <v>10</v>
      </c>
      <c r="K67" s="11">
        <v>2</v>
      </c>
      <c r="L67" s="11">
        <v>2021</v>
      </c>
      <c r="M67" s="11" t="s">
        <v>1124</v>
      </c>
      <c r="N67" s="11" t="s">
        <v>21</v>
      </c>
      <c r="O67" s="11" t="s">
        <v>10</v>
      </c>
      <c r="P67" s="23">
        <v>-38.673006000000001</v>
      </c>
      <c r="Q67" s="23">
        <v>145.599197</v>
      </c>
      <c r="R67" s="11" t="s">
        <v>588</v>
      </c>
      <c r="S67" s="11" t="s">
        <v>588</v>
      </c>
      <c r="T67" s="11">
        <v>1</v>
      </c>
      <c r="U67" s="11">
        <v>1</v>
      </c>
      <c r="V67" s="11" t="s">
        <v>588</v>
      </c>
      <c r="W67" s="11" t="s">
        <v>588</v>
      </c>
      <c r="X67" s="11">
        <v>2</v>
      </c>
      <c r="Y67" s="11">
        <v>2</v>
      </c>
      <c r="Z67" s="11" t="s">
        <v>41</v>
      </c>
      <c r="AA67" s="13">
        <v>44237</v>
      </c>
      <c r="AB67" s="11">
        <v>10</v>
      </c>
      <c r="AC67" s="11">
        <v>2</v>
      </c>
      <c r="AD67" s="11">
        <v>2021</v>
      </c>
      <c r="AE67" s="13" t="s">
        <v>1124</v>
      </c>
      <c r="AF67" s="11" t="s">
        <v>21</v>
      </c>
      <c r="AG67" s="13">
        <v>44245</v>
      </c>
      <c r="AH67" s="11">
        <v>18</v>
      </c>
      <c r="AI67" s="11">
        <v>2</v>
      </c>
      <c r="AJ67" s="11">
        <v>2021</v>
      </c>
      <c r="AK67" s="13" t="s">
        <v>1125</v>
      </c>
      <c r="AL67" s="11" t="s">
        <v>21</v>
      </c>
      <c r="AM67" s="11" t="s">
        <v>20</v>
      </c>
      <c r="AN67" s="11" t="s">
        <v>41</v>
      </c>
      <c r="AO67" s="11" t="s">
        <v>41</v>
      </c>
      <c r="AP67" s="11" t="s">
        <v>588</v>
      </c>
      <c r="AQ67" s="11" t="s">
        <v>588</v>
      </c>
      <c r="AR67" s="11" t="s">
        <v>588</v>
      </c>
      <c r="AS67" s="11" t="s">
        <v>588</v>
      </c>
      <c r="AT67" s="11" t="s">
        <v>588</v>
      </c>
      <c r="AU67" s="11" t="s">
        <v>588</v>
      </c>
      <c r="AV67" s="11" t="s">
        <v>588</v>
      </c>
      <c r="AW67" s="11" t="s">
        <v>588</v>
      </c>
      <c r="AX67" s="11" t="s">
        <v>588</v>
      </c>
      <c r="AY67" s="11" t="s">
        <v>588</v>
      </c>
      <c r="AZ67" s="11" t="s">
        <v>588</v>
      </c>
      <c r="BA67" s="11" t="s">
        <v>588</v>
      </c>
      <c r="BB67" s="11" t="s">
        <v>588</v>
      </c>
      <c r="BC67" s="11" t="s">
        <v>588</v>
      </c>
      <c r="BD67" s="11" t="s">
        <v>588</v>
      </c>
      <c r="BE67" s="11" t="s">
        <v>588</v>
      </c>
      <c r="BF67" s="11" t="s">
        <v>588</v>
      </c>
      <c r="BG67" s="11" t="s">
        <v>588</v>
      </c>
      <c r="BH67" s="11" t="s">
        <v>588</v>
      </c>
      <c r="BI67" s="11" t="s">
        <v>588</v>
      </c>
      <c r="BJ67" s="11" t="s">
        <v>588</v>
      </c>
      <c r="BK67" s="11" t="s">
        <v>588</v>
      </c>
      <c r="BL67" s="11" t="s">
        <v>588</v>
      </c>
      <c r="BM67" s="11" t="s">
        <v>588</v>
      </c>
      <c r="BN67" s="11" t="s">
        <v>588</v>
      </c>
      <c r="BO67" s="11" t="s">
        <v>588</v>
      </c>
      <c r="BP67" s="11" t="s">
        <v>588</v>
      </c>
      <c r="BQ67" s="11" t="s">
        <v>588</v>
      </c>
      <c r="BR67" s="11" t="s">
        <v>588</v>
      </c>
      <c r="BS67" s="11" t="s">
        <v>41</v>
      </c>
      <c r="BT67" s="11" t="s">
        <v>42</v>
      </c>
      <c r="BU67" s="11" t="s">
        <v>42</v>
      </c>
      <c r="BV67" s="11" t="s">
        <v>588</v>
      </c>
      <c r="BW67" s="11" t="s">
        <v>588</v>
      </c>
      <c r="BX67" s="11" t="s">
        <v>588</v>
      </c>
      <c r="BY67" s="11" t="s">
        <v>588</v>
      </c>
      <c r="BZ67" s="11" t="s">
        <v>588</v>
      </c>
    </row>
    <row r="68" spans="1:78" x14ac:dyDescent="0.25">
      <c r="A68" s="11">
        <v>202021</v>
      </c>
      <c r="B68" s="11" t="s">
        <v>56</v>
      </c>
      <c r="C68" s="11" t="s">
        <v>56</v>
      </c>
      <c r="D68" s="11" t="s">
        <v>5</v>
      </c>
      <c r="E68" s="11" t="s">
        <v>100</v>
      </c>
      <c r="F68" s="11">
        <v>1</v>
      </c>
      <c r="G68" s="11" t="s">
        <v>1082</v>
      </c>
      <c r="H68" s="11" t="s">
        <v>1082</v>
      </c>
      <c r="I68" s="13">
        <v>44144</v>
      </c>
      <c r="J68" s="11">
        <v>9</v>
      </c>
      <c r="K68" s="11">
        <v>11</v>
      </c>
      <c r="L68" s="11">
        <v>2020</v>
      </c>
      <c r="M68" s="11" t="s">
        <v>1167</v>
      </c>
      <c r="N68" s="11" t="s">
        <v>17</v>
      </c>
      <c r="O68" s="11" t="s">
        <v>10</v>
      </c>
      <c r="P68" s="23">
        <v>-38.658230000000003</v>
      </c>
      <c r="Q68" s="23">
        <v>145.57913199999999</v>
      </c>
      <c r="R68" s="11" t="s">
        <v>588</v>
      </c>
      <c r="S68" s="11" t="s">
        <v>588</v>
      </c>
      <c r="T68" s="11">
        <v>1</v>
      </c>
      <c r="U68" s="11">
        <v>3</v>
      </c>
      <c r="V68" s="11" t="s">
        <v>588</v>
      </c>
      <c r="W68" s="11" t="s">
        <v>588</v>
      </c>
      <c r="X68" s="11">
        <v>2</v>
      </c>
      <c r="Y68" s="11">
        <v>2</v>
      </c>
      <c r="Z68" s="11" t="s">
        <v>41</v>
      </c>
      <c r="AA68" s="13">
        <v>44144</v>
      </c>
      <c r="AB68" s="11">
        <v>9</v>
      </c>
      <c r="AC68" s="11">
        <v>11</v>
      </c>
      <c r="AD68" s="11">
        <v>2020</v>
      </c>
      <c r="AE68" s="13" t="s">
        <v>1167</v>
      </c>
      <c r="AF68" s="11" t="s">
        <v>17</v>
      </c>
      <c r="AG68" s="13">
        <v>44147</v>
      </c>
      <c r="AH68" s="11">
        <v>12</v>
      </c>
      <c r="AI68" s="11">
        <v>11</v>
      </c>
      <c r="AJ68" s="11">
        <v>2020</v>
      </c>
      <c r="AK68" s="13" t="s">
        <v>1126</v>
      </c>
      <c r="AL68" s="11" t="s">
        <v>17</v>
      </c>
      <c r="AM68" s="11" t="s">
        <v>20</v>
      </c>
      <c r="AN68" s="11" t="s">
        <v>41</v>
      </c>
      <c r="AO68" s="11" t="s">
        <v>41</v>
      </c>
      <c r="AP68" s="11" t="s">
        <v>588</v>
      </c>
      <c r="AQ68" s="11" t="s">
        <v>588</v>
      </c>
      <c r="AR68" s="11" t="s">
        <v>588</v>
      </c>
      <c r="AS68" s="11" t="s">
        <v>588</v>
      </c>
      <c r="AT68" s="11" t="s">
        <v>588</v>
      </c>
      <c r="AU68" s="11" t="s">
        <v>588</v>
      </c>
      <c r="AV68" s="11" t="s">
        <v>588</v>
      </c>
      <c r="AW68" s="11" t="s">
        <v>588</v>
      </c>
      <c r="AX68" s="11" t="s">
        <v>588</v>
      </c>
      <c r="AY68" s="11" t="s">
        <v>588</v>
      </c>
      <c r="AZ68" s="11" t="s">
        <v>588</v>
      </c>
      <c r="BA68" s="11" t="s">
        <v>588</v>
      </c>
      <c r="BB68" s="11" t="s">
        <v>588</v>
      </c>
      <c r="BC68" s="11" t="s">
        <v>588</v>
      </c>
      <c r="BD68" s="11" t="s">
        <v>588</v>
      </c>
      <c r="BE68" s="11" t="s">
        <v>588</v>
      </c>
      <c r="BF68" s="11" t="s">
        <v>588</v>
      </c>
      <c r="BG68" s="11" t="s">
        <v>588</v>
      </c>
      <c r="BH68" s="11" t="s">
        <v>588</v>
      </c>
      <c r="BI68" s="11" t="s">
        <v>588</v>
      </c>
      <c r="BJ68" s="11" t="s">
        <v>588</v>
      </c>
      <c r="BK68" s="11" t="s">
        <v>588</v>
      </c>
      <c r="BL68" s="11" t="s">
        <v>588</v>
      </c>
      <c r="BM68" s="11" t="s">
        <v>588</v>
      </c>
      <c r="BN68" s="11" t="s">
        <v>588</v>
      </c>
      <c r="BO68" s="11" t="s">
        <v>588</v>
      </c>
      <c r="BP68" s="11" t="s">
        <v>588</v>
      </c>
      <c r="BQ68" s="11" t="s">
        <v>588</v>
      </c>
      <c r="BR68" s="11" t="s">
        <v>588</v>
      </c>
      <c r="BS68" s="11" t="s">
        <v>8</v>
      </c>
      <c r="BT68" s="11" t="s">
        <v>13</v>
      </c>
      <c r="BU68" s="11" t="s">
        <v>13</v>
      </c>
      <c r="BV68" s="11" t="s">
        <v>588</v>
      </c>
      <c r="BW68" s="11" t="s">
        <v>588</v>
      </c>
      <c r="BX68" s="11" t="s">
        <v>588</v>
      </c>
      <c r="BY68" s="11" t="s">
        <v>588</v>
      </c>
      <c r="BZ68" s="11" t="s">
        <v>588</v>
      </c>
    </row>
    <row r="69" spans="1:78" x14ac:dyDescent="0.25">
      <c r="A69" s="11">
        <v>202021</v>
      </c>
      <c r="B69" s="11" t="s">
        <v>56</v>
      </c>
      <c r="C69" s="11" t="s">
        <v>56</v>
      </c>
      <c r="D69" s="11" t="s">
        <v>5</v>
      </c>
      <c r="E69" s="11" t="s">
        <v>100</v>
      </c>
      <c r="F69" s="11">
        <v>3</v>
      </c>
      <c r="G69" s="11" t="s">
        <v>1083</v>
      </c>
      <c r="H69" s="11" t="s">
        <v>1083</v>
      </c>
      <c r="I69" s="13">
        <v>44188</v>
      </c>
      <c r="J69" s="11">
        <v>23</v>
      </c>
      <c r="K69" s="11">
        <v>12</v>
      </c>
      <c r="L69" s="11">
        <v>2020</v>
      </c>
      <c r="M69" s="11" t="s">
        <v>1116</v>
      </c>
      <c r="N69" s="11" t="s">
        <v>7</v>
      </c>
      <c r="O69" s="11" t="s">
        <v>10</v>
      </c>
      <c r="P69" s="23">
        <v>-38.657879999999999</v>
      </c>
      <c r="Q69" s="23">
        <v>145.57839999999999</v>
      </c>
      <c r="R69" s="11" t="s">
        <v>588</v>
      </c>
      <c r="S69" s="11" t="s">
        <v>588</v>
      </c>
      <c r="T69" s="11">
        <v>2</v>
      </c>
      <c r="U69" s="11">
        <v>3</v>
      </c>
      <c r="V69" s="11" t="s">
        <v>588</v>
      </c>
      <c r="W69" s="11" t="s">
        <v>588</v>
      </c>
      <c r="X69" s="11">
        <v>3</v>
      </c>
      <c r="Y69" s="11">
        <v>3</v>
      </c>
      <c r="Z69" s="11" t="s">
        <v>41</v>
      </c>
      <c r="AA69" s="13">
        <v>44193</v>
      </c>
      <c r="AB69" s="11">
        <v>28</v>
      </c>
      <c r="AC69" s="11">
        <v>12</v>
      </c>
      <c r="AD69" s="11">
        <v>2020</v>
      </c>
      <c r="AE69" s="13" t="s">
        <v>1119</v>
      </c>
      <c r="AF69" s="11" t="s">
        <v>7</v>
      </c>
      <c r="AG69" s="13">
        <v>44203</v>
      </c>
      <c r="AH69" s="11">
        <v>7</v>
      </c>
      <c r="AI69" s="11">
        <v>1</v>
      </c>
      <c r="AJ69" s="11">
        <v>2021</v>
      </c>
      <c r="AK69" s="13" t="s">
        <v>1091</v>
      </c>
      <c r="AL69" s="11" t="s">
        <v>12</v>
      </c>
      <c r="AM69" s="11" t="s">
        <v>11</v>
      </c>
      <c r="AN69" s="11" t="s">
        <v>41</v>
      </c>
      <c r="AO69" s="11" t="s">
        <v>41</v>
      </c>
      <c r="AP69" s="11" t="s">
        <v>588</v>
      </c>
      <c r="AQ69" s="11" t="s">
        <v>588</v>
      </c>
      <c r="AR69" s="11" t="s">
        <v>588</v>
      </c>
      <c r="AS69" s="11" t="s">
        <v>588</v>
      </c>
      <c r="AT69" s="11" t="s">
        <v>588</v>
      </c>
      <c r="AU69" s="11" t="s">
        <v>588</v>
      </c>
      <c r="AV69" s="11" t="s">
        <v>588</v>
      </c>
      <c r="AW69" s="11" t="s">
        <v>588</v>
      </c>
      <c r="AX69" s="11" t="s">
        <v>588</v>
      </c>
      <c r="AY69" s="11" t="s">
        <v>588</v>
      </c>
      <c r="AZ69" s="11" t="s">
        <v>588</v>
      </c>
      <c r="BA69" s="11" t="s">
        <v>588</v>
      </c>
      <c r="BB69" s="11" t="s">
        <v>588</v>
      </c>
      <c r="BC69" s="11" t="s">
        <v>588</v>
      </c>
      <c r="BD69" s="11" t="s">
        <v>588</v>
      </c>
      <c r="BE69" s="11" t="s">
        <v>588</v>
      </c>
      <c r="BF69" s="11" t="s">
        <v>588</v>
      </c>
      <c r="BG69" s="11" t="s">
        <v>588</v>
      </c>
      <c r="BH69" s="11" t="s">
        <v>588</v>
      </c>
      <c r="BI69" s="11" t="s">
        <v>588</v>
      </c>
      <c r="BJ69" s="11" t="s">
        <v>588</v>
      </c>
      <c r="BK69" s="11" t="s">
        <v>588</v>
      </c>
      <c r="BL69" s="11" t="s">
        <v>588</v>
      </c>
      <c r="BM69" s="11" t="s">
        <v>588</v>
      </c>
      <c r="BN69" s="11" t="s">
        <v>588</v>
      </c>
      <c r="BO69" s="11" t="s">
        <v>588</v>
      </c>
      <c r="BP69" s="11" t="s">
        <v>588</v>
      </c>
      <c r="BQ69" s="11" t="s">
        <v>588</v>
      </c>
      <c r="BR69" s="11" t="s">
        <v>588</v>
      </c>
      <c r="BS69" s="11" t="s">
        <v>8</v>
      </c>
      <c r="BT69" s="11" t="s">
        <v>9</v>
      </c>
      <c r="BU69" s="11" t="s">
        <v>9</v>
      </c>
      <c r="BV69" s="11" t="s">
        <v>588</v>
      </c>
      <c r="BW69" s="11" t="s">
        <v>588</v>
      </c>
      <c r="BX69" s="11" t="s">
        <v>588</v>
      </c>
      <c r="BY69" s="11" t="s">
        <v>588</v>
      </c>
      <c r="BZ69" s="11" t="s">
        <v>588</v>
      </c>
    </row>
    <row r="70" spans="1:78" x14ac:dyDescent="0.25">
      <c r="A70" s="11">
        <v>202021</v>
      </c>
      <c r="B70" s="11" t="s">
        <v>56</v>
      </c>
      <c r="C70" s="11" t="s">
        <v>56</v>
      </c>
      <c r="D70" s="11" t="s">
        <v>53</v>
      </c>
      <c r="E70" s="11" t="s">
        <v>16</v>
      </c>
      <c r="F70" s="11">
        <v>3</v>
      </c>
      <c r="G70" s="11" t="s">
        <v>1083</v>
      </c>
      <c r="H70" s="11" t="s">
        <v>1083</v>
      </c>
      <c r="I70" s="13">
        <v>44208</v>
      </c>
      <c r="J70" s="11">
        <v>12</v>
      </c>
      <c r="K70" s="11">
        <v>1</v>
      </c>
      <c r="L70" s="11">
        <v>2021</v>
      </c>
      <c r="M70" s="11" t="s">
        <v>1164</v>
      </c>
      <c r="N70" s="11" t="s">
        <v>12</v>
      </c>
      <c r="O70" s="11" t="s">
        <v>10</v>
      </c>
      <c r="P70" s="23" t="s">
        <v>588</v>
      </c>
      <c r="Q70" s="23" t="s">
        <v>588</v>
      </c>
      <c r="R70" s="11" t="s">
        <v>588</v>
      </c>
      <c r="S70" s="11" t="s">
        <v>588</v>
      </c>
      <c r="T70" s="11">
        <v>1</v>
      </c>
      <c r="U70" s="11">
        <v>3</v>
      </c>
      <c r="V70" s="11" t="s">
        <v>588</v>
      </c>
      <c r="W70" s="11" t="s">
        <v>588</v>
      </c>
      <c r="X70" s="11">
        <v>3</v>
      </c>
      <c r="Y70" s="11">
        <v>3</v>
      </c>
      <c r="Z70" s="11" t="s">
        <v>41</v>
      </c>
      <c r="AA70" s="13">
        <v>44209</v>
      </c>
      <c r="AB70" s="11">
        <v>13</v>
      </c>
      <c r="AC70" s="11">
        <v>1</v>
      </c>
      <c r="AD70" s="11">
        <v>2021</v>
      </c>
      <c r="AE70" s="13" t="s">
        <v>1168</v>
      </c>
      <c r="AF70" s="11" t="s">
        <v>12</v>
      </c>
      <c r="AG70" s="13">
        <v>44212</v>
      </c>
      <c r="AH70" s="11">
        <v>16</v>
      </c>
      <c r="AI70" s="11">
        <v>1</v>
      </c>
      <c r="AJ70" s="11">
        <v>2021</v>
      </c>
      <c r="AK70" s="13" t="s">
        <v>1127</v>
      </c>
      <c r="AL70" s="11" t="s">
        <v>12</v>
      </c>
      <c r="AM70" s="11" t="s">
        <v>11</v>
      </c>
      <c r="AN70" s="11" t="s">
        <v>41</v>
      </c>
      <c r="AO70" s="11" t="s">
        <v>41</v>
      </c>
      <c r="AP70" s="11" t="s">
        <v>588</v>
      </c>
      <c r="AQ70" s="11" t="s">
        <v>588</v>
      </c>
      <c r="AR70" s="11" t="s">
        <v>588</v>
      </c>
      <c r="AS70" s="11" t="s">
        <v>588</v>
      </c>
      <c r="AT70" s="11" t="s">
        <v>588</v>
      </c>
      <c r="AU70" s="11" t="s">
        <v>588</v>
      </c>
      <c r="AV70" s="11" t="s">
        <v>588</v>
      </c>
      <c r="AW70" s="11" t="s">
        <v>588</v>
      </c>
      <c r="AX70" s="11" t="s">
        <v>588</v>
      </c>
      <c r="AY70" s="11" t="s">
        <v>588</v>
      </c>
      <c r="AZ70" s="11" t="s">
        <v>588</v>
      </c>
      <c r="BA70" s="11" t="s">
        <v>588</v>
      </c>
      <c r="BB70" s="11" t="s">
        <v>588</v>
      </c>
      <c r="BC70" s="11" t="s">
        <v>588</v>
      </c>
      <c r="BD70" s="11" t="s">
        <v>588</v>
      </c>
      <c r="BE70" s="11" t="s">
        <v>588</v>
      </c>
      <c r="BF70" s="11" t="s">
        <v>588</v>
      </c>
      <c r="BG70" s="11" t="s">
        <v>588</v>
      </c>
      <c r="BH70" s="11" t="s">
        <v>588</v>
      </c>
      <c r="BI70" s="11" t="s">
        <v>588</v>
      </c>
      <c r="BJ70" s="11" t="s">
        <v>588</v>
      </c>
      <c r="BK70" s="11" t="s">
        <v>588</v>
      </c>
      <c r="BL70" s="11" t="s">
        <v>588</v>
      </c>
      <c r="BM70" s="11" t="s">
        <v>588</v>
      </c>
      <c r="BN70" s="11" t="s">
        <v>588</v>
      </c>
      <c r="BO70" s="11" t="s">
        <v>588</v>
      </c>
      <c r="BP70" s="11" t="s">
        <v>588</v>
      </c>
      <c r="BQ70" s="11" t="s">
        <v>588</v>
      </c>
      <c r="BR70" s="11" t="s">
        <v>588</v>
      </c>
      <c r="BS70" s="11" t="s">
        <v>8</v>
      </c>
      <c r="BT70" s="11" t="s">
        <v>47</v>
      </c>
      <c r="BU70" s="11" t="s">
        <v>47</v>
      </c>
      <c r="BV70" s="11" t="s">
        <v>588</v>
      </c>
      <c r="BW70" s="11" t="s">
        <v>588</v>
      </c>
      <c r="BX70" s="11" t="s">
        <v>588</v>
      </c>
      <c r="BY70" s="11" t="s">
        <v>588</v>
      </c>
      <c r="BZ70" s="11" t="s">
        <v>588</v>
      </c>
    </row>
    <row r="71" spans="1:78" x14ac:dyDescent="0.25">
      <c r="A71" s="11">
        <v>202021</v>
      </c>
      <c r="B71" s="11" t="s">
        <v>56</v>
      </c>
      <c r="C71" s="11" t="s">
        <v>56</v>
      </c>
      <c r="D71" s="11" t="s">
        <v>5</v>
      </c>
      <c r="E71" s="11" t="s">
        <v>100</v>
      </c>
      <c r="F71" s="11">
        <v>4</v>
      </c>
      <c r="G71" s="11" t="s">
        <v>1084</v>
      </c>
      <c r="H71" s="11" t="s">
        <v>1084</v>
      </c>
      <c r="I71" s="13">
        <v>44222</v>
      </c>
      <c r="J71" s="11">
        <v>26</v>
      </c>
      <c r="K71" s="11">
        <v>1</v>
      </c>
      <c r="L71" s="11">
        <v>2021</v>
      </c>
      <c r="M71" s="11" t="s">
        <v>1169</v>
      </c>
      <c r="N71" s="11" t="s">
        <v>12</v>
      </c>
      <c r="O71" s="11" t="s">
        <v>10</v>
      </c>
      <c r="P71" s="23">
        <v>-38.658264000000003</v>
      </c>
      <c r="Q71" s="23">
        <v>145.57912899999999</v>
      </c>
      <c r="R71" s="11" t="s">
        <v>588</v>
      </c>
      <c r="S71" s="11" t="s">
        <v>588</v>
      </c>
      <c r="T71" s="11">
        <v>3</v>
      </c>
      <c r="U71" s="11">
        <v>3</v>
      </c>
      <c r="V71" s="11" t="s">
        <v>588</v>
      </c>
      <c r="W71" s="11" t="s">
        <v>588</v>
      </c>
      <c r="X71" s="11">
        <v>5</v>
      </c>
      <c r="Y71" s="11">
        <v>5</v>
      </c>
      <c r="Z71" s="11" t="s">
        <v>41</v>
      </c>
      <c r="AA71" s="13">
        <v>44237</v>
      </c>
      <c r="AB71" s="11">
        <v>10</v>
      </c>
      <c r="AC71" s="11">
        <v>2</v>
      </c>
      <c r="AD71" s="11">
        <v>2021</v>
      </c>
      <c r="AE71" s="13" t="s">
        <v>1124</v>
      </c>
      <c r="AF71" s="11" t="s">
        <v>21</v>
      </c>
      <c r="AG71" s="13">
        <v>44238</v>
      </c>
      <c r="AH71" s="11">
        <v>11</v>
      </c>
      <c r="AI71" s="11">
        <v>2</v>
      </c>
      <c r="AJ71" s="11">
        <v>2021</v>
      </c>
      <c r="AK71" s="13" t="s">
        <v>1128</v>
      </c>
      <c r="AL71" s="11" t="s">
        <v>21</v>
      </c>
      <c r="AM71" s="11" t="s">
        <v>20</v>
      </c>
      <c r="AN71" s="11" t="s">
        <v>41</v>
      </c>
      <c r="AO71" s="11" t="s">
        <v>41</v>
      </c>
      <c r="AP71" s="11" t="s">
        <v>588</v>
      </c>
      <c r="AQ71" s="11" t="s">
        <v>588</v>
      </c>
      <c r="AR71" s="11" t="s">
        <v>588</v>
      </c>
      <c r="AS71" s="11" t="s">
        <v>588</v>
      </c>
      <c r="AT71" s="11" t="s">
        <v>588</v>
      </c>
      <c r="AU71" s="11" t="s">
        <v>588</v>
      </c>
      <c r="AV71" s="11" t="s">
        <v>588</v>
      </c>
      <c r="AW71" s="11" t="s">
        <v>588</v>
      </c>
      <c r="AX71" s="11" t="s">
        <v>588</v>
      </c>
      <c r="AY71" s="11" t="s">
        <v>588</v>
      </c>
      <c r="AZ71" s="11" t="s">
        <v>588</v>
      </c>
      <c r="BA71" s="11" t="s">
        <v>588</v>
      </c>
      <c r="BB71" s="11" t="s">
        <v>588</v>
      </c>
      <c r="BC71" s="11" t="s">
        <v>588</v>
      </c>
      <c r="BD71" s="11" t="s">
        <v>588</v>
      </c>
      <c r="BE71" s="11" t="s">
        <v>588</v>
      </c>
      <c r="BF71" s="11" t="s">
        <v>588</v>
      </c>
      <c r="BG71" s="11" t="s">
        <v>588</v>
      </c>
      <c r="BH71" s="11" t="s">
        <v>588</v>
      </c>
      <c r="BI71" s="11" t="s">
        <v>588</v>
      </c>
      <c r="BJ71" s="11" t="s">
        <v>588</v>
      </c>
      <c r="BK71" s="11" t="s">
        <v>588</v>
      </c>
      <c r="BL71" s="11" t="s">
        <v>588</v>
      </c>
      <c r="BM71" s="11" t="s">
        <v>588</v>
      </c>
      <c r="BN71" s="11" t="s">
        <v>588</v>
      </c>
      <c r="BO71" s="11" t="s">
        <v>588</v>
      </c>
      <c r="BP71" s="11" t="s">
        <v>588</v>
      </c>
      <c r="BQ71" s="11" t="s">
        <v>588</v>
      </c>
      <c r="BR71" s="11" t="s">
        <v>588</v>
      </c>
      <c r="BS71" s="11" t="s">
        <v>8</v>
      </c>
      <c r="BT71" s="11" t="s">
        <v>9</v>
      </c>
      <c r="BU71" s="11" t="s">
        <v>9</v>
      </c>
      <c r="BV71" s="11" t="s">
        <v>588</v>
      </c>
      <c r="BW71" s="11" t="s">
        <v>588</v>
      </c>
      <c r="BX71" s="11" t="s">
        <v>588</v>
      </c>
      <c r="BY71" s="11" t="s">
        <v>588</v>
      </c>
      <c r="BZ71" s="11" t="s">
        <v>588</v>
      </c>
    </row>
  </sheetData>
  <autoFilter ref="A1:BZ71" xr:uid="{83ABE1B0-BA02-4871-8358-ABE4827FDFC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DFA6E-54D9-4F68-9AF1-5F1221F713AB}">
  <dimension ref="A1:BZ54"/>
  <sheetViews>
    <sheetView zoomScale="80" zoomScaleNormal="80" workbookViewId="0">
      <pane xSplit="9" ySplit="1" topLeftCell="BR2" activePane="bottomRight" state="frozen"/>
      <selection pane="topRight" activeCell="J1" sqref="J1"/>
      <selection pane="bottomLeft" activeCell="A2" sqref="A2"/>
      <selection pane="bottomRight" activeCell="A8" sqref="A8:A10"/>
    </sheetView>
  </sheetViews>
  <sheetFormatPr defaultRowHeight="15" x14ac:dyDescent="0.25"/>
  <cols>
    <col min="1" max="1" width="7.7109375" style="11" bestFit="1" customWidth="1"/>
    <col min="2" max="2" width="16.42578125" style="11" customWidth="1"/>
    <col min="3" max="3" width="41.42578125" style="11" customWidth="1"/>
    <col min="4" max="4" width="10.140625" style="11" customWidth="1"/>
    <col min="5" max="5" width="9.7109375" style="11" customWidth="1"/>
    <col min="6" max="6" width="10.140625" style="11" bestFit="1" customWidth="1"/>
    <col min="7" max="7" width="10.85546875" style="11" customWidth="1"/>
    <col min="8" max="8" width="52" style="11" customWidth="1"/>
    <col min="9" max="9" width="15.5703125" style="11" bestFit="1" customWidth="1"/>
    <col min="10" max="10" width="7.42578125" style="11" bestFit="1" customWidth="1"/>
    <col min="11" max="11" width="9.5703125" style="11" bestFit="1" customWidth="1"/>
    <col min="12" max="12" width="8" style="11" bestFit="1" customWidth="1"/>
    <col min="13" max="13" width="23.5703125" style="11" bestFit="1" customWidth="1"/>
    <col min="14" max="14" width="12.5703125" style="11" customWidth="1"/>
    <col min="15" max="15" width="15.7109375" style="11" bestFit="1" customWidth="1"/>
    <col min="16" max="16" width="12.7109375" style="11" customWidth="1"/>
    <col min="17" max="17" width="14.28515625" style="11" customWidth="1"/>
    <col min="18" max="19" width="11.5703125" style="11" customWidth="1"/>
    <col min="20" max="20" width="13.85546875" style="11" bestFit="1" customWidth="1"/>
    <col min="21" max="21" width="13.7109375" style="11" customWidth="1"/>
    <col min="22" max="22" width="26.7109375" bestFit="1" customWidth="1"/>
    <col min="23" max="23" width="14.28515625" customWidth="1"/>
    <col min="24" max="25" width="12.28515625" style="11" customWidth="1"/>
    <col min="26" max="26" width="7.42578125" style="11" bestFit="1" customWidth="1"/>
    <col min="27" max="27" width="25.85546875" style="11" bestFit="1" customWidth="1"/>
    <col min="28" max="28" width="8.42578125" style="11" bestFit="1" customWidth="1"/>
    <col min="29" max="29" width="9.5703125" style="11" bestFit="1" customWidth="1"/>
    <col min="30" max="30" width="8.42578125" style="11" bestFit="1" customWidth="1"/>
    <col min="31" max="31" width="27" style="11" bestFit="1" customWidth="1"/>
    <col min="32" max="32" width="17.5703125" style="11" customWidth="1"/>
    <col min="33" max="33" width="24.42578125" style="11" bestFit="1" customWidth="1"/>
    <col min="34" max="34" width="8.42578125" style="11" bestFit="1" customWidth="1"/>
    <col min="35" max="35" width="9.5703125" style="11" bestFit="1" customWidth="1"/>
    <col min="36" max="36" width="8.42578125" style="11" bestFit="1" customWidth="1"/>
    <col min="37" max="37" width="25.5703125" style="11" bestFit="1" customWidth="1"/>
    <col min="38" max="38" width="10.7109375" style="11" bestFit="1" customWidth="1"/>
    <col min="39" max="39" width="20.85546875" style="11" bestFit="1" customWidth="1"/>
    <col min="40" max="40" width="20" style="11" bestFit="1" customWidth="1"/>
    <col min="41" max="41" width="21.5703125" style="11" bestFit="1" customWidth="1"/>
    <col min="42" max="42" width="20.28515625" style="11" bestFit="1" customWidth="1"/>
    <col min="43" max="43" width="22.140625" style="11" bestFit="1" customWidth="1"/>
    <col min="44" max="44" width="23.140625" style="11" bestFit="1" customWidth="1"/>
    <col min="45" max="45" width="17.140625" style="11" bestFit="1" customWidth="1"/>
    <col min="46" max="46" width="16.7109375" style="11" bestFit="1" customWidth="1"/>
    <col min="47" max="47" width="27.85546875" style="11" bestFit="1" customWidth="1"/>
    <col min="48" max="48" width="17" style="11" bestFit="1" customWidth="1"/>
    <col min="49" max="49" width="18.85546875" style="11" bestFit="1" customWidth="1"/>
    <col min="50" max="50" width="24.85546875" style="11" bestFit="1" customWidth="1"/>
    <col min="51" max="51" width="20.85546875" style="11" bestFit="1" customWidth="1"/>
    <col min="52" max="52" width="25.5703125" style="11" bestFit="1" customWidth="1"/>
    <col min="53" max="53" width="27.85546875" style="11" bestFit="1" customWidth="1"/>
    <col min="54" max="54" width="17" style="11" bestFit="1" customWidth="1"/>
    <col min="55" max="55" width="18.85546875" style="11" bestFit="1" customWidth="1"/>
    <col min="56" max="56" width="24.85546875" style="11" bestFit="1" customWidth="1"/>
    <col min="57" max="57" width="20.85546875" style="11" bestFit="1" customWidth="1"/>
    <col min="58" max="58" width="25.5703125" style="11" bestFit="1" customWidth="1"/>
    <col min="59" max="59" width="27.85546875" style="11" bestFit="1" customWidth="1"/>
    <col min="60" max="60" width="17" style="11" bestFit="1" customWidth="1"/>
    <col min="61" max="61" width="18.85546875" style="11" bestFit="1" customWidth="1"/>
    <col min="62" max="62" width="24.85546875" style="11" bestFit="1" customWidth="1"/>
    <col min="63" max="63" width="20.85546875" style="11" bestFit="1" customWidth="1"/>
    <col min="64" max="64" width="25.5703125" style="11" bestFit="1" customWidth="1"/>
    <col min="65" max="65" width="17.7109375" style="11" bestFit="1" customWidth="1"/>
    <col min="66" max="66" width="15" style="11" bestFit="1" customWidth="1"/>
    <col min="67" max="67" width="9.28515625" style="11" bestFit="1" customWidth="1"/>
    <col min="68" max="68" width="9.42578125" style="11" bestFit="1" customWidth="1"/>
    <col min="69" max="69" width="12.7109375" style="11" bestFit="1" customWidth="1"/>
    <col min="70" max="70" width="14.5703125" style="11" bestFit="1" customWidth="1"/>
    <col min="71" max="71" width="15.28515625" style="11" bestFit="1" customWidth="1"/>
    <col min="72" max="72" width="7" style="11" customWidth="1"/>
    <col min="73" max="73" width="50.140625" style="11" bestFit="1" customWidth="1"/>
    <col min="74" max="74" width="14.85546875" style="11" bestFit="1" customWidth="1"/>
    <col min="75" max="75" width="4" style="11" customWidth="1"/>
    <col min="76" max="76" width="41.85546875" style="11" bestFit="1" customWidth="1"/>
    <col min="77" max="77" width="6.42578125" style="11" bestFit="1" customWidth="1"/>
    <col min="78" max="78" width="8" style="11" bestFit="1" customWidth="1"/>
    <col min="79" max="79" width="18.5703125" style="11" customWidth="1"/>
    <col min="80" max="16384" width="9.140625" style="11"/>
  </cols>
  <sheetData>
    <row r="1" spans="1:78" s="15" customFormat="1" x14ac:dyDescent="0.25">
      <c r="A1" s="12" t="s">
        <v>0</v>
      </c>
      <c r="B1" s="12" t="s">
        <v>139</v>
      </c>
      <c r="C1" s="9" t="s">
        <v>231</v>
      </c>
      <c r="D1" s="12" t="s">
        <v>1</v>
      </c>
      <c r="E1" s="12" t="s">
        <v>2</v>
      </c>
      <c r="F1" s="12" t="s">
        <v>118</v>
      </c>
      <c r="G1" s="12" t="s">
        <v>141</v>
      </c>
      <c r="H1" s="9" t="s">
        <v>593</v>
      </c>
      <c r="I1" s="12" t="s">
        <v>142</v>
      </c>
      <c r="J1" s="12" t="s">
        <v>589</v>
      </c>
      <c r="K1" s="12" t="s">
        <v>590</v>
      </c>
      <c r="L1" s="12" t="s">
        <v>591</v>
      </c>
      <c r="M1" s="9" t="s">
        <v>592</v>
      </c>
      <c r="N1" s="12" t="s">
        <v>143</v>
      </c>
      <c r="O1" s="12" t="s">
        <v>3</v>
      </c>
      <c r="P1" s="21" t="s">
        <v>212</v>
      </c>
      <c r="Q1" s="21" t="s">
        <v>213</v>
      </c>
      <c r="R1" s="12" t="s">
        <v>144</v>
      </c>
      <c r="S1" s="12" t="s">
        <v>145</v>
      </c>
      <c r="T1" s="12" t="s">
        <v>146</v>
      </c>
      <c r="U1" s="12" t="s">
        <v>147</v>
      </c>
      <c r="V1" s="2" t="s">
        <v>148</v>
      </c>
      <c r="W1" s="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4" t="s">
        <v>596</v>
      </c>
      <c r="BV1" s="12" t="s">
        <v>190</v>
      </c>
      <c r="BW1" s="12" t="s">
        <v>191</v>
      </c>
      <c r="BX1" s="14" t="s">
        <v>597</v>
      </c>
      <c r="BY1" s="12" t="s">
        <v>192</v>
      </c>
      <c r="BZ1" s="12" t="s">
        <v>193</v>
      </c>
    </row>
    <row r="2" spans="1:78" x14ac:dyDescent="0.25">
      <c r="A2" s="11">
        <v>201920</v>
      </c>
      <c r="B2" s="11" t="s">
        <v>242</v>
      </c>
      <c r="C2" s="11" t="s">
        <v>242</v>
      </c>
      <c r="D2" s="11" t="s">
        <v>244</v>
      </c>
      <c r="E2" s="11" t="s">
        <v>243</v>
      </c>
      <c r="F2" s="11">
        <v>1</v>
      </c>
      <c r="G2" s="11" t="s">
        <v>1170</v>
      </c>
      <c r="H2" s="11" t="s">
        <v>1170</v>
      </c>
      <c r="I2" s="13">
        <v>43847</v>
      </c>
      <c r="J2" s="11">
        <v>17</v>
      </c>
      <c r="K2" s="11">
        <v>1</v>
      </c>
      <c r="L2" s="11">
        <v>2020</v>
      </c>
      <c r="M2" s="11" t="s">
        <v>1243</v>
      </c>
      <c r="N2" s="11" t="s">
        <v>12</v>
      </c>
      <c r="O2" s="11" t="s">
        <v>10</v>
      </c>
      <c r="P2" s="23">
        <v>-38.609665</v>
      </c>
      <c r="Q2" s="23">
        <v>145.53667200000001</v>
      </c>
      <c r="R2" s="11" t="s">
        <v>588</v>
      </c>
      <c r="S2" s="11" t="s">
        <v>588</v>
      </c>
      <c r="T2" s="11">
        <v>1</v>
      </c>
      <c r="U2" s="11">
        <v>3</v>
      </c>
      <c r="V2" t="s">
        <v>588</v>
      </c>
      <c r="W2" t="s">
        <v>588</v>
      </c>
      <c r="X2" s="11">
        <v>2</v>
      </c>
      <c r="Y2" s="11">
        <v>2</v>
      </c>
      <c r="Z2" s="11" t="s">
        <v>41</v>
      </c>
      <c r="AA2" s="13">
        <v>43847</v>
      </c>
      <c r="AB2" s="11">
        <v>17</v>
      </c>
      <c r="AC2" s="11">
        <v>1</v>
      </c>
      <c r="AD2" s="11">
        <v>2020</v>
      </c>
      <c r="AE2" s="13" t="s">
        <v>1243</v>
      </c>
      <c r="AF2" s="11" t="s">
        <v>12</v>
      </c>
      <c r="AG2" s="13">
        <v>43859</v>
      </c>
      <c r="AH2" s="11">
        <v>29</v>
      </c>
      <c r="AI2" s="11">
        <v>1</v>
      </c>
      <c r="AJ2" s="11">
        <v>2020</v>
      </c>
      <c r="AK2" s="13" t="s">
        <v>1233</v>
      </c>
      <c r="AL2" s="11" t="s">
        <v>12</v>
      </c>
      <c r="AM2" s="13" t="s">
        <v>20</v>
      </c>
      <c r="AN2" s="11" t="s">
        <v>8</v>
      </c>
      <c r="AO2" s="11" t="s">
        <v>1021</v>
      </c>
      <c r="AP2" s="11" t="s">
        <v>588</v>
      </c>
      <c r="AQ2" s="11" t="s">
        <v>588</v>
      </c>
      <c r="AR2" s="11" t="s">
        <v>588</v>
      </c>
      <c r="AS2" s="11" t="s">
        <v>588</v>
      </c>
      <c r="AT2" s="11" t="s">
        <v>588</v>
      </c>
      <c r="AU2" s="11" t="s">
        <v>588</v>
      </c>
      <c r="AV2" s="11" t="s">
        <v>588</v>
      </c>
      <c r="AW2" s="11" t="s">
        <v>588</v>
      </c>
      <c r="AX2" s="11" t="s">
        <v>588</v>
      </c>
      <c r="AY2" s="11" t="s">
        <v>588</v>
      </c>
      <c r="AZ2" s="11" t="s">
        <v>588</v>
      </c>
      <c r="BA2" s="11" t="s">
        <v>588</v>
      </c>
      <c r="BB2" s="11" t="s">
        <v>588</v>
      </c>
      <c r="BC2" s="11" t="s">
        <v>588</v>
      </c>
      <c r="BD2" s="11" t="s">
        <v>588</v>
      </c>
      <c r="BE2" s="11" t="s">
        <v>588</v>
      </c>
      <c r="BF2" s="11" t="s">
        <v>588</v>
      </c>
      <c r="BG2" s="11" t="s">
        <v>588</v>
      </c>
      <c r="BH2" s="11" t="s">
        <v>588</v>
      </c>
      <c r="BI2" s="11" t="s">
        <v>588</v>
      </c>
      <c r="BJ2" s="11" t="s">
        <v>588</v>
      </c>
      <c r="BK2" s="11" t="s">
        <v>588</v>
      </c>
      <c r="BL2" s="11" t="s">
        <v>588</v>
      </c>
      <c r="BM2" s="11" t="s">
        <v>588</v>
      </c>
      <c r="BN2" s="11" t="s">
        <v>588</v>
      </c>
      <c r="BO2" s="11" t="s">
        <v>588</v>
      </c>
      <c r="BP2" s="11" t="s">
        <v>588</v>
      </c>
      <c r="BQ2" s="11" t="s">
        <v>588</v>
      </c>
      <c r="BR2" s="11" t="s">
        <v>588</v>
      </c>
      <c r="BS2" s="11" t="s">
        <v>41</v>
      </c>
      <c r="BT2" s="11" t="s">
        <v>42</v>
      </c>
      <c r="BU2" s="11" t="s">
        <v>42</v>
      </c>
      <c r="BV2" s="11" t="s">
        <v>588</v>
      </c>
      <c r="BW2" s="11" t="s">
        <v>588</v>
      </c>
      <c r="BX2" s="11" t="s">
        <v>588</v>
      </c>
      <c r="BY2" s="11" t="s">
        <v>588</v>
      </c>
      <c r="BZ2" s="11" t="s">
        <v>588</v>
      </c>
    </row>
    <row r="3" spans="1:78" x14ac:dyDescent="0.25">
      <c r="A3" s="11">
        <v>201920</v>
      </c>
      <c r="B3" s="11" t="s">
        <v>242</v>
      </c>
      <c r="C3" s="11" t="s">
        <v>242</v>
      </c>
      <c r="D3" s="11" t="s">
        <v>244</v>
      </c>
      <c r="E3" s="11" t="s">
        <v>243</v>
      </c>
      <c r="F3" s="11">
        <v>2</v>
      </c>
      <c r="G3" s="11" t="s">
        <v>1171</v>
      </c>
      <c r="H3" s="11" t="s">
        <v>1171</v>
      </c>
      <c r="I3" s="13">
        <v>43859</v>
      </c>
      <c r="J3" s="11">
        <v>29</v>
      </c>
      <c r="K3" s="11">
        <v>1</v>
      </c>
      <c r="L3" s="11">
        <v>2020</v>
      </c>
      <c r="M3" s="11" t="s">
        <v>1233</v>
      </c>
      <c r="N3" s="11" t="s">
        <v>12</v>
      </c>
      <c r="O3" s="11" t="s">
        <v>10</v>
      </c>
      <c r="P3" s="23">
        <v>-38.609499</v>
      </c>
      <c r="Q3" s="23">
        <v>145.53631799999999</v>
      </c>
      <c r="R3" s="11" t="s">
        <v>588</v>
      </c>
      <c r="S3" s="11" t="s">
        <v>588</v>
      </c>
      <c r="T3" s="11">
        <v>2</v>
      </c>
      <c r="U3" s="11">
        <v>3</v>
      </c>
      <c r="V3" t="s">
        <v>588</v>
      </c>
      <c r="W3" t="s">
        <v>588</v>
      </c>
      <c r="X3" s="11">
        <v>3</v>
      </c>
      <c r="Y3" s="11">
        <v>3</v>
      </c>
      <c r="Z3" s="11" t="s">
        <v>41</v>
      </c>
      <c r="AA3" s="13">
        <v>43867</v>
      </c>
      <c r="AB3" s="11">
        <v>6</v>
      </c>
      <c r="AC3" s="11">
        <v>2</v>
      </c>
      <c r="AD3" s="11">
        <v>2020</v>
      </c>
      <c r="AE3" s="13" t="s">
        <v>1264</v>
      </c>
      <c r="AF3" s="11" t="s">
        <v>21</v>
      </c>
      <c r="AG3" s="13">
        <v>43885</v>
      </c>
      <c r="AH3" s="11">
        <v>24</v>
      </c>
      <c r="AI3" s="11">
        <v>2</v>
      </c>
      <c r="AJ3" s="11">
        <v>2020</v>
      </c>
      <c r="AK3" s="13" t="s">
        <v>1234</v>
      </c>
      <c r="AL3" s="11" t="s">
        <v>1172</v>
      </c>
      <c r="AM3" s="13" t="s">
        <v>20</v>
      </c>
      <c r="AN3" s="11" t="s">
        <v>41</v>
      </c>
      <c r="AO3" s="13" t="s">
        <v>41</v>
      </c>
      <c r="AP3" s="11" t="s">
        <v>588</v>
      </c>
      <c r="AQ3" s="13" t="s">
        <v>588</v>
      </c>
      <c r="AR3" s="11" t="s">
        <v>588</v>
      </c>
      <c r="AS3" s="13" t="s">
        <v>588</v>
      </c>
      <c r="AT3" s="11" t="s">
        <v>588</v>
      </c>
      <c r="AU3" s="13" t="s">
        <v>588</v>
      </c>
      <c r="AV3" s="11" t="s">
        <v>588</v>
      </c>
      <c r="AW3" s="13" t="s">
        <v>588</v>
      </c>
      <c r="AX3" s="11" t="s">
        <v>588</v>
      </c>
      <c r="AY3" s="13" t="s">
        <v>588</v>
      </c>
      <c r="AZ3" s="11" t="s">
        <v>588</v>
      </c>
      <c r="BA3" s="13" t="s">
        <v>588</v>
      </c>
      <c r="BB3" s="11" t="s">
        <v>588</v>
      </c>
      <c r="BC3" s="13" t="s">
        <v>588</v>
      </c>
      <c r="BD3" s="11" t="s">
        <v>588</v>
      </c>
      <c r="BE3" s="13" t="s">
        <v>588</v>
      </c>
      <c r="BF3" s="11" t="s">
        <v>588</v>
      </c>
      <c r="BG3" s="13" t="s">
        <v>588</v>
      </c>
      <c r="BH3" s="11" t="s">
        <v>588</v>
      </c>
      <c r="BI3" s="13" t="s">
        <v>588</v>
      </c>
      <c r="BJ3" s="11" t="s">
        <v>588</v>
      </c>
      <c r="BK3" s="13" t="s">
        <v>588</v>
      </c>
      <c r="BL3" s="11" t="s">
        <v>588</v>
      </c>
      <c r="BM3" s="13" t="s">
        <v>588</v>
      </c>
      <c r="BN3" s="11" t="s">
        <v>588</v>
      </c>
      <c r="BO3" s="13" t="s">
        <v>588</v>
      </c>
      <c r="BP3" s="11" t="s">
        <v>588</v>
      </c>
      <c r="BQ3" s="13" t="s">
        <v>588</v>
      </c>
      <c r="BR3" s="11" t="s">
        <v>588</v>
      </c>
      <c r="BS3" s="11" t="s">
        <v>41</v>
      </c>
      <c r="BT3" s="11" t="s">
        <v>42</v>
      </c>
      <c r="BU3" s="11" t="s">
        <v>42</v>
      </c>
      <c r="BV3" s="11" t="s">
        <v>588</v>
      </c>
      <c r="BW3" s="11" t="s">
        <v>588</v>
      </c>
      <c r="BX3" s="11" t="s">
        <v>588</v>
      </c>
      <c r="BY3" s="11" t="s">
        <v>588</v>
      </c>
      <c r="BZ3" s="11" t="s">
        <v>588</v>
      </c>
    </row>
    <row r="4" spans="1:78" x14ac:dyDescent="0.25">
      <c r="A4" s="11">
        <v>201920</v>
      </c>
      <c r="B4" s="11" t="s">
        <v>242</v>
      </c>
      <c r="C4" s="11" t="s">
        <v>242</v>
      </c>
      <c r="D4" s="11" t="s">
        <v>244</v>
      </c>
      <c r="E4" s="11" t="s">
        <v>243</v>
      </c>
      <c r="F4" s="11">
        <v>3</v>
      </c>
      <c r="G4" s="11" t="s">
        <v>1173</v>
      </c>
      <c r="H4" s="11" t="s">
        <v>1173</v>
      </c>
      <c r="I4" s="13">
        <v>43885</v>
      </c>
      <c r="J4" s="11">
        <v>24</v>
      </c>
      <c r="K4" s="11">
        <v>2</v>
      </c>
      <c r="L4" s="11">
        <v>2020</v>
      </c>
      <c r="M4" s="11" t="s">
        <v>1234</v>
      </c>
      <c r="N4" s="11" t="s">
        <v>21</v>
      </c>
      <c r="O4" s="11" t="s">
        <v>10</v>
      </c>
      <c r="P4" s="23">
        <v>-38.609448</v>
      </c>
      <c r="Q4" s="23">
        <v>145.53618900000001</v>
      </c>
      <c r="R4" s="11" t="s">
        <v>588</v>
      </c>
      <c r="S4" s="11" t="s">
        <v>588</v>
      </c>
      <c r="T4" s="11">
        <v>1</v>
      </c>
      <c r="U4" s="11">
        <v>3</v>
      </c>
      <c r="V4" t="s">
        <v>588</v>
      </c>
      <c r="W4" t="s">
        <v>588</v>
      </c>
      <c r="X4" s="11">
        <v>2</v>
      </c>
      <c r="Y4" s="11">
        <v>2</v>
      </c>
      <c r="Z4" s="11" t="s">
        <v>41</v>
      </c>
      <c r="AA4" s="13">
        <v>43885</v>
      </c>
      <c r="AB4" s="11">
        <v>24</v>
      </c>
      <c r="AC4" s="11">
        <v>2</v>
      </c>
      <c r="AD4" s="11">
        <v>2020</v>
      </c>
      <c r="AE4" s="13" t="s">
        <v>1234</v>
      </c>
      <c r="AF4" s="11" t="s">
        <v>21</v>
      </c>
      <c r="AG4" s="13">
        <v>43897</v>
      </c>
      <c r="AH4" s="11">
        <v>7</v>
      </c>
      <c r="AI4" s="11">
        <v>3</v>
      </c>
      <c r="AJ4" s="11">
        <v>2020</v>
      </c>
      <c r="AK4" s="13" t="s">
        <v>1235</v>
      </c>
      <c r="AL4" s="11" t="s">
        <v>22</v>
      </c>
      <c r="AM4" s="13" t="s">
        <v>20</v>
      </c>
      <c r="AN4" s="11" t="s">
        <v>41</v>
      </c>
      <c r="AO4" s="13" t="s">
        <v>41</v>
      </c>
      <c r="AP4" s="11" t="s">
        <v>588</v>
      </c>
      <c r="AQ4" s="13" t="s">
        <v>588</v>
      </c>
      <c r="AR4" s="11" t="s">
        <v>588</v>
      </c>
      <c r="AS4" s="13" t="s">
        <v>588</v>
      </c>
      <c r="AT4" s="11" t="s">
        <v>588</v>
      </c>
      <c r="AU4" s="13" t="s">
        <v>588</v>
      </c>
      <c r="AV4" s="11" t="s">
        <v>588</v>
      </c>
      <c r="AW4" s="13" t="s">
        <v>588</v>
      </c>
      <c r="AX4" s="11" t="s">
        <v>588</v>
      </c>
      <c r="AY4" s="13" t="s">
        <v>588</v>
      </c>
      <c r="AZ4" s="11" t="s">
        <v>588</v>
      </c>
      <c r="BA4" s="13" t="s">
        <v>588</v>
      </c>
      <c r="BB4" s="11" t="s">
        <v>588</v>
      </c>
      <c r="BC4" s="13" t="s">
        <v>588</v>
      </c>
      <c r="BD4" s="11" t="s">
        <v>588</v>
      </c>
      <c r="BE4" s="13" t="s">
        <v>588</v>
      </c>
      <c r="BF4" s="11" t="s">
        <v>588</v>
      </c>
      <c r="BG4" s="13" t="s">
        <v>588</v>
      </c>
      <c r="BH4" s="11" t="s">
        <v>588</v>
      </c>
      <c r="BI4" s="13" t="s">
        <v>588</v>
      </c>
      <c r="BJ4" s="11" t="s">
        <v>588</v>
      </c>
      <c r="BK4" s="13" t="s">
        <v>588</v>
      </c>
      <c r="BL4" s="11" t="s">
        <v>588</v>
      </c>
      <c r="BM4" s="13" t="s">
        <v>588</v>
      </c>
      <c r="BN4" s="11" t="s">
        <v>588</v>
      </c>
      <c r="BO4" s="13" t="s">
        <v>588</v>
      </c>
      <c r="BP4" s="11" t="s">
        <v>588</v>
      </c>
      <c r="BQ4" s="13" t="s">
        <v>588</v>
      </c>
      <c r="BR4" s="11" t="s">
        <v>588</v>
      </c>
      <c r="BS4" s="11" t="s">
        <v>41</v>
      </c>
      <c r="BT4" s="11" t="s">
        <v>42</v>
      </c>
      <c r="BU4" s="11" t="s">
        <v>42</v>
      </c>
      <c r="BV4" s="11" t="s">
        <v>588</v>
      </c>
      <c r="BW4" s="11" t="s">
        <v>588</v>
      </c>
      <c r="BX4" s="11" t="s">
        <v>588</v>
      </c>
      <c r="BY4" s="11" t="s">
        <v>588</v>
      </c>
      <c r="BZ4" s="11" t="s">
        <v>588</v>
      </c>
    </row>
    <row r="5" spans="1:78" x14ac:dyDescent="0.25">
      <c r="A5" s="11">
        <v>201920</v>
      </c>
      <c r="B5" s="11" t="s">
        <v>247</v>
      </c>
      <c r="C5" s="11" t="s">
        <v>247</v>
      </c>
      <c r="D5" s="11" t="s">
        <v>248</v>
      </c>
      <c r="E5" s="11" t="s">
        <v>353</v>
      </c>
      <c r="F5" s="11">
        <v>1</v>
      </c>
      <c r="G5" s="11" t="s">
        <v>1174</v>
      </c>
      <c r="H5" s="11" t="s">
        <v>1174</v>
      </c>
      <c r="I5" s="13">
        <v>43822</v>
      </c>
      <c r="J5" s="11">
        <v>23</v>
      </c>
      <c r="K5" s="11">
        <v>12</v>
      </c>
      <c r="L5" s="11">
        <v>2019</v>
      </c>
      <c r="M5" s="11" t="s">
        <v>1265</v>
      </c>
      <c r="N5" s="11" t="s">
        <v>7</v>
      </c>
      <c r="O5" s="11" t="s">
        <v>10</v>
      </c>
      <c r="P5" s="23">
        <v>-38.607272000000002</v>
      </c>
      <c r="Q5" s="23">
        <v>145.534099</v>
      </c>
      <c r="R5" s="11" t="s">
        <v>588</v>
      </c>
      <c r="S5" s="11" t="s">
        <v>588</v>
      </c>
      <c r="T5" s="11">
        <v>2</v>
      </c>
      <c r="U5" s="11">
        <v>3</v>
      </c>
      <c r="V5" t="s">
        <v>588</v>
      </c>
      <c r="W5" t="s">
        <v>588</v>
      </c>
      <c r="X5" s="11">
        <v>4</v>
      </c>
      <c r="Y5" s="11">
        <v>4</v>
      </c>
      <c r="Z5" s="11" t="s">
        <v>41</v>
      </c>
      <c r="AA5" s="13">
        <v>43847</v>
      </c>
      <c r="AB5" s="11">
        <v>17</v>
      </c>
      <c r="AC5" s="11">
        <v>1</v>
      </c>
      <c r="AD5" s="11">
        <v>2020</v>
      </c>
      <c r="AE5" s="13" t="s">
        <v>1243</v>
      </c>
      <c r="AF5" s="11" t="s">
        <v>12</v>
      </c>
      <c r="AG5" s="13">
        <v>43859</v>
      </c>
      <c r="AH5" s="11">
        <v>29</v>
      </c>
      <c r="AI5" s="11">
        <v>1</v>
      </c>
      <c r="AJ5" s="11">
        <v>2020</v>
      </c>
      <c r="AK5" s="13" t="s">
        <v>1233</v>
      </c>
      <c r="AL5" s="11" t="s">
        <v>12</v>
      </c>
      <c r="AM5" s="13" t="s">
        <v>20</v>
      </c>
      <c r="AN5" s="11" t="s">
        <v>41</v>
      </c>
      <c r="AO5" s="13" t="s">
        <v>41</v>
      </c>
      <c r="AP5" s="11" t="s">
        <v>588</v>
      </c>
      <c r="AQ5" s="13" t="s">
        <v>588</v>
      </c>
      <c r="AR5" s="11" t="s">
        <v>588</v>
      </c>
      <c r="AS5" s="13" t="s">
        <v>588</v>
      </c>
      <c r="AT5" s="11" t="s">
        <v>588</v>
      </c>
      <c r="AU5" s="13" t="s">
        <v>588</v>
      </c>
      <c r="AV5" s="11" t="s">
        <v>588</v>
      </c>
      <c r="AW5" s="13" t="s">
        <v>588</v>
      </c>
      <c r="AX5" s="11" t="s">
        <v>588</v>
      </c>
      <c r="AY5" s="13" t="s">
        <v>588</v>
      </c>
      <c r="AZ5" s="11" t="s">
        <v>588</v>
      </c>
      <c r="BA5" s="13" t="s">
        <v>588</v>
      </c>
      <c r="BB5" s="11" t="s">
        <v>588</v>
      </c>
      <c r="BC5" s="13" t="s">
        <v>588</v>
      </c>
      <c r="BD5" s="11" t="s">
        <v>588</v>
      </c>
      <c r="BE5" s="13" t="s">
        <v>588</v>
      </c>
      <c r="BF5" s="11" t="s">
        <v>588</v>
      </c>
      <c r="BG5" s="13" t="s">
        <v>588</v>
      </c>
      <c r="BH5" s="11" t="s">
        <v>588</v>
      </c>
      <c r="BI5" s="13" t="s">
        <v>588</v>
      </c>
      <c r="BJ5" s="11" t="s">
        <v>588</v>
      </c>
      <c r="BK5" s="13" t="s">
        <v>588</v>
      </c>
      <c r="BL5" s="11" t="s">
        <v>588</v>
      </c>
      <c r="BM5" s="13" t="s">
        <v>588</v>
      </c>
      <c r="BN5" s="11" t="s">
        <v>588</v>
      </c>
      <c r="BO5" s="13" t="s">
        <v>588</v>
      </c>
      <c r="BP5" s="11" t="s">
        <v>588</v>
      </c>
      <c r="BQ5" s="13" t="s">
        <v>588</v>
      </c>
      <c r="BR5" s="11" t="s">
        <v>588</v>
      </c>
      <c r="BS5" s="11" t="s">
        <v>41</v>
      </c>
      <c r="BT5" s="11" t="s">
        <v>42</v>
      </c>
      <c r="BU5" s="11" t="s">
        <v>42</v>
      </c>
      <c r="BV5" s="11" t="s">
        <v>588</v>
      </c>
      <c r="BW5" s="11" t="s">
        <v>588</v>
      </c>
      <c r="BX5" s="11" t="s">
        <v>588</v>
      </c>
      <c r="BY5" s="11" t="s">
        <v>588</v>
      </c>
      <c r="BZ5" s="11" t="s">
        <v>588</v>
      </c>
    </row>
    <row r="6" spans="1:78" x14ac:dyDescent="0.25">
      <c r="A6" s="11">
        <v>201920</v>
      </c>
      <c r="B6" s="11" t="s">
        <v>57</v>
      </c>
      <c r="C6" s="11" t="s">
        <v>57</v>
      </c>
      <c r="D6" s="11" t="s">
        <v>92</v>
      </c>
      <c r="E6" s="11" t="s">
        <v>16</v>
      </c>
      <c r="F6" s="11">
        <v>1</v>
      </c>
      <c r="G6" s="11" t="s">
        <v>1175</v>
      </c>
      <c r="H6" s="11" t="s">
        <v>1175</v>
      </c>
      <c r="I6" s="13">
        <v>43727</v>
      </c>
      <c r="J6" s="11">
        <v>19</v>
      </c>
      <c r="K6" s="11">
        <v>9</v>
      </c>
      <c r="L6" s="11">
        <v>2019</v>
      </c>
      <c r="M6" s="11" t="s">
        <v>1266</v>
      </c>
      <c r="N6" s="11" t="s">
        <v>28</v>
      </c>
      <c r="O6" s="11" t="s">
        <v>36</v>
      </c>
      <c r="P6" s="23" t="s">
        <v>588</v>
      </c>
      <c r="Q6" s="23" t="s">
        <v>588</v>
      </c>
      <c r="R6" s="11" t="s">
        <v>588</v>
      </c>
      <c r="S6" s="11" t="s">
        <v>588</v>
      </c>
      <c r="T6" s="11">
        <v>3</v>
      </c>
      <c r="U6" s="11">
        <v>3</v>
      </c>
      <c r="V6" s="1">
        <v>43731</v>
      </c>
      <c r="W6" t="s">
        <v>223</v>
      </c>
      <c r="X6" s="11">
        <v>3</v>
      </c>
      <c r="Y6" s="11">
        <v>3</v>
      </c>
      <c r="Z6" s="11" t="s">
        <v>41</v>
      </c>
      <c r="AA6" s="13">
        <v>43731</v>
      </c>
      <c r="AB6" s="11">
        <v>23</v>
      </c>
      <c r="AC6" s="11">
        <v>9</v>
      </c>
      <c r="AD6" s="11">
        <v>2019</v>
      </c>
      <c r="AE6" s="13" t="s">
        <v>1267</v>
      </c>
      <c r="AF6" s="11" t="s">
        <v>28</v>
      </c>
      <c r="AG6" s="13">
        <v>43738</v>
      </c>
      <c r="AH6" s="11">
        <v>30</v>
      </c>
      <c r="AI6" s="11">
        <v>9</v>
      </c>
      <c r="AJ6" s="11">
        <v>2019</v>
      </c>
      <c r="AK6" s="13" t="s">
        <v>1236</v>
      </c>
      <c r="AL6" s="11" t="s">
        <v>28</v>
      </c>
      <c r="AM6" s="13" t="s">
        <v>20</v>
      </c>
      <c r="AN6" s="11" t="s">
        <v>41</v>
      </c>
      <c r="AO6" s="13" t="s">
        <v>41</v>
      </c>
      <c r="AP6" s="11" t="s">
        <v>588</v>
      </c>
      <c r="AQ6" s="13" t="s">
        <v>588</v>
      </c>
      <c r="AR6" s="11" t="s">
        <v>588</v>
      </c>
      <c r="AS6" s="13" t="s">
        <v>588</v>
      </c>
      <c r="AT6" s="11" t="s">
        <v>588</v>
      </c>
      <c r="AU6" s="13" t="s">
        <v>588</v>
      </c>
      <c r="AV6" s="11" t="s">
        <v>588</v>
      </c>
      <c r="AW6" s="13" t="s">
        <v>588</v>
      </c>
      <c r="AX6" s="11" t="s">
        <v>588</v>
      </c>
      <c r="AY6" s="13" t="s">
        <v>588</v>
      </c>
      <c r="AZ6" s="11" t="s">
        <v>588</v>
      </c>
      <c r="BA6" s="13" t="s">
        <v>588</v>
      </c>
      <c r="BB6" s="11" t="s">
        <v>588</v>
      </c>
      <c r="BC6" s="13" t="s">
        <v>588</v>
      </c>
      <c r="BD6" s="11" t="s">
        <v>588</v>
      </c>
      <c r="BE6" s="13" t="s">
        <v>588</v>
      </c>
      <c r="BF6" s="11" t="s">
        <v>588</v>
      </c>
      <c r="BG6" s="13" t="s">
        <v>588</v>
      </c>
      <c r="BH6" s="11" t="s">
        <v>588</v>
      </c>
      <c r="BI6" s="13" t="s">
        <v>588</v>
      </c>
      <c r="BJ6" s="11" t="s">
        <v>588</v>
      </c>
      <c r="BK6" s="13" t="s">
        <v>588</v>
      </c>
      <c r="BL6" s="11" t="s">
        <v>588</v>
      </c>
      <c r="BM6" s="13" t="s">
        <v>588</v>
      </c>
      <c r="BN6" s="11" t="s">
        <v>588</v>
      </c>
      <c r="BO6" s="13" t="s">
        <v>588</v>
      </c>
      <c r="BP6" s="11" t="s">
        <v>588</v>
      </c>
      <c r="BQ6" s="13" t="s">
        <v>588</v>
      </c>
      <c r="BR6" s="11" t="s">
        <v>588</v>
      </c>
      <c r="BS6" s="11" t="s">
        <v>8</v>
      </c>
      <c r="BT6" s="11" t="s">
        <v>9</v>
      </c>
      <c r="BU6" s="11" t="s">
        <v>9</v>
      </c>
      <c r="BV6" s="11" t="s">
        <v>588</v>
      </c>
      <c r="BW6" s="11" t="s">
        <v>588</v>
      </c>
      <c r="BX6" s="11" t="s">
        <v>588</v>
      </c>
      <c r="BY6" s="11" t="s">
        <v>588</v>
      </c>
      <c r="BZ6" s="11" t="s">
        <v>588</v>
      </c>
    </row>
    <row r="7" spans="1:78" s="10" customFormat="1" x14ac:dyDescent="0.25">
      <c r="A7" s="11">
        <v>201920</v>
      </c>
      <c r="B7" s="11" t="s">
        <v>57</v>
      </c>
      <c r="C7" s="11" t="s">
        <v>57</v>
      </c>
      <c r="D7" s="11" t="s">
        <v>92</v>
      </c>
      <c r="E7" s="11" t="s">
        <v>16</v>
      </c>
      <c r="F7" s="11">
        <v>2</v>
      </c>
      <c r="G7" s="11" t="s">
        <v>1176</v>
      </c>
      <c r="H7" s="11" t="s">
        <v>1176</v>
      </c>
      <c r="I7" s="13">
        <v>43762</v>
      </c>
      <c r="J7" s="11">
        <v>24</v>
      </c>
      <c r="K7" s="11">
        <v>10</v>
      </c>
      <c r="L7" s="11">
        <v>2019</v>
      </c>
      <c r="M7" s="11" t="s">
        <v>1268</v>
      </c>
      <c r="N7" s="11" t="s">
        <v>29</v>
      </c>
      <c r="O7" s="11" t="s">
        <v>36</v>
      </c>
      <c r="P7" s="23">
        <v>-38.675387999999998</v>
      </c>
      <c r="Q7" s="23">
        <v>145.602982</v>
      </c>
      <c r="R7" s="11" t="s">
        <v>588</v>
      </c>
      <c r="S7" s="11" t="s">
        <v>588</v>
      </c>
      <c r="T7" s="11">
        <v>3</v>
      </c>
      <c r="U7" s="11">
        <v>3</v>
      </c>
      <c r="V7" t="s">
        <v>588</v>
      </c>
      <c r="W7" t="s">
        <v>588</v>
      </c>
      <c r="X7" s="11">
        <v>5</v>
      </c>
      <c r="Y7" s="11">
        <v>5</v>
      </c>
      <c r="Z7" s="11" t="s">
        <v>41</v>
      </c>
      <c r="AA7" s="13">
        <v>43769</v>
      </c>
      <c r="AB7" s="11">
        <v>31</v>
      </c>
      <c r="AC7" s="11">
        <v>10</v>
      </c>
      <c r="AD7" s="11">
        <v>2019</v>
      </c>
      <c r="AE7" s="13" t="s">
        <v>1269</v>
      </c>
      <c r="AF7" s="11" t="s">
        <v>29</v>
      </c>
      <c r="AG7" s="13">
        <v>43786</v>
      </c>
      <c r="AH7" s="11">
        <v>17</v>
      </c>
      <c r="AI7" s="11">
        <v>11</v>
      </c>
      <c r="AJ7" s="11">
        <v>2019</v>
      </c>
      <c r="AK7" s="13" t="s">
        <v>1237</v>
      </c>
      <c r="AL7" s="11" t="s">
        <v>17</v>
      </c>
      <c r="AM7" s="13" t="s">
        <v>20</v>
      </c>
      <c r="AN7" s="11" t="s">
        <v>41</v>
      </c>
      <c r="AO7" s="13" t="s">
        <v>41</v>
      </c>
      <c r="AP7" s="11" t="s">
        <v>588</v>
      </c>
      <c r="AQ7" s="13" t="s">
        <v>588</v>
      </c>
      <c r="AR7" s="11" t="s">
        <v>588</v>
      </c>
      <c r="AS7" s="13" t="s">
        <v>588</v>
      </c>
      <c r="AT7" s="11" t="s">
        <v>588</v>
      </c>
      <c r="AU7" s="13" t="s">
        <v>588</v>
      </c>
      <c r="AV7" s="11" t="s">
        <v>588</v>
      </c>
      <c r="AW7" s="13" t="s">
        <v>588</v>
      </c>
      <c r="AX7" s="11" t="s">
        <v>588</v>
      </c>
      <c r="AY7" s="13" t="s">
        <v>588</v>
      </c>
      <c r="AZ7" s="11" t="s">
        <v>588</v>
      </c>
      <c r="BA7" s="13" t="s">
        <v>588</v>
      </c>
      <c r="BB7" s="11" t="s">
        <v>588</v>
      </c>
      <c r="BC7" s="13" t="s">
        <v>588</v>
      </c>
      <c r="BD7" s="11" t="s">
        <v>588</v>
      </c>
      <c r="BE7" s="13" t="s">
        <v>588</v>
      </c>
      <c r="BF7" s="11" t="s">
        <v>588</v>
      </c>
      <c r="BG7" s="13" t="s">
        <v>588</v>
      </c>
      <c r="BH7" s="11" t="s">
        <v>588</v>
      </c>
      <c r="BI7" s="13" t="s">
        <v>588</v>
      </c>
      <c r="BJ7" s="11" t="s">
        <v>588</v>
      </c>
      <c r="BK7" s="13" t="s">
        <v>588</v>
      </c>
      <c r="BL7" s="11" t="s">
        <v>588</v>
      </c>
      <c r="BM7" s="13" t="s">
        <v>588</v>
      </c>
      <c r="BN7" s="11" t="s">
        <v>588</v>
      </c>
      <c r="BO7" s="13" t="s">
        <v>588</v>
      </c>
      <c r="BP7" s="11" t="s">
        <v>588</v>
      </c>
      <c r="BQ7" s="13" t="s">
        <v>588</v>
      </c>
      <c r="BR7" s="11" t="s">
        <v>588</v>
      </c>
      <c r="BS7" s="11" t="s">
        <v>8</v>
      </c>
      <c r="BT7" s="11" t="s">
        <v>9</v>
      </c>
      <c r="BU7" s="11" t="s">
        <v>9</v>
      </c>
      <c r="BV7" s="11" t="s">
        <v>588</v>
      </c>
      <c r="BW7" s="11" t="s">
        <v>588</v>
      </c>
      <c r="BX7" s="11" t="s">
        <v>588</v>
      </c>
      <c r="BY7" s="11" t="s">
        <v>588</v>
      </c>
      <c r="BZ7" s="11" t="s">
        <v>588</v>
      </c>
    </row>
    <row r="8" spans="1:78" x14ac:dyDescent="0.25">
      <c r="A8" s="11">
        <v>201920</v>
      </c>
      <c r="B8" s="11" t="s">
        <v>57</v>
      </c>
      <c r="C8" s="11" t="s">
        <v>57</v>
      </c>
      <c r="D8" s="11" t="s">
        <v>92</v>
      </c>
      <c r="E8" s="11" t="s">
        <v>16</v>
      </c>
      <c r="F8" s="11">
        <v>3</v>
      </c>
      <c r="G8" s="11" t="s">
        <v>1177</v>
      </c>
      <c r="H8" s="11" t="s">
        <v>1177</v>
      </c>
      <c r="I8" s="13">
        <v>43792</v>
      </c>
      <c r="J8" s="11">
        <v>23</v>
      </c>
      <c r="K8" s="11">
        <v>11</v>
      </c>
      <c r="L8" s="11">
        <v>2019</v>
      </c>
      <c r="M8" s="11" t="s">
        <v>1270</v>
      </c>
      <c r="N8" s="11" t="s">
        <v>17</v>
      </c>
      <c r="O8" s="11" t="s">
        <v>36</v>
      </c>
      <c r="P8" s="23">
        <v>-38.675387999999998</v>
      </c>
      <c r="Q8" s="23">
        <v>145.602982</v>
      </c>
      <c r="R8" s="11" t="s">
        <v>588</v>
      </c>
      <c r="S8" s="11" t="s">
        <v>588</v>
      </c>
      <c r="T8" s="11">
        <v>3</v>
      </c>
      <c r="U8" s="11">
        <v>3</v>
      </c>
      <c r="V8" t="s">
        <v>588</v>
      </c>
      <c r="W8" t="s">
        <v>588</v>
      </c>
      <c r="X8" s="11">
        <v>5</v>
      </c>
      <c r="Y8" s="11">
        <v>5</v>
      </c>
      <c r="Z8" s="11" t="s">
        <v>41</v>
      </c>
      <c r="AA8" s="13">
        <v>43806</v>
      </c>
      <c r="AB8" s="11">
        <v>7</v>
      </c>
      <c r="AC8" s="11">
        <v>12</v>
      </c>
      <c r="AD8" s="11">
        <v>2019</v>
      </c>
      <c r="AE8" s="13" t="s">
        <v>1271</v>
      </c>
      <c r="AF8" s="11" t="s">
        <v>7</v>
      </c>
      <c r="AG8" s="13">
        <v>43807</v>
      </c>
      <c r="AH8" s="11">
        <v>8</v>
      </c>
      <c r="AI8" s="11">
        <v>12</v>
      </c>
      <c r="AJ8" s="11">
        <v>2019</v>
      </c>
      <c r="AK8" s="13" t="s">
        <v>1238</v>
      </c>
      <c r="AL8" s="11" t="s">
        <v>7</v>
      </c>
      <c r="AM8" s="13" t="s">
        <v>20</v>
      </c>
      <c r="AN8" s="11" t="s">
        <v>41</v>
      </c>
      <c r="AO8" s="13" t="s">
        <v>41</v>
      </c>
      <c r="AP8" s="11" t="s">
        <v>588</v>
      </c>
      <c r="AQ8" s="13" t="s">
        <v>588</v>
      </c>
      <c r="AR8" s="11" t="s">
        <v>588</v>
      </c>
      <c r="AS8" s="13" t="s">
        <v>588</v>
      </c>
      <c r="AT8" s="11" t="s">
        <v>588</v>
      </c>
      <c r="AU8" s="13" t="s">
        <v>588</v>
      </c>
      <c r="AV8" s="11" t="s">
        <v>588</v>
      </c>
      <c r="AW8" s="13" t="s">
        <v>588</v>
      </c>
      <c r="AX8" s="11" t="s">
        <v>588</v>
      </c>
      <c r="AY8" s="13" t="s">
        <v>588</v>
      </c>
      <c r="AZ8" s="11" t="s">
        <v>588</v>
      </c>
      <c r="BA8" s="13" t="s">
        <v>588</v>
      </c>
      <c r="BB8" s="11" t="s">
        <v>588</v>
      </c>
      <c r="BC8" s="13" t="s">
        <v>588</v>
      </c>
      <c r="BD8" s="11" t="s">
        <v>588</v>
      </c>
      <c r="BE8" s="13" t="s">
        <v>588</v>
      </c>
      <c r="BF8" s="11" t="s">
        <v>588</v>
      </c>
      <c r="BG8" s="13" t="s">
        <v>588</v>
      </c>
      <c r="BH8" s="11" t="s">
        <v>588</v>
      </c>
      <c r="BI8" s="13" t="s">
        <v>588</v>
      </c>
      <c r="BJ8" s="11" t="s">
        <v>588</v>
      </c>
      <c r="BK8" s="13" t="s">
        <v>588</v>
      </c>
      <c r="BL8" s="11" t="s">
        <v>588</v>
      </c>
      <c r="BM8" s="13" t="s">
        <v>588</v>
      </c>
      <c r="BN8" s="11" t="s">
        <v>588</v>
      </c>
      <c r="BO8" s="13" t="s">
        <v>588</v>
      </c>
      <c r="BP8" s="11" t="s">
        <v>588</v>
      </c>
      <c r="BQ8" s="13" t="s">
        <v>588</v>
      </c>
      <c r="BR8" s="11" t="s">
        <v>588</v>
      </c>
      <c r="BS8" s="11" t="s">
        <v>8</v>
      </c>
      <c r="BT8" s="11" t="s">
        <v>52</v>
      </c>
      <c r="BU8" s="11" t="s">
        <v>52</v>
      </c>
      <c r="BV8" s="11" t="s">
        <v>588</v>
      </c>
      <c r="BW8" s="11" t="s">
        <v>588</v>
      </c>
      <c r="BX8" s="11" t="s">
        <v>588</v>
      </c>
      <c r="BY8" s="11" t="s">
        <v>588</v>
      </c>
      <c r="BZ8" s="11" t="s">
        <v>588</v>
      </c>
    </row>
    <row r="9" spans="1:78" x14ac:dyDescent="0.25">
      <c r="A9" s="11">
        <v>201920</v>
      </c>
      <c r="B9" s="11" t="s">
        <v>57</v>
      </c>
      <c r="C9" s="11" t="s">
        <v>57</v>
      </c>
      <c r="D9" s="11" t="s">
        <v>1178</v>
      </c>
      <c r="E9" s="11" t="s">
        <v>16</v>
      </c>
      <c r="F9" s="11">
        <v>4</v>
      </c>
      <c r="G9" s="11" t="s">
        <v>1179</v>
      </c>
      <c r="H9" s="11" t="s">
        <v>1272</v>
      </c>
      <c r="I9" s="13">
        <v>43811</v>
      </c>
      <c r="J9" s="11">
        <v>12</v>
      </c>
      <c r="K9" s="11">
        <v>12</v>
      </c>
      <c r="L9" s="11">
        <v>2019</v>
      </c>
      <c r="M9" s="11" t="s">
        <v>1273</v>
      </c>
      <c r="N9" s="11" t="s">
        <v>7</v>
      </c>
      <c r="O9" s="11" t="s">
        <v>36</v>
      </c>
      <c r="P9" s="23" t="s">
        <v>588</v>
      </c>
      <c r="Q9" s="23" t="s">
        <v>588</v>
      </c>
      <c r="R9" s="11" t="s">
        <v>588</v>
      </c>
      <c r="S9" s="11" t="s">
        <v>588</v>
      </c>
      <c r="T9" s="11" t="s">
        <v>647</v>
      </c>
      <c r="U9" s="11">
        <v>3</v>
      </c>
      <c r="V9" t="s">
        <v>588</v>
      </c>
      <c r="W9" t="s">
        <v>588</v>
      </c>
      <c r="X9" s="11">
        <v>2</v>
      </c>
      <c r="Y9" s="11">
        <v>2</v>
      </c>
      <c r="Z9" s="11" t="s">
        <v>41</v>
      </c>
      <c r="AA9" s="13">
        <v>43811</v>
      </c>
      <c r="AB9" s="11">
        <v>12</v>
      </c>
      <c r="AC9" s="11">
        <v>12</v>
      </c>
      <c r="AD9" s="11">
        <v>2019</v>
      </c>
      <c r="AE9" s="13" t="s">
        <v>1273</v>
      </c>
      <c r="AF9" s="11" t="s">
        <v>7</v>
      </c>
      <c r="AG9" s="13">
        <v>43814</v>
      </c>
      <c r="AH9" s="11">
        <v>15</v>
      </c>
      <c r="AI9" s="11">
        <v>12</v>
      </c>
      <c r="AJ9" s="11">
        <v>2019</v>
      </c>
      <c r="AK9" s="13" t="s">
        <v>1239</v>
      </c>
      <c r="AL9" s="11" t="s">
        <v>7</v>
      </c>
      <c r="AM9" s="11" t="s">
        <v>25</v>
      </c>
      <c r="AN9" s="11" t="s">
        <v>41</v>
      </c>
      <c r="AO9" s="13" t="s">
        <v>41</v>
      </c>
      <c r="AP9" s="11" t="s">
        <v>588</v>
      </c>
      <c r="AQ9" s="13" t="s">
        <v>588</v>
      </c>
      <c r="AR9" s="11" t="s">
        <v>588</v>
      </c>
      <c r="AS9" s="13" t="s">
        <v>588</v>
      </c>
      <c r="AT9" s="11" t="s">
        <v>588</v>
      </c>
      <c r="AU9" s="13" t="s">
        <v>588</v>
      </c>
      <c r="AV9" s="11" t="s">
        <v>588</v>
      </c>
      <c r="AW9" s="13" t="s">
        <v>588</v>
      </c>
      <c r="AX9" s="11" t="s">
        <v>588</v>
      </c>
      <c r="AY9" s="13" t="s">
        <v>588</v>
      </c>
      <c r="AZ9" s="11" t="s">
        <v>588</v>
      </c>
      <c r="BA9" s="13" t="s">
        <v>588</v>
      </c>
      <c r="BB9" s="11" t="s">
        <v>588</v>
      </c>
      <c r="BC9" s="13" t="s">
        <v>588</v>
      </c>
      <c r="BD9" s="11" t="s">
        <v>588</v>
      </c>
      <c r="BE9" s="13" t="s">
        <v>588</v>
      </c>
      <c r="BF9" s="11" t="s">
        <v>588</v>
      </c>
      <c r="BG9" s="13" t="s">
        <v>588</v>
      </c>
      <c r="BH9" s="11" t="s">
        <v>588</v>
      </c>
      <c r="BI9" s="13" t="s">
        <v>588</v>
      </c>
      <c r="BJ9" s="11" t="s">
        <v>588</v>
      </c>
      <c r="BK9" s="13" t="s">
        <v>588</v>
      </c>
      <c r="BL9" s="11" t="s">
        <v>588</v>
      </c>
      <c r="BM9" s="13" t="s">
        <v>588</v>
      </c>
      <c r="BN9" s="11" t="s">
        <v>588</v>
      </c>
      <c r="BO9" s="13" t="s">
        <v>588</v>
      </c>
      <c r="BP9" s="11" t="s">
        <v>588</v>
      </c>
      <c r="BQ9" s="13" t="s">
        <v>588</v>
      </c>
      <c r="BR9" s="11" t="s">
        <v>588</v>
      </c>
      <c r="BS9" s="11" t="s">
        <v>8</v>
      </c>
      <c r="BT9" s="11" t="s">
        <v>52</v>
      </c>
      <c r="BU9" s="11" t="s">
        <v>52</v>
      </c>
      <c r="BV9" s="11" t="s">
        <v>588</v>
      </c>
      <c r="BW9" s="11" t="s">
        <v>588</v>
      </c>
      <c r="BX9" s="11" t="s">
        <v>588</v>
      </c>
      <c r="BY9" s="11" t="s">
        <v>588</v>
      </c>
      <c r="BZ9" s="11" t="s">
        <v>588</v>
      </c>
    </row>
    <row r="10" spans="1:78" x14ac:dyDescent="0.25">
      <c r="A10" s="11">
        <v>201920</v>
      </c>
      <c r="B10" s="11" t="s">
        <v>57</v>
      </c>
      <c r="C10" s="11" t="s">
        <v>57</v>
      </c>
      <c r="D10" s="11" t="s">
        <v>92</v>
      </c>
      <c r="E10" s="11" t="s">
        <v>16</v>
      </c>
      <c r="F10" s="11">
        <v>5</v>
      </c>
      <c r="G10" s="11" t="s">
        <v>1180</v>
      </c>
      <c r="H10" s="11" t="s">
        <v>1180</v>
      </c>
      <c r="I10" s="13">
        <v>43816</v>
      </c>
      <c r="J10" s="11">
        <v>17</v>
      </c>
      <c r="K10" s="11">
        <v>12</v>
      </c>
      <c r="L10" s="11">
        <v>2019</v>
      </c>
      <c r="M10" s="11" t="s">
        <v>1274</v>
      </c>
      <c r="N10" s="11" t="s">
        <v>7</v>
      </c>
      <c r="O10" s="11" t="s">
        <v>36</v>
      </c>
      <c r="P10" s="23">
        <v>-38.675387999999998</v>
      </c>
      <c r="Q10" s="23">
        <v>145.602982</v>
      </c>
      <c r="R10" s="11" t="s">
        <v>588</v>
      </c>
      <c r="S10" s="11" t="s">
        <v>588</v>
      </c>
      <c r="T10" s="11">
        <v>3</v>
      </c>
      <c r="U10" s="11">
        <v>3</v>
      </c>
      <c r="V10" t="s">
        <v>588</v>
      </c>
      <c r="W10" t="s">
        <v>588</v>
      </c>
      <c r="X10" s="11">
        <v>6</v>
      </c>
      <c r="Y10" s="11">
        <v>6</v>
      </c>
      <c r="Z10" s="11" t="s">
        <v>41</v>
      </c>
      <c r="AA10" s="13">
        <v>43824</v>
      </c>
      <c r="AB10" s="11">
        <v>25</v>
      </c>
      <c r="AC10" s="11">
        <v>12</v>
      </c>
      <c r="AD10" s="11">
        <v>2019</v>
      </c>
      <c r="AE10" s="13" t="s">
        <v>1275</v>
      </c>
      <c r="AF10" s="11" t="s">
        <v>7</v>
      </c>
      <c r="AG10" s="13">
        <v>43828</v>
      </c>
      <c r="AH10" s="11">
        <v>29</v>
      </c>
      <c r="AI10" s="11">
        <v>12</v>
      </c>
      <c r="AJ10" s="11">
        <v>2019</v>
      </c>
      <c r="AK10" s="13" t="s">
        <v>1240</v>
      </c>
      <c r="AL10" s="11" t="s">
        <v>7</v>
      </c>
      <c r="AM10" s="11" t="s">
        <v>25</v>
      </c>
      <c r="AN10" s="11" t="s">
        <v>41</v>
      </c>
      <c r="AO10" s="13" t="s">
        <v>41</v>
      </c>
      <c r="AP10" s="11" t="s">
        <v>588</v>
      </c>
      <c r="AQ10" s="13" t="s">
        <v>588</v>
      </c>
      <c r="AR10" s="11" t="s">
        <v>588</v>
      </c>
      <c r="AS10" s="13" t="s">
        <v>588</v>
      </c>
      <c r="AT10" s="11" t="s">
        <v>588</v>
      </c>
      <c r="AU10" s="13" t="s">
        <v>588</v>
      </c>
      <c r="AV10" s="11" t="s">
        <v>588</v>
      </c>
      <c r="AW10" s="13" t="s">
        <v>588</v>
      </c>
      <c r="AX10" s="11" t="s">
        <v>588</v>
      </c>
      <c r="AY10" s="13" t="s">
        <v>588</v>
      </c>
      <c r="AZ10" s="11" t="s">
        <v>588</v>
      </c>
      <c r="BA10" s="13" t="s">
        <v>588</v>
      </c>
      <c r="BB10" s="11" t="s">
        <v>588</v>
      </c>
      <c r="BC10" s="13" t="s">
        <v>588</v>
      </c>
      <c r="BD10" s="11" t="s">
        <v>588</v>
      </c>
      <c r="BE10" s="13" t="s">
        <v>588</v>
      </c>
      <c r="BF10" s="11" t="s">
        <v>588</v>
      </c>
      <c r="BG10" s="13" t="s">
        <v>588</v>
      </c>
      <c r="BH10" s="11" t="s">
        <v>588</v>
      </c>
      <c r="BI10" s="13" t="s">
        <v>588</v>
      </c>
      <c r="BJ10" s="11" t="s">
        <v>588</v>
      </c>
      <c r="BK10" s="13" t="s">
        <v>588</v>
      </c>
      <c r="BL10" s="11" t="s">
        <v>588</v>
      </c>
      <c r="BM10" s="13" t="s">
        <v>588</v>
      </c>
      <c r="BN10" s="11" t="s">
        <v>588</v>
      </c>
      <c r="BO10" s="13" t="s">
        <v>588</v>
      </c>
      <c r="BP10" s="11" t="s">
        <v>588</v>
      </c>
      <c r="BQ10" s="13" t="s">
        <v>588</v>
      </c>
      <c r="BR10" s="11" t="s">
        <v>588</v>
      </c>
      <c r="BS10" s="11" t="s">
        <v>8</v>
      </c>
      <c r="BT10" s="11" t="s">
        <v>9</v>
      </c>
      <c r="BU10" s="11" t="s">
        <v>9</v>
      </c>
      <c r="BV10" s="11" t="s">
        <v>588</v>
      </c>
      <c r="BW10" s="11" t="s">
        <v>588</v>
      </c>
      <c r="BX10" s="11" t="s">
        <v>588</v>
      </c>
      <c r="BY10" s="11" t="s">
        <v>588</v>
      </c>
      <c r="BZ10" s="11" t="s">
        <v>588</v>
      </c>
    </row>
    <row r="11" spans="1:78" x14ac:dyDescent="0.25">
      <c r="A11" s="11">
        <v>201920</v>
      </c>
      <c r="B11" s="11" t="s">
        <v>83</v>
      </c>
      <c r="C11" s="11" t="s">
        <v>83</v>
      </c>
      <c r="D11" s="11" t="s">
        <v>84</v>
      </c>
      <c r="E11" s="11" t="s">
        <v>91</v>
      </c>
      <c r="F11" s="11">
        <v>1</v>
      </c>
      <c r="G11" s="11" t="s">
        <v>1181</v>
      </c>
      <c r="H11" s="11" t="s">
        <v>1181</v>
      </c>
      <c r="I11" s="13">
        <v>43818</v>
      </c>
      <c r="J11" s="11">
        <v>19</v>
      </c>
      <c r="K11" s="11">
        <v>12</v>
      </c>
      <c r="L11" s="11">
        <v>2019</v>
      </c>
      <c r="M11" s="11" t="s">
        <v>1244</v>
      </c>
      <c r="N11" s="11" t="s">
        <v>7</v>
      </c>
      <c r="O11" s="11" t="s">
        <v>10</v>
      </c>
      <c r="P11" s="23">
        <v>-38.675452</v>
      </c>
      <c r="Q11" s="23">
        <v>145.60264699999999</v>
      </c>
      <c r="R11" s="11" t="s">
        <v>588</v>
      </c>
      <c r="S11" s="11" t="s">
        <v>588</v>
      </c>
      <c r="T11" s="11">
        <v>3</v>
      </c>
      <c r="U11" s="11">
        <v>3</v>
      </c>
      <c r="V11" s="1">
        <v>43822</v>
      </c>
      <c r="W11" t="s">
        <v>223</v>
      </c>
      <c r="X11" s="11">
        <v>10</v>
      </c>
      <c r="Y11" s="11">
        <v>9</v>
      </c>
      <c r="Z11" s="11" t="s">
        <v>8</v>
      </c>
      <c r="AA11" s="13">
        <v>43847</v>
      </c>
      <c r="AB11" s="11">
        <v>17</v>
      </c>
      <c r="AC11" s="11">
        <v>1</v>
      </c>
      <c r="AD11" s="11">
        <v>2020</v>
      </c>
      <c r="AE11" s="13" t="s">
        <v>1243</v>
      </c>
      <c r="AF11" s="11" t="s">
        <v>12</v>
      </c>
      <c r="AG11" s="11" t="s">
        <v>588</v>
      </c>
      <c r="AH11" s="11" t="s">
        <v>588</v>
      </c>
      <c r="AI11" s="11" t="s">
        <v>588</v>
      </c>
      <c r="AJ11" s="11" t="s">
        <v>588</v>
      </c>
      <c r="AK11" s="13" t="s">
        <v>588</v>
      </c>
      <c r="AL11" s="11" t="s">
        <v>588</v>
      </c>
      <c r="AM11" s="13" t="s">
        <v>588</v>
      </c>
      <c r="AN11" s="11" t="s">
        <v>588</v>
      </c>
      <c r="AO11" s="13" t="s">
        <v>588</v>
      </c>
      <c r="AP11" s="13">
        <v>43851</v>
      </c>
      <c r="AQ11" s="13" t="s">
        <v>12</v>
      </c>
      <c r="AR11" s="11" t="s">
        <v>195</v>
      </c>
      <c r="AS11" s="11">
        <v>3</v>
      </c>
      <c r="AT11" s="11">
        <v>3</v>
      </c>
      <c r="AU11" s="13">
        <v>43852</v>
      </c>
      <c r="AV11" s="13">
        <v>43852</v>
      </c>
      <c r="AW11" s="13" t="s">
        <v>12</v>
      </c>
      <c r="AX11" s="11" t="s">
        <v>20</v>
      </c>
      <c r="AY11" s="13" t="s">
        <v>41</v>
      </c>
      <c r="AZ11" s="13" t="s">
        <v>41</v>
      </c>
      <c r="BA11" s="13">
        <v>43852</v>
      </c>
      <c r="BB11" s="13">
        <v>43852</v>
      </c>
      <c r="BC11" s="13" t="s">
        <v>12</v>
      </c>
      <c r="BD11" s="11" t="s">
        <v>20</v>
      </c>
      <c r="BE11" s="13" t="s">
        <v>41</v>
      </c>
      <c r="BF11" s="13" t="s">
        <v>41</v>
      </c>
      <c r="BG11" s="13">
        <v>43861</v>
      </c>
      <c r="BH11" s="13">
        <v>43863</v>
      </c>
      <c r="BI11" s="13" t="s">
        <v>21</v>
      </c>
      <c r="BJ11" s="13" t="s">
        <v>20</v>
      </c>
      <c r="BK11" s="13" t="s">
        <v>41</v>
      </c>
      <c r="BL11" s="13" t="s">
        <v>41</v>
      </c>
      <c r="BM11" s="11">
        <v>9</v>
      </c>
      <c r="BN11" s="11">
        <v>7</v>
      </c>
      <c r="BO11" s="13" t="s">
        <v>41</v>
      </c>
      <c r="BP11" s="13" t="s">
        <v>588</v>
      </c>
      <c r="BQ11" s="13" t="s">
        <v>588</v>
      </c>
      <c r="BR11" s="13" t="s">
        <v>588</v>
      </c>
      <c r="BS11" s="11" t="s">
        <v>8</v>
      </c>
      <c r="BT11" s="11" t="s">
        <v>9</v>
      </c>
      <c r="BU11" s="11" t="s">
        <v>9</v>
      </c>
      <c r="BV11" s="11" t="s">
        <v>8</v>
      </c>
      <c r="BW11" s="11" t="s">
        <v>9</v>
      </c>
      <c r="BX11" s="11" t="s">
        <v>9</v>
      </c>
      <c r="BY11" s="11" t="s">
        <v>588</v>
      </c>
      <c r="BZ11" s="11" t="s">
        <v>588</v>
      </c>
    </row>
    <row r="12" spans="1:78" x14ac:dyDescent="0.25">
      <c r="A12" s="11">
        <v>201920</v>
      </c>
      <c r="B12" s="11" t="s">
        <v>23</v>
      </c>
      <c r="C12" s="11" t="s">
        <v>23</v>
      </c>
      <c r="D12" s="11" t="s">
        <v>61</v>
      </c>
      <c r="E12" s="11" t="s">
        <v>16</v>
      </c>
      <c r="F12" s="11">
        <v>1</v>
      </c>
      <c r="G12" s="11" t="s">
        <v>1182</v>
      </c>
      <c r="H12" s="11" t="s">
        <v>1182</v>
      </c>
      <c r="I12" s="13">
        <v>43796</v>
      </c>
      <c r="J12" s="11">
        <v>27</v>
      </c>
      <c r="K12" s="11">
        <v>11</v>
      </c>
      <c r="L12" s="11">
        <v>2019</v>
      </c>
      <c r="M12" s="11" t="s">
        <v>1276</v>
      </c>
      <c r="N12" s="11" t="s">
        <v>17</v>
      </c>
      <c r="O12" s="11" t="s">
        <v>36</v>
      </c>
      <c r="P12" s="23">
        <v>-38.672435999999998</v>
      </c>
      <c r="Q12" s="23">
        <v>145.62427700000001</v>
      </c>
      <c r="R12" s="11" t="s">
        <v>588</v>
      </c>
      <c r="S12" s="11" t="s">
        <v>588</v>
      </c>
      <c r="T12" s="11">
        <v>1</v>
      </c>
      <c r="U12" s="11">
        <v>3</v>
      </c>
      <c r="V12" t="s">
        <v>588</v>
      </c>
      <c r="W12" t="s">
        <v>588</v>
      </c>
      <c r="X12" s="11">
        <v>7</v>
      </c>
      <c r="Y12" s="11">
        <v>7</v>
      </c>
      <c r="Z12" s="11" t="s">
        <v>8</v>
      </c>
      <c r="AA12" s="13">
        <v>43821</v>
      </c>
      <c r="AB12" s="11">
        <v>22</v>
      </c>
      <c r="AC12" s="11">
        <v>12</v>
      </c>
      <c r="AD12" s="11">
        <v>2019</v>
      </c>
      <c r="AE12" s="13" t="s">
        <v>1277</v>
      </c>
      <c r="AF12" s="11" t="s">
        <v>7</v>
      </c>
      <c r="AG12" s="11" t="s">
        <v>588</v>
      </c>
      <c r="AH12" s="11" t="s">
        <v>588</v>
      </c>
      <c r="AI12" s="11" t="s">
        <v>588</v>
      </c>
      <c r="AJ12" s="11" t="s">
        <v>588</v>
      </c>
      <c r="AK12" s="13" t="s">
        <v>588</v>
      </c>
      <c r="AL12" s="11" t="s">
        <v>588</v>
      </c>
      <c r="AM12" s="13" t="s">
        <v>588</v>
      </c>
      <c r="AN12" s="11" t="s">
        <v>588</v>
      </c>
      <c r="AO12" s="13" t="s">
        <v>588</v>
      </c>
      <c r="AP12" s="13">
        <v>43826</v>
      </c>
      <c r="AQ12" s="13" t="s">
        <v>7</v>
      </c>
      <c r="AR12" s="11" t="s">
        <v>195</v>
      </c>
      <c r="AS12" s="11">
        <v>1</v>
      </c>
      <c r="AT12" s="11">
        <v>1</v>
      </c>
      <c r="AU12" s="13">
        <v>43835</v>
      </c>
      <c r="AV12" s="13">
        <v>43837</v>
      </c>
      <c r="AW12" s="13" t="s">
        <v>12</v>
      </c>
      <c r="AX12" s="11" t="s">
        <v>20</v>
      </c>
      <c r="AY12" s="13" t="s">
        <v>41</v>
      </c>
      <c r="AZ12" s="13" t="s">
        <v>41</v>
      </c>
      <c r="BA12" s="13" t="s">
        <v>588</v>
      </c>
      <c r="BB12" s="13" t="s">
        <v>588</v>
      </c>
      <c r="BC12" s="13" t="s">
        <v>588</v>
      </c>
      <c r="BD12" s="13" t="s">
        <v>588</v>
      </c>
      <c r="BE12" s="13" t="s">
        <v>588</v>
      </c>
      <c r="BF12" s="13" t="s">
        <v>588</v>
      </c>
      <c r="BG12" s="13" t="s">
        <v>588</v>
      </c>
      <c r="BH12" s="13" t="s">
        <v>588</v>
      </c>
      <c r="BI12" s="13" t="s">
        <v>588</v>
      </c>
      <c r="BJ12" s="13" t="s">
        <v>588</v>
      </c>
      <c r="BK12" s="13" t="s">
        <v>588</v>
      </c>
      <c r="BL12" s="13" t="s">
        <v>588</v>
      </c>
      <c r="BM12" s="11">
        <v>13</v>
      </c>
      <c r="BN12" s="11">
        <v>11</v>
      </c>
      <c r="BO12" s="13" t="s">
        <v>41</v>
      </c>
      <c r="BP12" s="13" t="s">
        <v>588</v>
      </c>
      <c r="BQ12" s="13" t="s">
        <v>588</v>
      </c>
      <c r="BR12" s="13" t="s">
        <v>588</v>
      </c>
      <c r="BS12" s="11" t="s">
        <v>8</v>
      </c>
      <c r="BT12" s="11" t="s">
        <v>9</v>
      </c>
      <c r="BU12" s="11" t="s">
        <v>9</v>
      </c>
      <c r="BV12" s="11" t="s">
        <v>8</v>
      </c>
      <c r="BW12" s="11" t="s">
        <v>18</v>
      </c>
      <c r="BX12" s="11" t="s">
        <v>18</v>
      </c>
      <c r="BY12" s="11" t="s">
        <v>588</v>
      </c>
      <c r="BZ12" s="11" t="s">
        <v>588</v>
      </c>
    </row>
    <row r="13" spans="1:78" x14ac:dyDescent="0.25">
      <c r="A13" s="11">
        <v>201920</v>
      </c>
      <c r="B13" s="11" t="s">
        <v>23</v>
      </c>
      <c r="C13" s="11" t="s">
        <v>23</v>
      </c>
      <c r="D13" s="11" t="s">
        <v>61</v>
      </c>
      <c r="E13" s="11" t="s">
        <v>16</v>
      </c>
      <c r="F13" s="11">
        <v>2</v>
      </c>
      <c r="G13" s="11" t="s">
        <v>1183</v>
      </c>
      <c r="H13" s="11" t="s">
        <v>1183</v>
      </c>
      <c r="I13" s="13">
        <v>43855</v>
      </c>
      <c r="J13" s="11">
        <v>25</v>
      </c>
      <c r="K13" s="11">
        <v>1</v>
      </c>
      <c r="L13" s="11">
        <v>2020</v>
      </c>
      <c r="M13" s="11" t="s">
        <v>1250</v>
      </c>
      <c r="N13" s="11" t="s">
        <v>12</v>
      </c>
      <c r="O13" s="11" t="s">
        <v>36</v>
      </c>
      <c r="P13" s="23">
        <v>-38.673771000000002</v>
      </c>
      <c r="Q13" s="23">
        <v>145.62200899999999</v>
      </c>
      <c r="R13" s="11" t="s">
        <v>588</v>
      </c>
      <c r="S13" s="11" t="s">
        <v>588</v>
      </c>
      <c r="T13" s="11">
        <v>3</v>
      </c>
      <c r="U13" s="11">
        <v>3</v>
      </c>
      <c r="V13" t="s">
        <v>588</v>
      </c>
      <c r="W13" t="s">
        <v>588</v>
      </c>
      <c r="X13" s="11">
        <v>9</v>
      </c>
      <c r="Y13" s="11">
        <v>6</v>
      </c>
      <c r="Z13" s="11" t="s">
        <v>41</v>
      </c>
      <c r="AA13" s="13">
        <v>43868</v>
      </c>
      <c r="AB13" s="11">
        <v>7</v>
      </c>
      <c r="AC13" s="11">
        <v>2</v>
      </c>
      <c r="AD13" s="11">
        <v>2020</v>
      </c>
      <c r="AE13" s="13" t="s">
        <v>1278</v>
      </c>
      <c r="AF13" s="11" t="s">
        <v>21</v>
      </c>
      <c r="AG13" s="13">
        <v>43875</v>
      </c>
      <c r="AH13" s="11">
        <v>14</v>
      </c>
      <c r="AI13" s="11">
        <v>2</v>
      </c>
      <c r="AJ13" s="11">
        <v>2020</v>
      </c>
      <c r="AK13" s="13" t="s">
        <v>1241</v>
      </c>
      <c r="AL13" s="11" t="s">
        <v>1172</v>
      </c>
      <c r="AM13" s="13" t="s">
        <v>20</v>
      </c>
      <c r="AN13" s="11" t="s">
        <v>41</v>
      </c>
      <c r="AO13" s="13" t="s">
        <v>41</v>
      </c>
      <c r="AP13" s="11" t="s">
        <v>588</v>
      </c>
      <c r="AQ13" s="13" t="s">
        <v>588</v>
      </c>
      <c r="AR13" s="11" t="s">
        <v>588</v>
      </c>
      <c r="AS13" s="13" t="s">
        <v>588</v>
      </c>
      <c r="AT13" s="11" t="s">
        <v>588</v>
      </c>
      <c r="AU13" s="13" t="s">
        <v>588</v>
      </c>
      <c r="AV13" s="11" t="s">
        <v>588</v>
      </c>
      <c r="AW13" s="13" t="s">
        <v>588</v>
      </c>
      <c r="AX13" s="11" t="s">
        <v>588</v>
      </c>
      <c r="AY13" s="13" t="s">
        <v>588</v>
      </c>
      <c r="AZ13" s="11" t="s">
        <v>588</v>
      </c>
      <c r="BA13" s="13" t="s">
        <v>588</v>
      </c>
      <c r="BB13" s="11" t="s">
        <v>588</v>
      </c>
      <c r="BC13" s="13" t="s">
        <v>588</v>
      </c>
      <c r="BD13" s="11" t="s">
        <v>588</v>
      </c>
      <c r="BE13" s="13" t="s">
        <v>588</v>
      </c>
      <c r="BF13" s="11" t="s">
        <v>588</v>
      </c>
      <c r="BG13" s="13" t="s">
        <v>588</v>
      </c>
      <c r="BH13" s="11" t="s">
        <v>588</v>
      </c>
      <c r="BI13" s="13" t="s">
        <v>588</v>
      </c>
      <c r="BJ13" s="11" t="s">
        <v>588</v>
      </c>
      <c r="BK13" s="13" t="s">
        <v>588</v>
      </c>
      <c r="BL13" s="11" t="s">
        <v>588</v>
      </c>
      <c r="BM13" s="13" t="s">
        <v>588</v>
      </c>
      <c r="BN13" s="11" t="s">
        <v>588</v>
      </c>
      <c r="BO13" s="13" t="s">
        <v>588</v>
      </c>
      <c r="BP13" s="11" t="s">
        <v>588</v>
      </c>
      <c r="BQ13" s="13" t="s">
        <v>588</v>
      </c>
      <c r="BR13" s="11" t="s">
        <v>588</v>
      </c>
      <c r="BS13" s="11" t="s">
        <v>8</v>
      </c>
      <c r="BT13" s="11" t="s">
        <v>9</v>
      </c>
      <c r="BU13" s="11" t="s">
        <v>9</v>
      </c>
      <c r="BV13" s="11" t="s">
        <v>588</v>
      </c>
      <c r="BW13" s="11" t="s">
        <v>588</v>
      </c>
      <c r="BX13" s="11" t="s">
        <v>588</v>
      </c>
      <c r="BY13" s="11" t="s">
        <v>588</v>
      </c>
      <c r="BZ13" s="11" t="s">
        <v>588</v>
      </c>
    </row>
    <row r="14" spans="1:78" x14ac:dyDescent="0.25">
      <c r="A14" s="11">
        <v>201920</v>
      </c>
      <c r="B14" s="11" t="s">
        <v>14</v>
      </c>
      <c r="C14" s="11" t="s">
        <v>14</v>
      </c>
      <c r="D14" s="11" t="s">
        <v>82</v>
      </c>
      <c r="E14" s="11" t="s">
        <v>16</v>
      </c>
      <c r="F14" s="11">
        <v>1</v>
      </c>
      <c r="G14" s="11" t="s">
        <v>1184</v>
      </c>
      <c r="H14" s="11" t="s">
        <v>1184</v>
      </c>
      <c r="I14" s="13">
        <v>43839</v>
      </c>
      <c r="J14" s="11">
        <v>9</v>
      </c>
      <c r="K14" s="11">
        <v>1</v>
      </c>
      <c r="L14" s="11">
        <v>2020</v>
      </c>
      <c r="M14" s="11" t="s">
        <v>1279</v>
      </c>
      <c r="N14" s="11" t="s">
        <v>12</v>
      </c>
      <c r="O14" s="11" t="s">
        <v>19</v>
      </c>
      <c r="P14" s="23">
        <v>-38.659444000000001</v>
      </c>
      <c r="Q14" s="23">
        <v>-145.580555</v>
      </c>
      <c r="R14" s="11" t="s">
        <v>588</v>
      </c>
      <c r="S14" s="11" t="s">
        <v>588</v>
      </c>
      <c r="T14" s="11">
        <v>1</v>
      </c>
      <c r="U14" s="11">
        <v>3</v>
      </c>
      <c r="V14" t="s">
        <v>588</v>
      </c>
      <c r="W14" t="s">
        <v>588</v>
      </c>
      <c r="X14" s="11">
        <v>3</v>
      </c>
      <c r="Y14" s="11">
        <v>3</v>
      </c>
      <c r="Z14" s="11" t="s">
        <v>41</v>
      </c>
      <c r="AA14" s="13">
        <v>43840</v>
      </c>
      <c r="AB14" s="11">
        <v>10</v>
      </c>
      <c r="AC14" s="11">
        <v>1</v>
      </c>
      <c r="AD14" s="11">
        <v>2020</v>
      </c>
      <c r="AE14" s="13" t="s">
        <v>1280</v>
      </c>
      <c r="AF14" s="11" t="s">
        <v>12</v>
      </c>
      <c r="AG14" s="13">
        <v>43842</v>
      </c>
      <c r="AH14" s="11">
        <v>12</v>
      </c>
      <c r="AI14" s="11">
        <v>1</v>
      </c>
      <c r="AJ14" s="11">
        <v>2020</v>
      </c>
      <c r="AK14" s="13" t="s">
        <v>1242</v>
      </c>
      <c r="AL14" s="11" t="s">
        <v>12</v>
      </c>
      <c r="AM14" s="13" t="s">
        <v>20</v>
      </c>
      <c r="AN14" s="11" t="s">
        <v>41</v>
      </c>
      <c r="AO14" s="13" t="s">
        <v>41</v>
      </c>
      <c r="AP14" s="11" t="s">
        <v>588</v>
      </c>
      <c r="AQ14" s="13" t="s">
        <v>588</v>
      </c>
      <c r="AR14" s="11" t="s">
        <v>588</v>
      </c>
      <c r="AS14" s="13" t="s">
        <v>588</v>
      </c>
      <c r="AT14" s="11" t="s">
        <v>588</v>
      </c>
      <c r="AU14" s="13" t="s">
        <v>588</v>
      </c>
      <c r="AV14" s="11" t="s">
        <v>588</v>
      </c>
      <c r="AW14" s="13" t="s">
        <v>588</v>
      </c>
      <c r="AX14" s="11" t="s">
        <v>588</v>
      </c>
      <c r="AY14" s="13" t="s">
        <v>588</v>
      </c>
      <c r="AZ14" s="11" t="s">
        <v>588</v>
      </c>
      <c r="BA14" s="13" t="s">
        <v>588</v>
      </c>
      <c r="BB14" s="11" t="s">
        <v>588</v>
      </c>
      <c r="BC14" s="13" t="s">
        <v>588</v>
      </c>
      <c r="BD14" s="11" t="s">
        <v>588</v>
      </c>
      <c r="BE14" s="13" t="s">
        <v>588</v>
      </c>
      <c r="BF14" s="11" t="s">
        <v>588</v>
      </c>
      <c r="BG14" s="13" t="s">
        <v>588</v>
      </c>
      <c r="BH14" s="11" t="s">
        <v>588</v>
      </c>
      <c r="BI14" s="13" t="s">
        <v>588</v>
      </c>
      <c r="BJ14" s="11" t="s">
        <v>588</v>
      </c>
      <c r="BK14" s="13" t="s">
        <v>588</v>
      </c>
      <c r="BL14" s="11" t="s">
        <v>588</v>
      </c>
      <c r="BM14" s="13" t="s">
        <v>588</v>
      </c>
      <c r="BN14" s="11" t="s">
        <v>588</v>
      </c>
      <c r="BO14" s="13" t="s">
        <v>588</v>
      </c>
      <c r="BP14" s="11" t="s">
        <v>588</v>
      </c>
      <c r="BQ14" s="13" t="s">
        <v>588</v>
      </c>
      <c r="BR14" s="11" t="s">
        <v>588</v>
      </c>
      <c r="BS14" s="11" t="s">
        <v>8</v>
      </c>
      <c r="BT14" s="11" t="s">
        <v>9</v>
      </c>
      <c r="BU14" s="11" t="s">
        <v>9</v>
      </c>
      <c r="BV14" s="11" t="s">
        <v>588</v>
      </c>
      <c r="BW14" s="11" t="s">
        <v>588</v>
      </c>
      <c r="BX14" s="11" t="s">
        <v>588</v>
      </c>
      <c r="BY14" s="11" t="s">
        <v>588</v>
      </c>
      <c r="BZ14" s="11" t="s">
        <v>588</v>
      </c>
    </row>
    <row r="15" spans="1:78" x14ac:dyDescent="0.25">
      <c r="A15" s="11">
        <v>201920</v>
      </c>
      <c r="B15" s="11" t="s">
        <v>14</v>
      </c>
      <c r="C15" s="11" t="s">
        <v>14</v>
      </c>
      <c r="D15" s="11" t="s">
        <v>82</v>
      </c>
      <c r="E15" s="11" t="s">
        <v>16</v>
      </c>
      <c r="F15" s="11">
        <v>2</v>
      </c>
      <c r="G15" s="11" t="s">
        <v>1185</v>
      </c>
      <c r="H15" s="11" t="s">
        <v>1185</v>
      </c>
      <c r="I15" s="13">
        <v>43859</v>
      </c>
      <c r="J15" s="11">
        <v>29</v>
      </c>
      <c r="K15" s="11">
        <v>1</v>
      </c>
      <c r="L15" s="11">
        <v>2020</v>
      </c>
      <c r="M15" s="11" t="s">
        <v>1233</v>
      </c>
      <c r="N15" s="11" t="s">
        <v>12</v>
      </c>
      <c r="O15" s="11" t="s">
        <v>19</v>
      </c>
      <c r="P15" s="23">
        <v>-38.659503000000001</v>
      </c>
      <c r="Q15" s="23">
        <v>145.58074999999999</v>
      </c>
      <c r="R15" s="11" t="s">
        <v>588</v>
      </c>
      <c r="S15" s="11" t="s">
        <v>588</v>
      </c>
      <c r="T15" s="11">
        <v>2</v>
      </c>
      <c r="U15" s="11">
        <v>3</v>
      </c>
      <c r="V15" s="1">
        <v>43851</v>
      </c>
      <c r="W15" t="s">
        <v>219</v>
      </c>
      <c r="X15" s="11">
        <v>4</v>
      </c>
      <c r="Y15" s="11">
        <v>3</v>
      </c>
      <c r="Z15" s="11" t="s">
        <v>8</v>
      </c>
      <c r="AA15" s="13">
        <v>43878</v>
      </c>
      <c r="AB15" s="11">
        <v>17</v>
      </c>
      <c r="AC15" s="11">
        <v>2</v>
      </c>
      <c r="AD15" s="11">
        <v>2020</v>
      </c>
      <c r="AE15" s="13" t="s">
        <v>1281</v>
      </c>
      <c r="AF15" s="11" t="s">
        <v>21</v>
      </c>
      <c r="AG15" s="11" t="s">
        <v>588</v>
      </c>
      <c r="AH15" s="11" t="s">
        <v>588</v>
      </c>
      <c r="AI15" s="11" t="s">
        <v>588</v>
      </c>
      <c r="AJ15" s="11" t="s">
        <v>588</v>
      </c>
      <c r="AK15" s="13" t="s">
        <v>588</v>
      </c>
      <c r="AL15" s="11" t="s">
        <v>588</v>
      </c>
      <c r="AM15" s="13" t="s">
        <v>588</v>
      </c>
      <c r="AN15" s="11" t="s">
        <v>588</v>
      </c>
      <c r="AO15" s="13" t="s">
        <v>588</v>
      </c>
      <c r="AP15" s="13">
        <v>43880</v>
      </c>
      <c r="AQ15" s="13" t="s">
        <v>21</v>
      </c>
      <c r="AR15" s="11" t="s">
        <v>195</v>
      </c>
      <c r="AS15" s="11">
        <v>2</v>
      </c>
      <c r="AT15" s="11">
        <v>2</v>
      </c>
      <c r="AU15" s="13">
        <v>43888</v>
      </c>
      <c r="AV15" s="13">
        <v>43889</v>
      </c>
      <c r="AW15" s="13" t="s">
        <v>21</v>
      </c>
      <c r="AX15" s="11" t="s">
        <v>20</v>
      </c>
      <c r="AY15" s="13" t="s">
        <v>41</v>
      </c>
      <c r="AZ15" s="13" t="s">
        <v>41</v>
      </c>
      <c r="BA15" s="13" t="s">
        <v>588</v>
      </c>
      <c r="BB15" s="13" t="s">
        <v>588</v>
      </c>
      <c r="BC15" s="13" t="s">
        <v>588</v>
      </c>
      <c r="BD15" s="13" t="s">
        <v>588</v>
      </c>
      <c r="BE15" s="13" t="s">
        <v>588</v>
      </c>
      <c r="BF15" s="13" t="s">
        <v>588</v>
      </c>
      <c r="BG15" s="13" t="s">
        <v>588</v>
      </c>
      <c r="BH15" s="13" t="s">
        <v>588</v>
      </c>
      <c r="BI15" s="13" t="s">
        <v>588</v>
      </c>
      <c r="BJ15" s="13" t="s">
        <v>588</v>
      </c>
      <c r="BK15" s="13" t="s">
        <v>588</v>
      </c>
      <c r="BL15" s="13" t="s">
        <v>588</v>
      </c>
      <c r="BM15" s="11">
        <v>10</v>
      </c>
      <c r="BN15" s="11">
        <v>9</v>
      </c>
      <c r="BO15" s="13" t="s">
        <v>8</v>
      </c>
      <c r="BP15" s="11">
        <v>1</v>
      </c>
      <c r="BQ15" s="13">
        <v>43914</v>
      </c>
      <c r="BR15" s="11" t="s">
        <v>22</v>
      </c>
      <c r="BS15" s="11" t="s">
        <v>8</v>
      </c>
      <c r="BT15" s="11" t="s">
        <v>9</v>
      </c>
      <c r="BU15" s="11" t="s">
        <v>9</v>
      </c>
      <c r="BV15" s="11" t="s">
        <v>8</v>
      </c>
      <c r="BW15" s="11" t="s">
        <v>9</v>
      </c>
      <c r="BX15" s="11" t="s">
        <v>9</v>
      </c>
      <c r="BY15" s="11" t="s">
        <v>588</v>
      </c>
      <c r="BZ15" s="11" t="s">
        <v>588</v>
      </c>
    </row>
    <row r="16" spans="1:78" x14ac:dyDescent="0.25">
      <c r="A16" s="11">
        <v>201920</v>
      </c>
      <c r="B16" s="11" t="s">
        <v>460</v>
      </c>
      <c r="C16" s="11" t="s">
        <v>460</v>
      </c>
      <c r="D16" s="11" t="s">
        <v>267</v>
      </c>
      <c r="E16" s="11" t="s">
        <v>16</v>
      </c>
      <c r="F16" s="11">
        <v>1</v>
      </c>
      <c r="G16" s="11" t="s">
        <v>1186</v>
      </c>
      <c r="H16" s="11" t="s">
        <v>1186</v>
      </c>
      <c r="I16" s="13">
        <v>43844</v>
      </c>
      <c r="J16" s="11">
        <v>14</v>
      </c>
      <c r="K16" s="11">
        <v>1</v>
      </c>
      <c r="L16" s="11">
        <v>2020</v>
      </c>
      <c r="M16" s="11" t="s">
        <v>1282</v>
      </c>
      <c r="N16" s="11" t="s">
        <v>12</v>
      </c>
      <c r="O16" s="11" t="s">
        <v>10</v>
      </c>
      <c r="P16" s="23">
        <v>-38.643456999999998</v>
      </c>
      <c r="Q16" s="23">
        <v>145.557705</v>
      </c>
      <c r="R16" s="11" t="s">
        <v>588</v>
      </c>
      <c r="S16" s="11" t="s">
        <v>588</v>
      </c>
      <c r="T16" s="11">
        <v>1</v>
      </c>
      <c r="U16" s="11">
        <v>3</v>
      </c>
      <c r="V16" t="s">
        <v>588</v>
      </c>
      <c r="W16" t="s">
        <v>588</v>
      </c>
      <c r="X16" s="11">
        <v>2</v>
      </c>
      <c r="Y16" s="11">
        <v>2</v>
      </c>
      <c r="Z16" s="11" t="s">
        <v>41</v>
      </c>
      <c r="AA16" s="13">
        <v>43844</v>
      </c>
      <c r="AB16" s="11">
        <v>14</v>
      </c>
      <c r="AC16" s="11">
        <v>1</v>
      </c>
      <c r="AD16" s="11">
        <v>2020</v>
      </c>
      <c r="AE16" s="13" t="s">
        <v>1282</v>
      </c>
      <c r="AF16" s="11" t="s">
        <v>12</v>
      </c>
      <c r="AG16" s="13">
        <v>43847</v>
      </c>
      <c r="AH16" s="11">
        <v>17</v>
      </c>
      <c r="AI16" s="11">
        <v>1</v>
      </c>
      <c r="AJ16" s="11">
        <v>2020</v>
      </c>
      <c r="AK16" s="13" t="s">
        <v>1243</v>
      </c>
      <c r="AL16" s="11" t="s">
        <v>12</v>
      </c>
      <c r="AM16" s="13" t="s">
        <v>11</v>
      </c>
      <c r="AN16" s="11" t="s">
        <v>8</v>
      </c>
      <c r="AO16" s="13" t="s">
        <v>41</v>
      </c>
      <c r="AP16" s="11" t="s">
        <v>588</v>
      </c>
      <c r="AQ16" s="13" t="s">
        <v>588</v>
      </c>
      <c r="AR16" s="11" t="s">
        <v>588</v>
      </c>
      <c r="AS16" s="13" t="s">
        <v>588</v>
      </c>
      <c r="AT16" s="11" t="s">
        <v>588</v>
      </c>
      <c r="AU16" s="13" t="s">
        <v>588</v>
      </c>
      <c r="AV16" s="11" t="s">
        <v>588</v>
      </c>
      <c r="AW16" s="13" t="s">
        <v>588</v>
      </c>
      <c r="AX16" s="11" t="s">
        <v>588</v>
      </c>
      <c r="AY16" s="13" t="s">
        <v>588</v>
      </c>
      <c r="AZ16" s="13" t="s">
        <v>588</v>
      </c>
      <c r="BA16" s="13" t="s">
        <v>588</v>
      </c>
      <c r="BB16" s="13" t="s">
        <v>588</v>
      </c>
      <c r="BC16" s="13" t="s">
        <v>588</v>
      </c>
      <c r="BD16" s="13" t="s">
        <v>588</v>
      </c>
      <c r="BE16" s="13" t="s">
        <v>588</v>
      </c>
      <c r="BF16" s="13" t="s">
        <v>588</v>
      </c>
      <c r="BG16" s="13" t="s">
        <v>588</v>
      </c>
      <c r="BH16" s="13" t="s">
        <v>588</v>
      </c>
      <c r="BI16" s="13" t="s">
        <v>588</v>
      </c>
      <c r="BJ16" s="13" t="s">
        <v>588</v>
      </c>
      <c r="BK16" s="13" t="s">
        <v>588</v>
      </c>
      <c r="BL16" s="13" t="s">
        <v>588</v>
      </c>
      <c r="BM16" s="13" t="s">
        <v>588</v>
      </c>
      <c r="BN16" s="13" t="s">
        <v>588</v>
      </c>
      <c r="BO16" s="13" t="s">
        <v>588</v>
      </c>
      <c r="BP16" s="13" t="s">
        <v>588</v>
      </c>
      <c r="BQ16" s="13" t="s">
        <v>588</v>
      </c>
      <c r="BR16" s="13" t="s">
        <v>588</v>
      </c>
      <c r="BS16" s="11" t="s">
        <v>41</v>
      </c>
      <c r="BT16" s="11" t="s">
        <v>42</v>
      </c>
      <c r="BU16" s="11" t="s">
        <v>42</v>
      </c>
      <c r="BV16" s="13" t="s">
        <v>588</v>
      </c>
      <c r="BW16" s="13" t="s">
        <v>588</v>
      </c>
      <c r="BX16" s="13" t="s">
        <v>588</v>
      </c>
      <c r="BY16" s="13" t="s">
        <v>588</v>
      </c>
      <c r="BZ16" s="13" t="s">
        <v>588</v>
      </c>
    </row>
    <row r="17" spans="1:78" x14ac:dyDescent="0.25">
      <c r="A17" s="11">
        <v>201920</v>
      </c>
      <c r="B17" s="11" t="s">
        <v>284</v>
      </c>
      <c r="C17" s="11" t="s">
        <v>284</v>
      </c>
      <c r="D17" s="11" t="s">
        <v>562</v>
      </c>
      <c r="E17" s="11" t="s">
        <v>16</v>
      </c>
      <c r="F17" s="11">
        <v>1</v>
      </c>
      <c r="G17" s="11" t="s">
        <v>1187</v>
      </c>
      <c r="H17" s="11" t="s">
        <v>1283</v>
      </c>
      <c r="I17" s="13">
        <v>43815</v>
      </c>
      <c r="J17" s="11">
        <v>16</v>
      </c>
      <c r="K17" s="11">
        <v>12</v>
      </c>
      <c r="L17" s="11">
        <v>2019</v>
      </c>
      <c r="M17" s="11" t="s">
        <v>1284</v>
      </c>
      <c r="N17" s="11" t="s">
        <v>7</v>
      </c>
      <c r="O17" s="11" t="s">
        <v>51</v>
      </c>
      <c r="P17" s="23">
        <v>-38.588802999999999</v>
      </c>
      <c r="Q17" s="23">
        <v>145.51662400000001</v>
      </c>
      <c r="R17" s="11" t="s">
        <v>588</v>
      </c>
      <c r="S17" s="11" t="s">
        <v>588</v>
      </c>
      <c r="T17" s="11">
        <v>1</v>
      </c>
      <c r="U17" s="11">
        <v>3</v>
      </c>
      <c r="V17" t="s">
        <v>588</v>
      </c>
      <c r="W17" t="s">
        <v>588</v>
      </c>
      <c r="X17" s="11">
        <v>2</v>
      </c>
      <c r="Y17" s="11">
        <v>2</v>
      </c>
      <c r="Z17" s="11" t="s">
        <v>41</v>
      </c>
      <c r="AA17" s="13">
        <v>43815</v>
      </c>
      <c r="AB17" s="11">
        <v>16</v>
      </c>
      <c r="AC17" s="11">
        <v>12</v>
      </c>
      <c r="AD17" s="11">
        <v>2019</v>
      </c>
      <c r="AE17" s="13" t="s">
        <v>1284</v>
      </c>
      <c r="AF17" s="11" t="s">
        <v>7</v>
      </c>
      <c r="AG17" s="13">
        <v>43818</v>
      </c>
      <c r="AH17" s="11">
        <v>19</v>
      </c>
      <c r="AI17" s="11">
        <v>12</v>
      </c>
      <c r="AJ17" s="11">
        <v>2019</v>
      </c>
      <c r="AK17" s="13" t="s">
        <v>1244</v>
      </c>
      <c r="AL17" s="11" t="s">
        <v>7</v>
      </c>
      <c r="AM17" s="13" t="s">
        <v>20</v>
      </c>
      <c r="AN17" s="11" t="s">
        <v>41</v>
      </c>
      <c r="AO17" s="11" t="s">
        <v>41</v>
      </c>
      <c r="AP17" s="11" t="s">
        <v>588</v>
      </c>
      <c r="AQ17" s="13" t="s">
        <v>588</v>
      </c>
      <c r="AR17" s="11" t="s">
        <v>588</v>
      </c>
      <c r="AS17" s="13" t="s">
        <v>588</v>
      </c>
      <c r="AT17" s="11" t="s">
        <v>588</v>
      </c>
      <c r="AU17" s="13" t="s">
        <v>588</v>
      </c>
      <c r="AV17" s="11" t="s">
        <v>588</v>
      </c>
      <c r="AW17" s="13" t="s">
        <v>588</v>
      </c>
      <c r="AX17" s="11" t="s">
        <v>588</v>
      </c>
      <c r="AY17" s="13" t="s">
        <v>588</v>
      </c>
      <c r="AZ17" s="13" t="s">
        <v>588</v>
      </c>
      <c r="BA17" s="13" t="s">
        <v>588</v>
      </c>
      <c r="BB17" s="13" t="s">
        <v>588</v>
      </c>
      <c r="BC17" s="13" t="s">
        <v>588</v>
      </c>
      <c r="BD17" s="13" t="s">
        <v>588</v>
      </c>
      <c r="BE17" s="13" t="s">
        <v>588</v>
      </c>
      <c r="BF17" s="13" t="s">
        <v>588</v>
      </c>
      <c r="BG17" s="13" t="s">
        <v>588</v>
      </c>
      <c r="BH17" s="13" t="s">
        <v>588</v>
      </c>
      <c r="BI17" s="13" t="s">
        <v>588</v>
      </c>
      <c r="BJ17" s="13" t="s">
        <v>588</v>
      </c>
      <c r="BK17" s="13" t="s">
        <v>588</v>
      </c>
      <c r="BL17" s="13" t="s">
        <v>588</v>
      </c>
      <c r="BM17" s="13" t="s">
        <v>588</v>
      </c>
      <c r="BN17" s="13" t="s">
        <v>588</v>
      </c>
      <c r="BO17" s="13" t="s">
        <v>588</v>
      </c>
      <c r="BP17" s="13" t="s">
        <v>588</v>
      </c>
      <c r="BQ17" s="13" t="s">
        <v>588</v>
      </c>
      <c r="BR17" s="13" t="s">
        <v>588</v>
      </c>
      <c r="BS17" s="11" t="s">
        <v>41</v>
      </c>
      <c r="BT17" s="11" t="s">
        <v>42</v>
      </c>
      <c r="BU17" s="11" t="s">
        <v>42</v>
      </c>
      <c r="BV17" s="13" t="s">
        <v>588</v>
      </c>
      <c r="BW17" s="13" t="s">
        <v>588</v>
      </c>
      <c r="BX17" s="13" t="s">
        <v>588</v>
      </c>
      <c r="BY17" s="13" t="s">
        <v>588</v>
      </c>
      <c r="BZ17" s="13" t="s">
        <v>588</v>
      </c>
    </row>
    <row r="18" spans="1:78" x14ac:dyDescent="0.25">
      <c r="A18" s="11">
        <v>201920</v>
      </c>
      <c r="B18" s="11" t="s">
        <v>284</v>
      </c>
      <c r="C18" s="11" t="s">
        <v>284</v>
      </c>
      <c r="D18" s="11" t="s">
        <v>562</v>
      </c>
      <c r="E18" s="11" t="s">
        <v>16</v>
      </c>
      <c r="F18" s="11">
        <v>2</v>
      </c>
      <c r="G18" s="11" t="s">
        <v>1188</v>
      </c>
      <c r="H18" s="11" t="s">
        <v>1187</v>
      </c>
      <c r="I18" s="13">
        <v>43843</v>
      </c>
      <c r="J18" s="11">
        <v>13</v>
      </c>
      <c r="K18" s="11">
        <v>1</v>
      </c>
      <c r="L18" s="11">
        <v>2020</v>
      </c>
      <c r="M18" s="11" t="s">
        <v>1285</v>
      </c>
      <c r="N18" s="11" t="s">
        <v>12</v>
      </c>
      <c r="O18" s="11" t="s">
        <v>10</v>
      </c>
      <c r="P18" s="23">
        <v>-38.587792</v>
      </c>
      <c r="Q18" s="23">
        <v>145.515762</v>
      </c>
      <c r="R18" s="11" t="s">
        <v>588</v>
      </c>
      <c r="S18" s="11" t="s">
        <v>588</v>
      </c>
      <c r="T18" s="11">
        <v>3</v>
      </c>
      <c r="U18" s="11">
        <v>3</v>
      </c>
      <c r="V18" t="s">
        <v>588</v>
      </c>
      <c r="W18" t="s">
        <v>588</v>
      </c>
      <c r="X18" s="11">
        <v>4</v>
      </c>
      <c r="Y18" s="11">
        <v>4</v>
      </c>
      <c r="Z18" s="11" t="s">
        <v>41</v>
      </c>
      <c r="AA18" s="13">
        <v>43851</v>
      </c>
      <c r="AB18" s="11">
        <v>21</v>
      </c>
      <c r="AC18" s="11">
        <v>1</v>
      </c>
      <c r="AD18" s="11">
        <v>2020</v>
      </c>
      <c r="AE18" s="13" t="s">
        <v>1286</v>
      </c>
      <c r="AF18" s="11" t="s">
        <v>12</v>
      </c>
      <c r="AG18" s="13">
        <v>43856</v>
      </c>
      <c r="AH18" s="11">
        <v>26</v>
      </c>
      <c r="AI18" s="11">
        <v>1</v>
      </c>
      <c r="AJ18" s="11">
        <v>2020</v>
      </c>
      <c r="AK18" s="13" t="s">
        <v>1245</v>
      </c>
      <c r="AL18" s="11" t="s">
        <v>12</v>
      </c>
      <c r="AM18" s="13" t="s">
        <v>20</v>
      </c>
      <c r="AN18" s="11" t="s">
        <v>8</v>
      </c>
      <c r="AO18" s="11" t="s">
        <v>1035</v>
      </c>
      <c r="AP18" s="11" t="s">
        <v>588</v>
      </c>
      <c r="AQ18" s="13" t="s">
        <v>588</v>
      </c>
      <c r="AR18" s="11" t="s">
        <v>588</v>
      </c>
      <c r="AS18" s="13" t="s">
        <v>588</v>
      </c>
      <c r="AT18" s="11" t="s">
        <v>588</v>
      </c>
      <c r="AU18" s="13" t="s">
        <v>588</v>
      </c>
      <c r="AV18" s="11" t="s">
        <v>588</v>
      </c>
      <c r="AW18" s="13" t="s">
        <v>588</v>
      </c>
      <c r="AX18" s="11" t="s">
        <v>588</v>
      </c>
      <c r="AY18" s="13" t="s">
        <v>588</v>
      </c>
      <c r="AZ18" s="13" t="s">
        <v>588</v>
      </c>
      <c r="BA18" s="13" t="s">
        <v>588</v>
      </c>
      <c r="BB18" s="13" t="s">
        <v>588</v>
      </c>
      <c r="BC18" s="13" t="s">
        <v>588</v>
      </c>
      <c r="BD18" s="13" t="s">
        <v>588</v>
      </c>
      <c r="BE18" s="13" t="s">
        <v>588</v>
      </c>
      <c r="BF18" s="13" t="s">
        <v>588</v>
      </c>
      <c r="BG18" s="13" t="s">
        <v>588</v>
      </c>
      <c r="BH18" s="13" t="s">
        <v>588</v>
      </c>
      <c r="BI18" s="13" t="s">
        <v>588</v>
      </c>
      <c r="BJ18" s="13" t="s">
        <v>588</v>
      </c>
      <c r="BK18" s="13" t="s">
        <v>588</v>
      </c>
      <c r="BL18" s="13" t="s">
        <v>588</v>
      </c>
      <c r="BM18" s="13" t="s">
        <v>588</v>
      </c>
      <c r="BN18" s="13" t="s">
        <v>588</v>
      </c>
      <c r="BO18" s="13" t="s">
        <v>588</v>
      </c>
      <c r="BP18" s="13" t="s">
        <v>588</v>
      </c>
      <c r="BQ18" s="13" t="s">
        <v>588</v>
      </c>
      <c r="BR18" s="13" t="s">
        <v>588</v>
      </c>
      <c r="BS18" s="11" t="s">
        <v>8</v>
      </c>
      <c r="BT18" s="11" t="s">
        <v>13</v>
      </c>
      <c r="BU18" s="11" t="s">
        <v>13</v>
      </c>
      <c r="BV18" s="13" t="s">
        <v>588</v>
      </c>
      <c r="BW18" s="13" t="s">
        <v>588</v>
      </c>
      <c r="BX18" s="13" t="s">
        <v>588</v>
      </c>
      <c r="BY18" s="13" t="s">
        <v>588</v>
      </c>
      <c r="BZ18" s="13" t="s">
        <v>588</v>
      </c>
    </row>
    <row r="19" spans="1:78" x14ac:dyDescent="0.25">
      <c r="A19" s="11">
        <v>201920</v>
      </c>
      <c r="B19" s="11" t="s">
        <v>284</v>
      </c>
      <c r="C19" s="11" t="s">
        <v>284</v>
      </c>
      <c r="D19" s="11" t="s">
        <v>562</v>
      </c>
      <c r="E19" s="11" t="s">
        <v>16</v>
      </c>
      <c r="F19" s="11">
        <v>3</v>
      </c>
      <c r="G19" s="11" t="s">
        <v>1189</v>
      </c>
      <c r="H19" s="11" t="s">
        <v>1188</v>
      </c>
      <c r="I19" s="13">
        <v>43888</v>
      </c>
      <c r="J19" s="11">
        <v>27</v>
      </c>
      <c r="K19" s="11">
        <v>2</v>
      </c>
      <c r="L19" s="11">
        <v>2020</v>
      </c>
      <c r="M19" s="11" t="s">
        <v>1255</v>
      </c>
      <c r="N19" s="11" t="s">
        <v>21</v>
      </c>
      <c r="O19" s="11" t="s">
        <v>10</v>
      </c>
      <c r="P19" s="23">
        <v>-38.587260000000001</v>
      </c>
      <c r="Q19" s="23">
        <v>145.51536999999999</v>
      </c>
      <c r="R19" s="11" t="s">
        <v>588</v>
      </c>
      <c r="S19" s="11" t="s">
        <v>588</v>
      </c>
      <c r="T19" s="11">
        <v>1</v>
      </c>
      <c r="U19" s="11">
        <v>3</v>
      </c>
      <c r="V19" t="s">
        <v>588</v>
      </c>
      <c r="W19" t="s">
        <v>588</v>
      </c>
      <c r="X19" s="11">
        <v>6</v>
      </c>
      <c r="Y19" s="11">
        <v>5</v>
      </c>
      <c r="Z19" s="11" t="s">
        <v>41</v>
      </c>
      <c r="AA19" s="13">
        <v>43906</v>
      </c>
      <c r="AB19" s="11">
        <v>16</v>
      </c>
      <c r="AC19" s="11">
        <v>3</v>
      </c>
      <c r="AD19" s="11">
        <v>2020</v>
      </c>
      <c r="AE19" s="13" t="s">
        <v>1287</v>
      </c>
      <c r="AF19" s="11" t="s">
        <v>22</v>
      </c>
      <c r="AG19" s="13">
        <v>43909</v>
      </c>
      <c r="AH19" s="11">
        <v>19</v>
      </c>
      <c r="AI19" s="11">
        <v>3</v>
      </c>
      <c r="AJ19" s="11">
        <v>2020</v>
      </c>
      <c r="AK19" s="13" t="s">
        <v>1246</v>
      </c>
      <c r="AL19" s="11" t="s">
        <v>22</v>
      </c>
      <c r="AM19" s="13" t="s">
        <v>20</v>
      </c>
      <c r="AN19" s="11" t="s">
        <v>8</v>
      </c>
      <c r="AO19" s="11" t="s">
        <v>1021</v>
      </c>
      <c r="AP19" s="11" t="s">
        <v>588</v>
      </c>
      <c r="AQ19" s="13" t="s">
        <v>588</v>
      </c>
      <c r="AR19" s="11" t="s">
        <v>588</v>
      </c>
      <c r="AS19" s="13" t="s">
        <v>588</v>
      </c>
      <c r="AT19" s="11" t="s">
        <v>588</v>
      </c>
      <c r="AU19" s="13" t="s">
        <v>588</v>
      </c>
      <c r="AV19" s="11" t="s">
        <v>588</v>
      </c>
      <c r="AW19" s="13" t="s">
        <v>588</v>
      </c>
      <c r="AX19" s="11" t="s">
        <v>588</v>
      </c>
      <c r="AY19" s="13" t="s">
        <v>588</v>
      </c>
      <c r="AZ19" s="13" t="s">
        <v>588</v>
      </c>
      <c r="BA19" s="13" t="s">
        <v>588</v>
      </c>
      <c r="BB19" s="13" t="s">
        <v>588</v>
      </c>
      <c r="BC19" s="13" t="s">
        <v>588</v>
      </c>
      <c r="BD19" s="13" t="s">
        <v>588</v>
      </c>
      <c r="BE19" s="13" t="s">
        <v>588</v>
      </c>
      <c r="BF19" s="13" t="s">
        <v>588</v>
      </c>
      <c r="BG19" s="13" t="s">
        <v>588</v>
      </c>
      <c r="BH19" s="13" t="s">
        <v>588</v>
      </c>
      <c r="BI19" s="13" t="s">
        <v>588</v>
      </c>
      <c r="BJ19" s="13" t="s">
        <v>588</v>
      </c>
      <c r="BK19" s="13" t="s">
        <v>588</v>
      </c>
      <c r="BL19" s="13" t="s">
        <v>588</v>
      </c>
      <c r="BM19" s="13" t="s">
        <v>588</v>
      </c>
      <c r="BN19" s="13" t="s">
        <v>588</v>
      </c>
      <c r="BO19" s="13" t="s">
        <v>588</v>
      </c>
      <c r="BP19" s="13" t="s">
        <v>588</v>
      </c>
      <c r="BQ19" s="13" t="s">
        <v>588</v>
      </c>
      <c r="BR19" s="13" t="s">
        <v>588</v>
      </c>
      <c r="BS19" s="11" t="s">
        <v>8</v>
      </c>
      <c r="BT19" s="11" t="s">
        <v>9</v>
      </c>
      <c r="BU19" s="11" t="s">
        <v>9</v>
      </c>
      <c r="BV19" s="13" t="s">
        <v>588</v>
      </c>
      <c r="BW19" s="13" t="s">
        <v>588</v>
      </c>
      <c r="BX19" s="13" t="s">
        <v>588</v>
      </c>
      <c r="BY19" s="13" t="s">
        <v>588</v>
      </c>
      <c r="BZ19" s="13" t="s">
        <v>588</v>
      </c>
    </row>
    <row r="20" spans="1:78" x14ac:dyDescent="0.25">
      <c r="A20" s="11">
        <v>201920</v>
      </c>
      <c r="B20" s="11" t="s">
        <v>400</v>
      </c>
      <c r="C20" s="11" t="s">
        <v>400</v>
      </c>
      <c r="D20" s="11" t="s">
        <v>38</v>
      </c>
      <c r="E20" s="11" t="s">
        <v>16</v>
      </c>
      <c r="F20" s="11">
        <v>1</v>
      </c>
      <c r="G20" s="11" t="s">
        <v>1190</v>
      </c>
      <c r="H20" s="11" t="s">
        <v>1190</v>
      </c>
      <c r="I20" s="13">
        <v>43827</v>
      </c>
      <c r="J20" s="11">
        <v>28</v>
      </c>
      <c r="K20" s="11">
        <v>12</v>
      </c>
      <c r="L20" s="11">
        <v>2019</v>
      </c>
      <c r="M20" s="11" t="s">
        <v>1288</v>
      </c>
      <c r="N20" s="11" t="s">
        <v>7</v>
      </c>
      <c r="O20" s="11" t="s">
        <v>10</v>
      </c>
      <c r="P20" s="23">
        <v>-38.655000000000001</v>
      </c>
      <c r="Q20" s="23">
        <v>-145.56611100000001</v>
      </c>
      <c r="R20" s="11" t="s">
        <v>588</v>
      </c>
      <c r="S20" s="11" t="s">
        <v>588</v>
      </c>
      <c r="T20" s="11">
        <v>3</v>
      </c>
      <c r="U20" s="11">
        <v>3</v>
      </c>
      <c r="V20" t="s">
        <v>588</v>
      </c>
      <c r="W20" t="s">
        <v>588</v>
      </c>
      <c r="X20" s="11">
        <v>4</v>
      </c>
      <c r="Y20" s="11">
        <v>4</v>
      </c>
      <c r="Z20" s="11" t="s">
        <v>41</v>
      </c>
      <c r="AA20" s="13">
        <v>43829</v>
      </c>
      <c r="AB20" s="11">
        <v>30</v>
      </c>
      <c r="AC20" s="11">
        <v>12</v>
      </c>
      <c r="AD20" s="11">
        <v>2019</v>
      </c>
      <c r="AE20" s="13" t="s">
        <v>1289</v>
      </c>
      <c r="AF20" s="11" t="s">
        <v>7</v>
      </c>
      <c r="AG20" s="13">
        <v>43837</v>
      </c>
      <c r="AH20" s="11">
        <v>7</v>
      </c>
      <c r="AI20" s="11">
        <v>1</v>
      </c>
      <c r="AJ20" s="11">
        <v>2020</v>
      </c>
      <c r="AK20" s="13" t="s">
        <v>1247</v>
      </c>
      <c r="AL20" s="11" t="s">
        <v>12</v>
      </c>
      <c r="AM20" s="13" t="s">
        <v>20</v>
      </c>
      <c r="AN20" s="11" t="s">
        <v>8</v>
      </c>
      <c r="AO20" s="11" t="s">
        <v>11</v>
      </c>
      <c r="AP20" s="11" t="s">
        <v>588</v>
      </c>
      <c r="AQ20" s="13" t="s">
        <v>588</v>
      </c>
      <c r="AR20" s="11" t="s">
        <v>588</v>
      </c>
      <c r="AS20" s="13" t="s">
        <v>588</v>
      </c>
      <c r="AT20" s="11" t="s">
        <v>588</v>
      </c>
      <c r="AU20" s="13" t="s">
        <v>588</v>
      </c>
      <c r="AV20" s="11" t="s">
        <v>588</v>
      </c>
      <c r="AW20" s="13" t="s">
        <v>588</v>
      </c>
      <c r="AX20" s="11" t="s">
        <v>588</v>
      </c>
      <c r="AY20" s="13" t="s">
        <v>588</v>
      </c>
      <c r="AZ20" s="13" t="s">
        <v>588</v>
      </c>
      <c r="BA20" s="13" t="s">
        <v>588</v>
      </c>
      <c r="BB20" s="13" t="s">
        <v>588</v>
      </c>
      <c r="BC20" s="13" t="s">
        <v>588</v>
      </c>
      <c r="BD20" s="13" t="s">
        <v>588</v>
      </c>
      <c r="BE20" s="13" t="s">
        <v>588</v>
      </c>
      <c r="BF20" s="13" t="s">
        <v>588</v>
      </c>
      <c r="BG20" s="13" t="s">
        <v>588</v>
      </c>
      <c r="BH20" s="13" t="s">
        <v>588</v>
      </c>
      <c r="BI20" s="13" t="s">
        <v>588</v>
      </c>
      <c r="BJ20" s="13" t="s">
        <v>588</v>
      </c>
      <c r="BK20" s="13" t="s">
        <v>588</v>
      </c>
      <c r="BL20" s="13" t="s">
        <v>588</v>
      </c>
      <c r="BM20" s="13" t="s">
        <v>588</v>
      </c>
      <c r="BN20" s="13" t="s">
        <v>588</v>
      </c>
      <c r="BO20" s="13" t="s">
        <v>588</v>
      </c>
      <c r="BP20" s="13" t="s">
        <v>588</v>
      </c>
      <c r="BQ20" s="13" t="s">
        <v>588</v>
      </c>
      <c r="BR20" s="13" t="s">
        <v>588</v>
      </c>
      <c r="BS20" s="11" t="s">
        <v>8</v>
      </c>
      <c r="BT20" s="11" t="s">
        <v>13</v>
      </c>
      <c r="BU20" s="11" t="s">
        <v>13</v>
      </c>
      <c r="BV20" s="13" t="s">
        <v>588</v>
      </c>
      <c r="BW20" s="13" t="s">
        <v>588</v>
      </c>
      <c r="BX20" s="13" t="s">
        <v>588</v>
      </c>
      <c r="BY20" s="13" t="s">
        <v>588</v>
      </c>
      <c r="BZ20" s="13" t="s">
        <v>588</v>
      </c>
    </row>
    <row r="21" spans="1:78" x14ac:dyDescent="0.25">
      <c r="A21" s="11">
        <v>201920</v>
      </c>
      <c r="B21" s="11" t="s">
        <v>400</v>
      </c>
      <c r="C21" s="11" t="s">
        <v>400</v>
      </c>
      <c r="D21" s="11" t="s">
        <v>388</v>
      </c>
      <c r="E21" s="11" t="s">
        <v>16</v>
      </c>
      <c r="F21" s="11">
        <v>2</v>
      </c>
      <c r="G21" s="11" t="s">
        <v>1191</v>
      </c>
      <c r="H21" s="11" t="s">
        <v>1191</v>
      </c>
      <c r="I21" s="13">
        <v>43847</v>
      </c>
      <c r="J21" s="11">
        <v>17</v>
      </c>
      <c r="K21" s="11">
        <v>1</v>
      </c>
      <c r="L21" s="11">
        <v>2020</v>
      </c>
      <c r="M21" s="11" t="s">
        <v>1243</v>
      </c>
      <c r="N21" s="11" t="s">
        <v>12</v>
      </c>
      <c r="O21" s="11" t="s">
        <v>36</v>
      </c>
      <c r="P21" s="23">
        <v>-38.652842999999997</v>
      </c>
      <c r="Q21" s="23">
        <v>145.564346</v>
      </c>
      <c r="R21" s="11" t="s">
        <v>588</v>
      </c>
      <c r="S21" s="11" t="s">
        <v>588</v>
      </c>
      <c r="T21" s="11">
        <v>3</v>
      </c>
      <c r="U21" s="11">
        <v>3</v>
      </c>
      <c r="V21" t="s">
        <v>588</v>
      </c>
      <c r="W21" t="s">
        <v>588</v>
      </c>
      <c r="X21" s="11">
        <v>2</v>
      </c>
      <c r="Y21" s="11">
        <v>2</v>
      </c>
      <c r="Z21" s="11" t="s">
        <v>41</v>
      </c>
      <c r="AA21" s="13">
        <v>43847</v>
      </c>
      <c r="AB21" s="11">
        <v>17</v>
      </c>
      <c r="AC21" s="11">
        <v>1</v>
      </c>
      <c r="AD21" s="11">
        <v>2020</v>
      </c>
      <c r="AE21" s="13" t="s">
        <v>1243</v>
      </c>
      <c r="AF21" s="11" t="s">
        <v>12</v>
      </c>
      <c r="AG21" s="13">
        <v>43849</v>
      </c>
      <c r="AH21" s="11">
        <v>19</v>
      </c>
      <c r="AI21" s="11">
        <v>1</v>
      </c>
      <c r="AJ21" s="11">
        <v>2020</v>
      </c>
      <c r="AK21" s="13" t="s">
        <v>1248</v>
      </c>
      <c r="AL21" s="11" t="s">
        <v>12</v>
      </c>
      <c r="AM21" s="13" t="s">
        <v>20</v>
      </c>
      <c r="AN21" s="11" t="s">
        <v>8</v>
      </c>
      <c r="AO21" s="11" t="s">
        <v>1025</v>
      </c>
      <c r="AP21" s="11" t="s">
        <v>588</v>
      </c>
      <c r="AQ21" s="13" t="s">
        <v>588</v>
      </c>
      <c r="AR21" s="11" t="s">
        <v>588</v>
      </c>
      <c r="AS21" s="13" t="s">
        <v>588</v>
      </c>
      <c r="AT21" s="11" t="s">
        <v>588</v>
      </c>
      <c r="AU21" s="13" t="s">
        <v>588</v>
      </c>
      <c r="AV21" s="11" t="s">
        <v>588</v>
      </c>
      <c r="AW21" s="13" t="s">
        <v>588</v>
      </c>
      <c r="AX21" s="11" t="s">
        <v>588</v>
      </c>
      <c r="AY21" s="13" t="s">
        <v>588</v>
      </c>
      <c r="AZ21" s="13" t="s">
        <v>588</v>
      </c>
      <c r="BA21" s="13" t="s">
        <v>588</v>
      </c>
      <c r="BB21" s="13" t="s">
        <v>588</v>
      </c>
      <c r="BC21" s="13" t="s">
        <v>588</v>
      </c>
      <c r="BD21" s="13" t="s">
        <v>588</v>
      </c>
      <c r="BE21" s="13" t="s">
        <v>588</v>
      </c>
      <c r="BF21" s="13" t="s">
        <v>588</v>
      </c>
      <c r="BG21" s="13" t="s">
        <v>588</v>
      </c>
      <c r="BH21" s="13" t="s">
        <v>588</v>
      </c>
      <c r="BI21" s="13" t="s">
        <v>588</v>
      </c>
      <c r="BJ21" s="13" t="s">
        <v>588</v>
      </c>
      <c r="BK21" s="13" t="s">
        <v>588</v>
      </c>
      <c r="BL21" s="13" t="s">
        <v>588</v>
      </c>
      <c r="BM21" s="13" t="s">
        <v>588</v>
      </c>
      <c r="BN21" s="13" t="s">
        <v>588</v>
      </c>
      <c r="BO21" s="13" t="s">
        <v>588</v>
      </c>
      <c r="BP21" s="13" t="s">
        <v>588</v>
      </c>
      <c r="BQ21" s="13" t="s">
        <v>588</v>
      </c>
      <c r="BR21" s="13" t="s">
        <v>588</v>
      </c>
      <c r="BS21" s="11" t="s">
        <v>41</v>
      </c>
      <c r="BT21" s="11" t="s">
        <v>42</v>
      </c>
      <c r="BU21" s="11" t="s">
        <v>42</v>
      </c>
      <c r="BV21" s="13" t="s">
        <v>588</v>
      </c>
      <c r="BW21" s="13" t="s">
        <v>588</v>
      </c>
      <c r="BX21" s="13" t="s">
        <v>588</v>
      </c>
      <c r="BY21" s="13" t="s">
        <v>588</v>
      </c>
      <c r="BZ21" s="13" t="s">
        <v>588</v>
      </c>
    </row>
    <row r="22" spans="1:78" x14ac:dyDescent="0.25">
      <c r="A22" s="11">
        <v>201920</v>
      </c>
      <c r="B22" s="11" t="s">
        <v>73</v>
      </c>
      <c r="C22" s="11" t="s">
        <v>73</v>
      </c>
      <c r="D22" s="11" t="s">
        <v>87</v>
      </c>
      <c r="E22" s="11" t="s">
        <v>16</v>
      </c>
      <c r="F22" s="11">
        <v>1</v>
      </c>
      <c r="G22" s="11" t="s">
        <v>1192</v>
      </c>
      <c r="H22" s="11" t="s">
        <v>1192</v>
      </c>
      <c r="I22" s="13">
        <v>43796</v>
      </c>
      <c r="J22" s="11">
        <v>27</v>
      </c>
      <c r="K22" s="11">
        <v>11</v>
      </c>
      <c r="L22" s="11">
        <v>2019</v>
      </c>
      <c r="M22" s="11" t="s">
        <v>1276</v>
      </c>
      <c r="N22" s="11" t="s">
        <v>17</v>
      </c>
      <c r="O22" s="11" t="s">
        <v>10</v>
      </c>
      <c r="P22" s="23">
        <v>-38.642429999999997</v>
      </c>
      <c r="Q22" s="23">
        <v>145.72029000000001</v>
      </c>
      <c r="R22" s="11" t="s">
        <v>588</v>
      </c>
      <c r="S22" s="11" t="s">
        <v>588</v>
      </c>
      <c r="T22" s="11">
        <v>1</v>
      </c>
      <c r="U22" s="11">
        <v>3</v>
      </c>
      <c r="V22" t="s">
        <v>588</v>
      </c>
      <c r="W22" t="s">
        <v>588</v>
      </c>
      <c r="X22" s="11">
        <v>2</v>
      </c>
      <c r="Y22" s="11">
        <v>2</v>
      </c>
      <c r="Z22" s="11" t="s">
        <v>41</v>
      </c>
      <c r="AA22" s="13">
        <v>43796</v>
      </c>
      <c r="AB22" s="11">
        <v>27</v>
      </c>
      <c r="AC22" s="11">
        <v>11</v>
      </c>
      <c r="AD22" s="11">
        <v>2019</v>
      </c>
      <c r="AE22" s="13" t="s">
        <v>1276</v>
      </c>
      <c r="AF22" s="11" t="s">
        <v>17</v>
      </c>
      <c r="AG22" s="13">
        <v>43800</v>
      </c>
      <c r="AH22" s="11">
        <v>1</v>
      </c>
      <c r="AI22" s="11">
        <v>12</v>
      </c>
      <c r="AJ22" s="11">
        <v>2019</v>
      </c>
      <c r="AK22" s="13" t="s">
        <v>1249</v>
      </c>
      <c r="AL22" s="11" t="s">
        <v>7</v>
      </c>
      <c r="AM22" s="13" t="s">
        <v>20</v>
      </c>
      <c r="AN22" s="11" t="s">
        <v>588</v>
      </c>
      <c r="AO22" s="13" t="s">
        <v>588</v>
      </c>
      <c r="AP22" s="11" t="s">
        <v>588</v>
      </c>
      <c r="AQ22" s="13" t="s">
        <v>588</v>
      </c>
      <c r="AR22" s="11" t="s">
        <v>588</v>
      </c>
      <c r="AS22" s="13" t="s">
        <v>588</v>
      </c>
      <c r="AT22" s="11" t="s">
        <v>588</v>
      </c>
      <c r="AU22" s="13" t="s">
        <v>588</v>
      </c>
      <c r="AV22" s="11" t="s">
        <v>588</v>
      </c>
      <c r="AW22" s="13" t="s">
        <v>588</v>
      </c>
      <c r="AX22" s="11" t="s">
        <v>588</v>
      </c>
      <c r="AY22" s="13" t="s">
        <v>588</v>
      </c>
      <c r="AZ22" s="13" t="s">
        <v>588</v>
      </c>
      <c r="BA22" s="13" t="s">
        <v>588</v>
      </c>
      <c r="BB22" s="13" t="s">
        <v>588</v>
      </c>
      <c r="BC22" s="13" t="s">
        <v>588</v>
      </c>
      <c r="BD22" s="13" t="s">
        <v>588</v>
      </c>
      <c r="BE22" s="13" t="s">
        <v>588</v>
      </c>
      <c r="BF22" s="13" t="s">
        <v>588</v>
      </c>
      <c r="BG22" s="13" t="s">
        <v>588</v>
      </c>
      <c r="BH22" s="13" t="s">
        <v>588</v>
      </c>
      <c r="BI22" s="13" t="s">
        <v>588</v>
      </c>
      <c r="BJ22" s="13" t="s">
        <v>588</v>
      </c>
      <c r="BK22" s="13" t="s">
        <v>588</v>
      </c>
      <c r="BL22" s="13" t="s">
        <v>588</v>
      </c>
      <c r="BM22" s="13" t="s">
        <v>588</v>
      </c>
      <c r="BN22" s="13" t="s">
        <v>588</v>
      </c>
      <c r="BO22" s="13" t="s">
        <v>588</v>
      </c>
      <c r="BP22" s="13" t="s">
        <v>588</v>
      </c>
      <c r="BQ22" s="13" t="s">
        <v>588</v>
      </c>
      <c r="BR22" s="13" t="s">
        <v>588</v>
      </c>
      <c r="BS22" s="11" t="s">
        <v>8</v>
      </c>
      <c r="BT22" s="11" t="s">
        <v>9</v>
      </c>
      <c r="BU22" s="11" t="s">
        <v>9</v>
      </c>
      <c r="BV22" s="13" t="s">
        <v>588</v>
      </c>
      <c r="BW22" s="13" t="s">
        <v>588</v>
      </c>
      <c r="BX22" s="13" t="s">
        <v>588</v>
      </c>
      <c r="BY22" s="13" t="s">
        <v>588</v>
      </c>
      <c r="BZ22" s="13" t="s">
        <v>588</v>
      </c>
    </row>
    <row r="23" spans="1:78" x14ac:dyDescent="0.25">
      <c r="A23" s="11">
        <v>201920</v>
      </c>
      <c r="B23" s="11" t="s">
        <v>73</v>
      </c>
      <c r="C23" s="11" t="s">
        <v>73</v>
      </c>
      <c r="D23" s="11" t="s">
        <v>87</v>
      </c>
      <c r="E23" s="11" t="s">
        <v>16</v>
      </c>
      <c r="F23" s="11">
        <v>3</v>
      </c>
      <c r="G23" s="11" t="s">
        <v>1193</v>
      </c>
      <c r="H23" s="11" t="s">
        <v>1193</v>
      </c>
      <c r="I23" s="13">
        <v>43851</v>
      </c>
      <c r="J23" s="11">
        <v>21</v>
      </c>
      <c r="K23" s="11">
        <v>1</v>
      </c>
      <c r="L23" s="11">
        <v>2020</v>
      </c>
      <c r="M23" s="11" t="s">
        <v>1286</v>
      </c>
      <c r="N23" s="11" t="s">
        <v>12</v>
      </c>
      <c r="O23" s="11" t="s">
        <v>10</v>
      </c>
      <c r="P23" s="23" t="s">
        <v>588</v>
      </c>
      <c r="Q23" s="23" t="s">
        <v>588</v>
      </c>
      <c r="R23" s="11" t="s">
        <v>588</v>
      </c>
      <c r="S23" s="11" t="s">
        <v>588</v>
      </c>
      <c r="T23" s="11">
        <v>3</v>
      </c>
      <c r="U23" s="11">
        <v>3</v>
      </c>
      <c r="V23" t="s">
        <v>588</v>
      </c>
      <c r="W23" t="s">
        <v>588</v>
      </c>
      <c r="X23" s="11">
        <v>2</v>
      </c>
      <c r="Y23" s="11">
        <v>2</v>
      </c>
      <c r="Z23" s="11" t="s">
        <v>41</v>
      </c>
      <c r="AA23" s="13">
        <v>43851</v>
      </c>
      <c r="AB23" s="11">
        <v>21</v>
      </c>
      <c r="AC23" s="11">
        <v>1</v>
      </c>
      <c r="AD23" s="11">
        <v>2020</v>
      </c>
      <c r="AE23" s="13" t="s">
        <v>1286</v>
      </c>
      <c r="AF23" s="11" t="s">
        <v>12</v>
      </c>
      <c r="AG23" s="13">
        <v>43855</v>
      </c>
      <c r="AH23" s="11">
        <v>25</v>
      </c>
      <c r="AI23" s="11">
        <v>1</v>
      </c>
      <c r="AJ23" s="11">
        <v>2020</v>
      </c>
      <c r="AK23" s="13" t="s">
        <v>1250</v>
      </c>
      <c r="AL23" s="11" t="s">
        <v>12</v>
      </c>
      <c r="AM23" s="13" t="s">
        <v>20</v>
      </c>
      <c r="AN23" s="11" t="s">
        <v>588</v>
      </c>
      <c r="AO23" s="13" t="s">
        <v>588</v>
      </c>
      <c r="AP23" s="11" t="s">
        <v>588</v>
      </c>
      <c r="AQ23" s="13" t="s">
        <v>588</v>
      </c>
      <c r="AR23" s="11" t="s">
        <v>588</v>
      </c>
      <c r="AS23" s="13" t="s">
        <v>588</v>
      </c>
      <c r="AT23" s="11" t="s">
        <v>588</v>
      </c>
      <c r="AU23" s="13" t="s">
        <v>588</v>
      </c>
      <c r="AV23" s="11" t="s">
        <v>588</v>
      </c>
      <c r="AW23" s="13" t="s">
        <v>588</v>
      </c>
      <c r="AX23" s="11" t="s">
        <v>588</v>
      </c>
      <c r="AY23" s="13" t="s">
        <v>588</v>
      </c>
      <c r="AZ23" s="13" t="s">
        <v>588</v>
      </c>
      <c r="BA23" s="13" t="s">
        <v>588</v>
      </c>
      <c r="BB23" s="13" t="s">
        <v>588</v>
      </c>
      <c r="BC23" s="13" t="s">
        <v>588</v>
      </c>
      <c r="BD23" s="13" t="s">
        <v>588</v>
      </c>
      <c r="BE23" s="13" t="s">
        <v>588</v>
      </c>
      <c r="BF23" s="13" t="s">
        <v>588</v>
      </c>
      <c r="BG23" s="13" t="s">
        <v>588</v>
      </c>
      <c r="BH23" s="13" t="s">
        <v>588</v>
      </c>
      <c r="BI23" s="13" t="s">
        <v>588</v>
      </c>
      <c r="BJ23" s="13" t="s">
        <v>588</v>
      </c>
      <c r="BK23" s="13" t="s">
        <v>588</v>
      </c>
      <c r="BL23" s="13" t="s">
        <v>588</v>
      </c>
      <c r="BM23" s="13" t="s">
        <v>588</v>
      </c>
      <c r="BN23" s="13" t="s">
        <v>588</v>
      </c>
      <c r="BO23" s="13" t="s">
        <v>588</v>
      </c>
      <c r="BP23" s="13" t="s">
        <v>588</v>
      </c>
      <c r="BQ23" s="13" t="s">
        <v>588</v>
      </c>
      <c r="BR23" s="13" t="s">
        <v>588</v>
      </c>
      <c r="BS23" s="11" t="s">
        <v>8</v>
      </c>
      <c r="BT23" s="11" t="s">
        <v>9</v>
      </c>
      <c r="BU23" s="11" t="s">
        <v>9</v>
      </c>
      <c r="BV23" s="13" t="s">
        <v>588</v>
      </c>
      <c r="BW23" s="13" t="s">
        <v>588</v>
      </c>
      <c r="BX23" s="13" t="s">
        <v>588</v>
      </c>
      <c r="BY23" s="13" t="s">
        <v>588</v>
      </c>
      <c r="BZ23" s="13" t="s">
        <v>588</v>
      </c>
    </row>
    <row r="24" spans="1:78" x14ac:dyDescent="0.25">
      <c r="A24" s="11">
        <v>201920</v>
      </c>
      <c r="B24" s="11" t="s">
        <v>60</v>
      </c>
      <c r="C24" s="11" t="s">
        <v>60</v>
      </c>
      <c r="D24" s="11" t="s">
        <v>87</v>
      </c>
      <c r="E24" s="11" t="s">
        <v>16</v>
      </c>
      <c r="F24" s="11">
        <v>2</v>
      </c>
      <c r="G24" s="11" t="s">
        <v>1194</v>
      </c>
      <c r="H24" s="11" t="s">
        <v>1194</v>
      </c>
      <c r="I24" s="13">
        <v>43816</v>
      </c>
      <c r="J24" s="11">
        <v>17</v>
      </c>
      <c r="K24" s="11">
        <v>12</v>
      </c>
      <c r="L24" s="11">
        <v>2019</v>
      </c>
      <c r="M24" s="11" t="s">
        <v>1274</v>
      </c>
      <c r="N24" s="11" t="s">
        <v>7</v>
      </c>
      <c r="O24" s="11" t="s">
        <v>10</v>
      </c>
      <c r="P24" s="23">
        <v>-38.639116000000001</v>
      </c>
      <c r="Q24" s="23">
        <v>145.725594</v>
      </c>
      <c r="R24" s="11" t="s">
        <v>588</v>
      </c>
      <c r="S24" s="11" t="s">
        <v>588</v>
      </c>
      <c r="T24" s="11">
        <v>3</v>
      </c>
      <c r="U24" s="11">
        <v>3</v>
      </c>
      <c r="V24" s="1">
        <v>43818</v>
      </c>
      <c r="W24" t="s">
        <v>223</v>
      </c>
      <c r="X24" s="11">
        <v>8</v>
      </c>
      <c r="Y24" s="11">
        <v>8</v>
      </c>
      <c r="Z24" s="11" t="s">
        <v>41</v>
      </c>
      <c r="AA24" s="13">
        <v>43830</v>
      </c>
      <c r="AB24" s="11">
        <v>31</v>
      </c>
      <c r="AC24" s="11">
        <v>12</v>
      </c>
      <c r="AD24" s="11">
        <v>2019</v>
      </c>
      <c r="AE24" s="13" t="s">
        <v>1258</v>
      </c>
      <c r="AF24" s="11" t="s">
        <v>7</v>
      </c>
      <c r="AG24" s="13">
        <v>43831</v>
      </c>
      <c r="AH24" s="11">
        <v>1</v>
      </c>
      <c r="AI24" s="11">
        <v>1</v>
      </c>
      <c r="AJ24" s="11">
        <v>2020</v>
      </c>
      <c r="AK24" s="13" t="s">
        <v>1251</v>
      </c>
      <c r="AL24" s="11" t="s">
        <v>12</v>
      </c>
      <c r="AM24" s="13" t="s">
        <v>20</v>
      </c>
      <c r="AN24" s="11" t="s">
        <v>8</v>
      </c>
      <c r="AO24" s="11" t="s">
        <v>1195</v>
      </c>
      <c r="AP24" s="11" t="s">
        <v>588</v>
      </c>
      <c r="AQ24" s="13" t="s">
        <v>588</v>
      </c>
      <c r="AR24" s="11" t="s">
        <v>588</v>
      </c>
      <c r="AS24" s="13" t="s">
        <v>588</v>
      </c>
      <c r="AT24" s="11" t="s">
        <v>588</v>
      </c>
      <c r="AU24" s="13" t="s">
        <v>588</v>
      </c>
      <c r="AV24" s="11" t="s">
        <v>588</v>
      </c>
      <c r="AW24" s="13" t="s">
        <v>588</v>
      </c>
      <c r="AX24" s="11" t="s">
        <v>588</v>
      </c>
      <c r="AY24" s="13" t="s">
        <v>588</v>
      </c>
      <c r="AZ24" s="13" t="s">
        <v>588</v>
      </c>
      <c r="BA24" s="13" t="s">
        <v>588</v>
      </c>
      <c r="BB24" s="13" t="s">
        <v>588</v>
      </c>
      <c r="BC24" s="13" t="s">
        <v>588</v>
      </c>
      <c r="BD24" s="13" t="s">
        <v>588</v>
      </c>
      <c r="BE24" s="13" t="s">
        <v>588</v>
      </c>
      <c r="BF24" s="13" t="s">
        <v>588</v>
      </c>
      <c r="BG24" s="13" t="s">
        <v>588</v>
      </c>
      <c r="BH24" s="13" t="s">
        <v>588</v>
      </c>
      <c r="BI24" s="13" t="s">
        <v>588</v>
      </c>
      <c r="BJ24" s="13" t="s">
        <v>588</v>
      </c>
      <c r="BK24" s="13" t="s">
        <v>588</v>
      </c>
      <c r="BL24" s="13" t="s">
        <v>588</v>
      </c>
      <c r="BM24" s="13" t="s">
        <v>588</v>
      </c>
      <c r="BN24" s="13" t="s">
        <v>588</v>
      </c>
      <c r="BO24" s="13" t="s">
        <v>588</v>
      </c>
      <c r="BP24" s="13" t="s">
        <v>588</v>
      </c>
      <c r="BQ24" s="13" t="s">
        <v>588</v>
      </c>
      <c r="BR24" s="13" t="s">
        <v>588</v>
      </c>
      <c r="BS24" s="11" t="s">
        <v>8</v>
      </c>
      <c r="BT24" s="11" t="s">
        <v>96</v>
      </c>
      <c r="BU24" s="11" t="s">
        <v>96</v>
      </c>
      <c r="BV24" s="13" t="s">
        <v>588</v>
      </c>
      <c r="BW24" s="13" t="s">
        <v>588</v>
      </c>
      <c r="BX24" s="13" t="s">
        <v>588</v>
      </c>
      <c r="BY24" s="13" t="s">
        <v>1196</v>
      </c>
      <c r="BZ24" s="13" t="s">
        <v>588</v>
      </c>
    </row>
    <row r="25" spans="1:78" x14ac:dyDescent="0.25">
      <c r="A25" s="11">
        <v>201920</v>
      </c>
      <c r="B25" s="11" t="s">
        <v>33</v>
      </c>
      <c r="C25" s="11" t="s">
        <v>33</v>
      </c>
      <c r="D25" s="11" t="s">
        <v>50</v>
      </c>
      <c r="E25" s="11" t="s">
        <v>16</v>
      </c>
      <c r="F25" s="11">
        <v>1</v>
      </c>
      <c r="G25" s="11" t="s">
        <v>1197</v>
      </c>
      <c r="H25" s="11" t="s">
        <v>1197</v>
      </c>
      <c r="I25" s="13">
        <v>43799</v>
      </c>
      <c r="J25" s="11">
        <v>30</v>
      </c>
      <c r="K25" s="11">
        <v>11</v>
      </c>
      <c r="L25" s="11">
        <v>2019</v>
      </c>
      <c r="M25" s="11" t="s">
        <v>1290</v>
      </c>
      <c r="N25" s="11" t="s">
        <v>17</v>
      </c>
      <c r="O25" s="11" t="s">
        <v>19</v>
      </c>
      <c r="P25" s="23">
        <v>-38.635300000000001</v>
      </c>
      <c r="Q25" s="23">
        <v>145.746002</v>
      </c>
      <c r="R25" s="11" t="s">
        <v>588</v>
      </c>
      <c r="S25" s="11" t="s">
        <v>588</v>
      </c>
      <c r="T25" s="11">
        <v>3</v>
      </c>
      <c r="U25" s="11">
        <v>3</v>
      </c>
      <c r="V25" t="s">
        <v>588</v>
      </c>
      <c r="W25" t="s">
        <v>588</v>
      </c>
      <c r="X25" s="11">
        <v>13</v>
      </c>
      <c r="Y25" s="11">
        <v>11</v>
      </c>
      <c r="Z25" s="11" t="s">
        <v>41</v>
      </c>
      <c r="AA25" s="13">
        <v>43814</v>
      </c>
      <c r="AB25" s="11">
        <v>15</v>
      </c>
      <c r="AC25" s="11">
        <v>12</v>
      </c>
      <c r="AD25" s="11">
        <v>2019</v>
      </c>
      <c r="AE25" s="13" t="s">
        <v>1239</v>
      </c>
      <c r="AF25" s="11" t="s">
        <v>7</v>
      </c>
      <c r="AG25" s="13">
        <v>43817</v>
      </c>
      <c r="AH25" s="11">
        <v>18</v>
      </c>
      <c r="AI25" s="11">
        <v>12</v>
      </c>
      <c r="AJ25" s="11">
        <v>2019</v>
      </c>
      <c r="AK25" s="13" t="s">
        <v>1252</v>
      </c>
      <c r="AL25" s="11" t="s">
        <v>7</v>
      </c>
      <c r="AM25" s="13" t="s">
        <v>20</v>
      </c>
      <c r="AN25" s="11" t="s">
        <v>41</v>
      </c>
      <c r="AO25" s="13" t="s">
        <v>41</v>
      </c>
      <c r="AP25" s="11" t="s">
        <v>588</v>
      </c>
      <c r="AQ25" s="13" t="s">
        <v>588</v>
      </c>
      <c r="AR25" s="11" t="s">
        <v>588</v>
      </c>
      <c r="AS25" s="13" t="s">
        <v>588</v>
      </c>
      <c r="AT25" s="11" t="s">
        <v>588</v>
      </c>
      <c r="AU25" s="13" t="s">
        <v>588</v>
      </c>
      <c r="AV25" s="11" t="s">
        <v>588</v>
      </c>
      <c r="AW25" s="13" t="s">
        <v>588</v>
      </c>
      <c r="AX25" s="11" t="s">
        <v>588</v>
      </c>
      <c r="AY25" s="13" t="s">
        <v>588</v>
      </c>
      <c r="AZ25" s="13" t="s">
        <v>588</v>
      </c>
      <c r="BA25" s="13" t="s">
        <v>588</v>
      </c>
      <c r="BB25" s="13" t="s">
        <v>588</v>
      </c>
      <c r="BC25" s="13" t="s">
        <v>588</v>
      </c>
      <c r="BD25" s="13" t="s">
        <v>588</v>
      </c>
      <c r="BE25" s="13" t="s">
        <v>588</v>
      </c>
      <c r="BF25" s="13" t="s">
        <v>588</v>
      </c>
      <c r="BG25" s="13" t="s">
        <v>588</v>
      </c>
      <c r="BH25" s="13" t="s">
        <v>588</v>
      </c>
      <c r="BI25" s="13" t="s">
        <v>588</v>
      </c>
      <c r="BJ25" s="13" t="s">
        <v>588</v>
      </c>
      <c r="BK25" s="13" t="s">
        <v>588</v>
      </c>
      <c r="BL25" s="13" t="s">
        <v>588</v>
      </c>
      <c r="BM25" s="13" t="s">
        <v>588</v>
      </c>
      <c r="BN25" s="13" t="s">
        <v>588</v>
      </c>
      <c r="BO25" s="13" t="s">
        <v>588</v>
      </c>
      <c r="BP25" s="13" t="s">
        <v>588</v>
      </c>
      <c r="BQ25" s="13" t="s">
        <v>588</v>
      </c>
      <c r="BR25" s="13" t="s">
        <v>588</v>
      </c>
      <c r="BS25" s="11" t="s">
        <v>8</v>
      </c>
      <c r="BT25" s="11" t="s">
        <v>9</v>
      </c>
      <c r="BU25" s="11" t="s">
        <v>9</v>
      </c>
      <c r="BV25" s="13" t="s">
        <v>588</v>
      </c>
      <c r="BW25" s="13" t="s">
        <v>588</v>
      </c>
      <c r="BX25" s="13" t="s">
        <v>588</v>
      </c>
      <c r="BY25" s="13" t="s">
        <v>588</v>
      </c>
      <c r="BZ25" s="13" t="s">
        <v>588</v>
      </c>
    </row>
    <row r="26" spans="1:78" x14ac:dyDescent="0.25">
      <c r="A26" s="11">
        <v>201920</v>
      </c>
      <c r="B26" s="11" t="s">
        <v>33</v>
      </c>
      <c r="C26" s="11" t="s">
        <v>33</v>
      </c>
      <c r="D26" s="11" t="s">
        <v>50</v>
      </c>
      <c r="E26" s="11" t="s">
        <v>16</v>
      </c>
      <c r="F26" s="11">
        <v>2</v>
      </c>
      <c r="G26" s="11" t="s">
        <v>1198</v>
      </c>
      <c r="H26" s="11" t="s">
        <v>1198</v>
      </c>
      <c r="I26" s="13">
        <v>43836</v>
      </c>
      <c r="J26" s="11">
        <v>6</v>
      </c>
      <c r="K26" s="11">
        <v>1</v>
      </c>
      <c r="L26" s="11">
        <v>2020</v>
      </c>
      <c r="M26" s="11" t="s">
        <v>1291</v>
      </c>
      <c r="N26" s="11" t="s">
        <v>12</v>
      </c>
      <c r="O26" s="11" t="s">
        <v>10</v>
      </c>
      <c r="P26" s="23">
        <v>-38.635350000000003</v>
      </c>
      <c r="Q26" s="23">
        <v>145.74625</v>
      </c>
      <c r="R26" s="11" t="s">
        <v>588</v>
      </c>
      <c r="S26" s="11" t="s">
        <v>588</v>
      </c>
      <c r="T26" s="11">
        <v>2</v>
      </c>
      <c r="U26" s="11">
        <v>3</v>
      </c>
      <c r="V26" t="s">
        <v>588</v>
      </c>
      <c r="W26" t="s">
        <v>588</v>
      </c>
      <c r="X26" s="11">
        <v>6</v>
      </c>
      <c r="Y26" s="11">
        <v>5</v>
      </c>
      <c r="Z26" s="11" t="s">
        <v>41</v>
      </c>
      <c r="AA26" s="13">
        <v>43844</v>
      </c>
      <c r="AB26" s="11">
        <v>14</v>
      </c>
      <c r="AC26" s="11">
        <v>1</v>
      </c>
      <c r="AD26" s="11">
        <v>2020</v>
      </c>
      <c r="AE26" s="13" t="s">
        <v>1282</v>
      </c>
      <c r="AF26" s="11" t="s">
        <v>12</v>
      </c>
      <c r="AG26" s="13">
        <v>43846</v>
      </c>
      <c r="AH26" s="11">
        <v>16</v>
      </c>
      <c r="AI26" s="11">
        <v>1</v>
      </c>
      <c r="AJ26" s="11">
        <v>2020</v>
      </c>
      <c r="AK26" s="13" t="s">
        <v>1253</v>
      </c>
      <c r="AL26" s="11" t="s">
        <v>12</v>
      </c>
      <c r="AM26" s="11" t="s">
        <v>11</v>
      </c>
      <c r="AN26" s="11" t="s">
        <v>8</v>
      </c>
      <c r="AO26" s="13" t="s">
        <v>41</v>
      </c>
      <c r="AP26" s="11" t="s">
        <v>588</v>
      </c>
      <c r="AQ26" s="13" t="s">
        <v>588</v>
      </c>
      <c r="AR26" s="11" t="s">
        <v>588</v>
      </c>
      <c r="AS26" s="13" t="s">
        <v>588</v>
      </c>
      <c r="AT26" s="11" t="s">
        <v>588</v>
      </c>
      <c r="AU26" s="13" t="s">
        <v>588</v>
      </c>
      <c r="AV26" s="11" t="s">
        <v>588</v>
      </c>
      <c r="AW26" s="13" t="s">
        <v>588</v>
      </c>
      <c r="AX26" s="11" t="s">
        <v>588</v>
      </c>
      <c r="AY26" s="13" t="s">
        <v>588</v>
      </c>
      <c r="AZ26" s="13" t="s">
        <v>588</v>
      </c>
      <c r="BA26" s="13" t="s">
        <v>588</v>
      </c>
      <c r="BB26" s="13" t="s">
        <v>588</v>
      </c>
      <c r="BC26" s="13" t="s">
        <v>588</v>
      </c>
      <c r="BD26" s="13" t="s">
        <v>588</v>
      </c>
      <c r="BE26" s="13" t="s">
        <v>588</v>
      </c>
      <c r="BF26" s="13" t="s">
        <v>588</v>
      </c>
      <c r="BG26" s="13" t="s">
        <v>588</v>
      </c>
      <c r="BH26" s="13" t="s">
        <v>588</v>
      </c>
      <c r="BI26" s="13" t="s">
        <v>588</v>
      </c>
      <c r="BJ26" s="13" t="s">
        <v>588</v>
      </c>
      <c r="BK26" s="13" t="s">
        <v>588</v>
      </c>
      <c r="BL26" s="13" t="s">
        <v>588</v>
      </c>
      <c r="BM26" s="13" t="s">
        <v>588</v>
      </c>
      <c r="BN26" s="13" t="s">
        <v>588</v>
      </c>
      <c r="BO26" s="13" t="s">
        <v>588</v>
      </c>
      <c r="BP26" s="13" t="s">
        <v>588</v>
      </c>
      <c r="BQ26" s="13" t="s">
        <v>588</v>
      </c>
      <c r="BR26" s="13" t="s">
        <v>588</v>
      </c>
      <c r="BS26" s="11" t="s">
        <v>8</v>
      </c>
      <c r="BT26" s="11" t="s">
        <v>9</v>
      </c>
      <c r="BU26" s="11" t="s">
        <v>9</v>
      </c>
      <c r="BV26" s="13" t="s">
        <v>588</v>
      </c>
      <c r="BW26" s="13" t="s">
        <v>588</v>
      </c>
      <c r="BX26" s="13" t="s">
        <v>588</v>
      </c>
      <c r="BY26" s="13" t="s">
        <v>588</v>
      </c>
      <c r="BZ26" s="13" t="s">
        <v>588</v>
      </c>
    </row>
    <row r="27" spans="1:78" x14ac:dyDescent="0.25">
      <c r="A27" s="11">
        <v>201920</v>
      </c>
      <c r="B27" s="11" t="s">
        <v>308</v>
      </c>
      <c r="C27" s="11" t="s">
        <v>308</v>
      </c>
      <c r="D27" s="11" t="s">
        <v>404</v>
      </c>
      <c r="E27" s="11" t="s">
        <v>405</v>
      </c>
      <c r="F27" s="11">
        <v>1</v>
      </c>
      <c r="G27" s="11" t="s">
        <v>1199</v>
      </c>
      <c r="H27" s="11" t="s">
        <v>1199</v>
      </c>
      <c r="I27" s="13">
        <v>43831</v>
      </c>
      <c r="J27" s="11">
        <v>1</v>
      </c>
      <c r="K27" s="11">
        <v>1</v>
      </c>
      <c r="L27" s="11">
        <v>2020</v>
      </c>
      <c r="M27" s="11" t="s">
        <v>1251</v>
      </c>
      <c r="N27" s="11" t="s">
        <v>12</v>
      </c>
      <c r="O27" s="11" t="s">
        <v>19</v>
      </c>
      <c r="P27" s="23">
        <v>-38.582717000000002</v>
      </c>
      <c r="Q27" s="23">
        <v>145.51174700000001</v>
      </c>
      <c r="R27" s="11" t="s">
        <v>588</v>
      </c>
      <c r="S27" s="11" t="s">
        <v>588</v>
      </c>
      <c r="T27" s="11">
        <v>3</v>
      </c>
      <c r="U27" s="11">
        <v>3</v>
      </c>
      <c r="V27" t="s">
        <v>588</v>
      </c>
      <c r="W27" t="s">
        <v>588</v>
      </c>
      <c r="X27" s="11">
        <v>4</v>
      </c>
      <c r="Y27" s="11">
        <v>4</v>
      </c>
      <c r="Z27" s="11" t="s">
        <v>41</v>
      </c>
      <c r="AA27" s="13">
        <v>43843</v>
      </c>
      <c r="AB27" s="11">
        <v>13</v>
      </c>
      <c r="AC27" s="11">
        <v>1</v>
      </c>
      <c r="AD27" s="11">
        <v>2020</v>
      </c>
      <c r="AE27" s="13" t="s">
        <v>1285</v>
      </c>
      <c r="AF27" s="11" t="s">
        <v>12</v>
      </c>
      <c r="AG27" s="13">
        <v>43854</v>
      </c>
      <c r="AH27" s="11">
        <v>24</v>
      </c>
      <c r="AI27" s="11">
        <v>1</v>
      </c>
      <c r="AJ27" s="11">
        <v>2020</v>
      </c>
      <c r="AK27" s="13" t="s">
        <v>1254</v>
      </c>
      <c r="AL27" s="11" t="s">
        <v>12</v>
      </c>
      <c r="AM27" s="13" t="s">
        <v>20</v>
      </c>
      <c r="AN27" s="11" t="s">
        <v>41</v>
      </c>
      <c r="AO27" s="13" t="s">
        <v>41</v>
      </c>
      <c r="AP27" s="11" t="s">
        <v>588</v>
      </c>
      <c r="AQ27" s="13" t="s">
        <v>588</v>
      </c>
      <c r="AR27" s="11" t="s">
        <v>588</v>
      </c>
      <c r="AS27" s="13" t="s">
        <v>588</v>
      </c>
      <c r="AT27" s="11" t="s">
        <v>588</v>
      </c>
      <c r="AU27" s="13" t="s">
        <v>588</v>
      </c>
      <c r="AV27" s="11" t="s">
        <v>588</v>
      </c>
      <c r="AW27" s="13" t="s">
        <v>588</v>
      </c>
      <c r="AX27" s="11" t="s">
        <v>588</v>
      </c>
      <c r="AY27" s="13" t="s">
        <v>588</v>
      </c>
      <c r="AZ27" s="13" t="s">
        <v>588</v>
      </c>
      <c r="BA27" s="13" t="s">
        <v>588</v>
      </c>
      <c r="BB27" s="13" t="s">
        <v>588</v>
      </c>
      <c r="BC27" s="13" t="s">
        <v>588</v>
      </c>
      <c r="BD27" s="13" t="s">
        <v>588</v>
      </c>
      <c r="BE27" s="13" t="s">
        <v>588</v>
      </c>
      <c r="BF27" s="13" t="s">
        <v>588</v>
      </c>
      <c r="BG27" s="13" t="s">
        <v>588</v>
      </c>
      <c r="BH27" s="13" t="s">
        <v>588</v>
      </c>
      <c r="BI27" s="13" t="s">
        <v>588</v>
      </c>
      <c r="BJ27" s="13" t="s">
        <v>588</v>
      </c>
      <c r="BK27" s="13" t="s">
        <v>588</v>
      </c>
      <c r="BL27" s="13" t="s">
        <v>588</v>
      </c>
      <c r="BM27" s="13" t="s">
        <v>588</v>
      </c>
      <c r="BN27" s="13" t="s">
        <v>588</v>
      </c>
      <c r="BO27" s="13" t="s">
        <v>588</v>
      </c>
      <c r="BP27" s="13" t="s">
        <v>588</v>
      </c>
      <c r="BQ27" s="13" t="s">
        <v>588</v>
      </c>
      <c r="BR27" s="13" t="s">
        <v>588</v>
      </c>
      <c r="BS27" s="11" t="s">
        <v>8</v>
      </c>
      <c r="BT27" s="11" t="s">
        <v>13</v>
      </c>
      <c r="BU27" s="11" t="s">
        <v>13</v>
      </c>
      <c r="BV27" s="13" t="s">
        <v>588</v>
      </c>
      <c r="BW27" s="13" t="s">
        <v>588</v>
      </c>
      <c r="BX27" s="13" t="s">
        <v>588</v>
      </c>
      <c r="BY27" s="13" t="s">
        <v>588</v>
      </c>
      <c r="BZ27" s="13" t="s">
        <v>588</v>
      </c>
    </row>
    <row r="28" spans="1:78" x14ac:dyDescent="0.25">
      <c r="A28" s="11">
        <v>201920</v>
      </c>
      <c r="B28" s="11" t="s">
        <v>553</v>
      </c>
      <c r="C28" s="11" t="s">
        <v>553</v>
      </c>
      <c r="D28" s="11" t="s">
        <v>482</v>
      </c>
      <c r="E28" s="11" t="s">
        <v>16</v>
      </c>
      <c r="F28" s="11">
        <v>1</v>
      </c>
      <c r="G28" s="11" t="s">
        <v>1200</v>
      </c>
      <c r="H28" s="11" t="s">
        <v>1200</v>
      </c>
      <c r="I28" s="13">
        <v>43839</v>
      </c>
      <c r="J28" s="11">
        <v>9</v>
      </c>
      <c r="K28" s="11">
        <v>1</v>
      </c>
      <c r="L28" s="11">
        <v>2020</v>
      </c>
      <c r="M28" s="11" t="s">
        <v>1279</v>
      </c>
      <c r="N28" s="11" t="s">
        <v>12</v>
      </c>
      <c r="O28" s="11" t="s">
        <v>10</v>
      </c>
      <c r="P28" s="11" t="s">
        <v>588</v>
      </c>
      <c r="Q28" s="11" t="s">
        <v>588</v>
      </c>
      <c r="R28" s="11" t="s">
        <v>588</v>
      </c>
      <c r="S28" s="11" t="s">
        <v>588</v>
      </c>
      <c r="T28" s="11">
        <v>2</v>
      </c>
      <c r="U28" s="11">
        <v>2</v>
      </c>
      <c r="V28" t="s">
        <v>588</v>
      </c>
      <c r="W28" t="s">
        <v>588</v>
      </c>
      <c r="X28" s="11">
        <v>2</v>
      </c>
      <c r="Y28" s="11">
        <v>2</v>
      </c>
      <c r="Z28" s="11" t="s">
        <v>41</v>
      </c>
      <c r="AA28" s="13">
        <v>43843</v>
      </c>
      <c r="AB28" s="11">
        <v>13</v>
      </c>
      <c r="AC28" s="11">
        <v>1</v>
      </c>
      <c r="AD28" s="11">
        <v>2020</v>
      </c>
      <c r="AE28" s="13" t="s">
        <v>1285</v>
      </c>
      <c r="AF28" s="11" t="s">
        <v>12</v>
      </c>
      <c r="AG28" s="13">
        <v>43854</v>
      </c>
      <c r="AH28" s="11">
        <v>24</v>
      </c>
      <c r="AI28" s="11">
        <v>1</v>
      </c>
      <c r="AJ28" s="11">
        <v>2020</v>
      </c>
      <c r="AK28" s="13" t="s">
        <v>1254</v>
      </c>
      <c r="AL28" s="11" t="s">
        <v>12</v>
      </c>
      <c r="AM28" s="13" t="s">
        <v>20</v>
      </c>
      <c r="AN28" s="11" t="s">
        <v>8</v>
      </c>
      <c r="AO28" s="11" t="s">
        <v>1059</v>
      </c>
      <c r="AP28" s="11" t="s">
        <v>588</v>
      </c>
      <c r="AQ28" s="13" t="s">
        <v>588</v>
      </c>
      <c r="AR28" s="11" t="s">
        <v>588</v>
      </c>
      <c r="AS28" s="13" t="s">
        <v>588</v>
      </c>
      <c r="AT28" s="11" t="s">
        <v>588</v>
      </c>
      <c r="AU28" s="13" t="s">
        <v>588</v>
      </c>
      <c r="AV28" s="11" t="s">
        <v>588</v>
      </c>
      <c r="AW28" s="13" t="s">
        <v>588</v>
      </c>
      <c r="AX28" s="11" t="s">
        <v>588</v>
      </c>
      <c r="AY28" s="13" t="s">
        <v>588</v>
      </c>
      <c r="AZ28" s="13" t="s">
        <v>588</v>
      </c>
      <c r="BA28" s="13" t="s">
        <v>588</v>
      </c>
      <c r="BB28" s="13" t="s">
        <v>588</v>
      </c>
      <c r="BC28" s="13" t="s">
        <v>588</v>
      </c>
      <c r="BD28" s="13" t="s">
        <v>588</v>
      </c>
      <c r="BE28" s="13" t="s">
        <v>588</v>
      </c>
      <c r="BF28" s="13" t="s">
        <v>588</v>
      </c>
      <c r="BG28" s="13" t="s">
        <v>588</v>
      </c>
      <c r="BH28" s="13" t="s">
        <v>588</v>
      </c>
      <c r="BI28" s="13" t="s">
        <v>588</v>
      </c>
      <c r="BJ28" s="13" t="s">
        <v>588</v>
      </c>
      <c r="BK28" s="13" t="s">
        <v>588</v>
      </c>
      <c r="BL28" s="13" t="s">
        <v>588</v>
      </c>
      <c r="BM28" s="13" t="s">
        <v>588</v>
      </c>
      <c r="BN28" s="13" t="s">
        <v>588</v>
      </c>
      <c r="BO28" s="13" t="s">
        <v>588</v>
      </c>
      <c r="BP28" s="13" t="s">
        <v>588</v>
      </c>
      <c r="BQ28" s="13" t="s">
        <v>588</v>
      </c>
      <c r="BR28" s="13" t="s">
        <v>588</v>
      </c>
      <c r="BS28" s="11" t="s">
        <v>41</v>
      </c>
      <c r="BT28" s="11" t="s">
        <v>42</v>
      </c>
      <c r="BU28" s="11" t="s">
        <v>42</v>
      </c>
      <c r="BV28" s="13" t="s">
        <v>588</v>
      </c>
      <c r="BW28" s="13" t="s">
        <v>588</v>
      </c>
      <c r="BX28" s="13" t="s">
        <v>588</v>
      </c>
      <c r="BY28" s="13" t="s">
        <v>588</v>
      </c>
      <c r="BZ28" s="13" t="s">
        <v>588</v>
      </c>
    </row>
    <row r="29" spans="1:78" x14ac:dyDescent="0.25">
      <c r="A29" s="11">
        <v>201920</v>
      </c>
      <c r="B29" s="11" t="s">
        <v>553</v>
      </c>
      <c r="C29" s="11" t="s">
        <v>553</v>
      </c>
      <c r="D29" s="11" t="s">
        <v>482</v>
      </c>
      <c r="E29" s="11" t="s">
        <v>16</v>
      </c>
      <c r="F29" s="11">
        <v>2</v>
      </c>
      <c r="G29" s="11" t="s">
        <v>1201</v>
      </c>
      <c r="H29" s="11" t="s">
        <v>1201</v>
      </c>
      <c r="I29" s="13">
        <v>43867</v>
      </c>
      <c r="J29" s="11">
        <v>6</v>
      </c>
      <c r="K29" s="11">
        <v>2</v>
      </c>
      <c r="L29" s="11">
        <v>2020</v>
      </c>
      <c r="M29" s="11" t="s">
        <v>1264</v>
      </c>
      <c r="N29" s="11" t="s">
        <v>21</v>
      </c>
      <c r="O29" s="11" t="s">
        <v>10</v>
      </c>
      <c r="P29" s="23">
        <v>-38.57799</v>
      </c>
      <c r="Q29" s="23">
        <v>145.50693200000001</v>
      </c>
      <c r="R29" s="11" t="s">
        <v>588</v>
      </c>
      <c r="S29" s="11" t="s">
        <v>588</v>
      </c>
      <c r="T29" s="11">
        <v>2</v>
      </c>
      <c r="U29" s="11">
        <v>3</v>
      </c>
      <c r="V29" t="s">
        <v>588</v>
      </c>
      <c r="W29" t="s">
        <v>588</v>
      </c>
      <c r="X29" s="11">
        <v>2</v>
      </c>
      <c r="Y29" s="11">
        <v>2</v>
      </c>
      <c r="Z29" s="11" t="s">
        <v>1202</v>
      </c>
      <c r="AA29" s="13">
        <v>43878</v>
      </c>
      <c r="AB29" s="11">
        <v>17</v>
      </c>
      <c r="AC29" s="11">
        <v>2</v>
      </c>
      <c r="AD29" s="11">
        <v>2020</v>
      </c>
      <c r="AE29" s="13" t="s">
        <v>1281</v>
      </c>
      <c r="AF29" s="11" t="s">
        <v>21</v>
      </c>
      <c r="AG29" s="11" t="s">
        <v>588</v>
      </c>
      <c r="AH29" s="11" t="s">
        <v>588</v>
      </c>
      <c r="AI29" s="11" t="s">
        <v>588</v>
      </c>
      <c r="AJ29" s="11" t="s">
        <v>588</v>
      </c>
      <c r="AK29" s="13" t="s">
        <v>588</v>
      </c>
      <c r="AL29" s="11" t="s">
        <v>588</v>
      </c>
      <c r="AM29" s="13" t="s">
        <v>588</v>
      </c>
      <c r="AN29" s="11" t="s">
        <v>588</v>
      </c>
      <c r="AO29" s="13" t="s">
        <v>588</v>
      </c>
      <c r="AP29" s="13" t="s">
        <v>1203</v>
      </c>
      <c r="AQ29" s="13" t="s">
        <v>588</v>
      </c>
      <c r="AR29" s="13" t="s">
        <v>588</v>
      </c>
      <c r="AS29" s="13" t="s">
        <v>588</v>
      </c>
      <c r="AT29" s="13" t="s">
        <v>588</v>
      </c>
      <c r="AU29" s="13" t="s">
        <v>588</v>
      </c>
      <c r="AV29" s="13" t="s">
        <v>588</v>
      </c>
      <c r="AW29" s="13" t="s">
        <v>588</v>
      </c>
      <c r="AX29" s="13" t="s">
        <v>588</v>
      </c>
      <c r="AY29" s="13" t="s">
        <v>588</v>
      </c>
      <c r="AZ29" s="13" t="s">
        <v>588</v>
      </c>
      <c r="BA29" s="13" t="s">
        <v>588</v>
      </c>
      <c r="BB29" s="13" t="s">
        <v>588</v>
      </c>
      <c r="BC29" s="13" t="s">
        <v>588</v>
      </c>
      <c r="BD29" s="13" t="s">
        <v>588</v>
      </c>
      <c r="BE29" s="13" t="s">
        <v>588</v>
      </c>
      <c r="BF29" s="13" t="s">
        <v>588</v>
      </c>
      <c r="BG29" s="13" t="s">
        <v>588</v>
      </c>
      <c r="BH29" s="13" t="s">
        <v>588</v>
      </c>
      <c r="BI29" s="13" t="s">
        <v>588</v>
      </c>
      <c r="BJ29" s="13" t="s">
        <v>588</v>
      </c>
      <c r="BK29" s="13" t="s">
        <v>588</v>
      </c>
      <c r="BL29" s="13" t="s">
        <v>588</v>
      </c>
      <c r="BM29" s="13" t="s">
        <v>588</v>
      </c>
      <c r="BN29" s="13" t="s">
        <v>588</v>
      </c>
      <c r="BO29" s="13" t="s">
        <v>588</v>
      </c>
      <c r="BP29" s="13" t="s">
        <v>588</v>
      </c>
      <c r="BQ29" s="13" t="s">
        <v>588</v>
      </c>
      <c r="BR29" s="13" t="s">
        <v>588</v>
      </c>
      <c r="BS29" s="11" t="s">
        <v>8</v>
      </c>
      <c r="BT29" s="11" t="s">
        <v>18</v>
      </c>
      <c r="BU29" s="11" t="s">
        <v>18</v>
      </c>
      <c r="BV29" s="13" t="s">
        <v>41</v>
      </c>
      <c r="BW29" s="13" t="s">
        <v>42</v>
      </c>
      <c r="BX29" s="13" t="s">
        <v>42</v>
      </c>
      <c r="BY29" s="13" t="s">
        <v>588</v>
      </c>
      <c r="BZ29" s="13" t="s">
        <v>588</v>
      </c>
    </row>
    <row r="30" spans="1:78" x14ac:dyDescent="0.25">
      <c r="A30" s="11">
        <v>201920</v>
      </c>
      <c r="B30" s="11" t="s">
        <v>320</v>
      </c>
      <c r="C30" s="11" t="s">
        <v>320</v>
      </c>
      <c r="D30" s="11" t="s">
        <v>321</v>
      </c>
      <c r="E30" s="11" t="s">
        <v>16</v>
      </c>
      <c r="F30" s="11">
        <v>1</v>
      </c>
      <c r="G30" s="11" t="s">
        <v>1204</v>
      </c>
      <c r="H30" s="11" t="s">
        <v>1204</v>
      </c>
      <c r="I30" s="13">
        <v>43815</v>
      </c>
      <c r="J30" s="11">
        <v>16</v>
      </c>
      <c r="K30" s="11">
        <v>12</v>
      </c>
      <c r="L30" s="11">
        <v>2019</v>
      </c>
      <c r="M30" s="11" t="s">
        <v>1284</v>
      </c>
      <c r="N30" s="11" t="s">
        <v>7</v>
      </c>
      <c r="O30" s="11" t="s">
        <v>51</v>
      </c>
      <c r="P30" s="23">
        <v>-38.569941999999998</v>
      </c>
      <c r="Q30" s="23">
        <v>145.49991700000001</v>
      </c>
      <c r="R30" s="11" t="s">
        <v>588</v>
      </c>
      <c r="S30" s="11" t="s">
        <v>588</v>
      </c>
      <c r="T30" s="11">
        <v>3</v>
      </c>
      <c r="U30" s="11">
        <v>3</v>
      </c>
      <c r="V30" t="s">
        <v>588</v>
      </c>
      <c r="W30" t="s">
        <v>588</v>
      </c>
      <c r="X30" s="11">
        <v>2</v>
      </c>
      <c r="Y30" s="11">
        <v>2</v>
      </c>
      <c r="Z30" s="11" t="s">
        <v>8</v>
      </c>
      <c r="AA30" s="13">
        <v>43817</v>
      </c>
      <c r="AB30" s="11">
        <v>18</v>
      </c>
      <c r="AC30" s="11">
        <v>12</v>
      </c>
      <c r="AD30" s="11">
        <v>2019</v>
      </c>
      <c r="AE30" s="13" t="s">
        <v>1252</v>
      </c>
      <c r="AF30" s="11" t="s">
        <v>7</v>
      </c>
      <c r="AG30" s="11" t="s">
        <v>588</v>
      </c>
      <c r="AH30" s="11" t="s">
        <v>588</v>
      </c>
      <c r="AI30" s="11" t="s">
        <v>588</v>
      </c>
      <c r="AJ30" s="11" t="s">
        <v>588</v>
      </c>
      <c r="AK30" s="13" t="s">
        <v>588</v>
      </c>
      <c r="AL30" s="11" t="s">
        <v>588</v>
      </c>
      <c r="AM30" s="13" t="s">
        <v>588</v>
      </c>
      <c r="AN30" s="11" t="s">
        <v>588</v>
      </c>
      <c r="AO30" s="13" t="s">
        <v>588</v>
      </c>
      <c r="AP30" s="13">
        <v>43839</v>
      </c>
      <c r="AQ30" s="13" t="s">
        <v>12</v>
      </c>
      <c r="AR30" s="11" t="s">
        <v>199</v>
      </c>
      <c r="AS30" s="11">
        <v>1</v>
      </c>
      <c r="AT30" s="11">
        <v>3</v>
      </c>
      <c r="AU30" s="13" t="s">
        <v>588</v>
      </c>
      <c r="AV30" s="11" t="s">
        <v>588</v>
      </c>
      <c r="AW30" s="13" t="s">
        <v>588</v>
      </c>
      <c r="AX30" s="11" t="s">
        <v>588</v>
      </c>
      <c r="AY30" s="13" t="s">
        <v>588</v>
      </c>
      <c r="AZ30" s="13" t="s">
        <v>588</v>
      </c>
      <c r="BA30" s="13" t="s">
        <v>588</v>
      </c>
      <c r="BB30" s="13" t="s">
        <v>588</v>
      </c>
      <c r="BC30" s="13" t="s">
        <v>588</v>
      </c>
      <c r="BD30" s="13" t="s">
        <v>588</v>
      </c>
      <c r="BE30" s="13" t="s">
        <v>588</v>
      </c>
      <c r="BF30" s="13" t="s">
        <v>588</v>
      </c>
      <c r="BG30" s="13" t="s">
        <v>588</v>
      </c>
      <c r="BH30" s="13" t="s">
        <v>588</v>
      </c>
      <c r="BI30" s="13" t="s">
        <v>588</v>
      </c>
      <c r="BJ30" s="13" t="s">
        <v>588</v>
      </c>
      <c r="BK30" s="13" t="s">
        <v>588</v>
      </c>
      <c r="BL30" s="13" t="s">
        <v>588</v>
      </c>
      <c r="BM30" s="11">
        <v>3</v>
      </c>
      <c r="BN30" s="11">
        <v>3</v>
      </c>
      <c r="BO30" s="13" t="s">
        <v>8</v>
      </c>
      <c r="BP30" s="11">
        <v>1</v>
      </c>
      <c r="BQ30" s="13">
        <v>43854</v>
      </c>
      <c r="BR30" s="13" t="s">
        <v>12</v>
      </c>
      <c r="BS30" s="11" t="s">
        <v>41</v>
      </c>
      <c r="BT30" s="11" t="s">
        <v>42</v>
      </c>
      <c r="BU30" s="11" t="s">
        <v>42</v>
      </c>
      <c r="BV30" s="13" t="s">
        <v>41</v>
      </c>
      <c r="BW30" s="13" t="s">
        <v>42</v>
      </c>
      <c r="BX30" s="13" t="s">
        <v>42</v>
      </c>
      <c r="BY30" s="13" t="s">
        <v>588</v>
      </c>
      <c r="BZ30" s="13" t="s">
        <v>588</v>
      </c>
    </row>
    <row r="31" spans="1:78" x14ac:dyDescent="0.25">
      <c r="A31" s="11">
        <v>201920</v>
      </c>
      <c r="B31" s="11" t="s">
        <v>320</v>
      </c>
      <c r="C31" s="11" t="s">
        <v>320</v>
      </c>
      <c r="D31" s="11" t="s">
        <v>321</v>
      </c>
      <c r="E31" s="11" t="s">
        <v>16</v>
      </c>
      <c r="F31" s="11">
        <v>2</v>
      </c>
      <c r="G31" s="11" t="s">
        <v>1205</v>
      </c>
      <c r="H31" s="11" t="s">
        <v>1205</v>
      </c>
      <c r="I31" s="13">
        <v>43867</v>
      </c>
      <c r="J31" s="11">
        <v>6</v>
      </c>
      <c r="K31" s="11">
        <v>2</v>
      </c>
      <c r="L31" s="11">
        <v>2020</v>
      </c>
      <c r="M31" s="11" t="s">
        <v>1264</v>
      </c>
      <c r="N31" s="11" t="s">
        <v>21</v>
      </c>
      <c r="O31" s="11" t="s">
        <v>10</v>
      </c>
      <c r="P31" s="23">
        <v>-38.570076</v>
      </c>
      <c r="Q31" s="23">
        <v>145.49968000000001</v>
      </c>
      <c r="R31" s="11" t="s">
        <v>588</v>
      </c>
      <c r="S31" s="11" t="s">
        <v>588</v>
      </c>
      <c r="T31" s="11">
        <v>3</v>
      </c>
      <c r="U31" s="11">
        <v>3</v>
      </c>
      <c r="V31" s="1">
        <v>43871</v>
      </c>
      <c r="W31" t="s">
        <v>223</v>
      </c>
      <c r="X31" s="11">
        <v>2</v>
      </c>
      <c r="Y31" s="11">
        <v>2</v>
      </c>
      <c r="Z31" s="11" t="s">
        <v>41</v>
      </c>
      <c r="AA31" s="13">
        <v>43878</v>
      </c>
      <c r="AB31" s="11">
        <v>17</v>
      </c>
      <c r="AC31" s="11">
        <v>2</v>
      </c>
      <c r="AD31" s="11">
        <v>2020</v>
      </c>
      <c r="AE31" s="13" t="s">
        <v>1281</v>
      </c>
      <c r="AF31" s="11" t="s">
        <v>21</v>
      </c>
      <c r="AG31" s="13">
        <v>43888</v>
      </c>
      <c r="AH31" s="11">
        <v>27</v>
      </c>
      <c r="AI31" s="11">
        <v>2</v>
      </c>
      <c r="AJ31" s="11">
        <v>2020</v>
      </c>
      <c r="AK31" s="13" t="s">
        <v>1255</v>
      </c>
      <c r="AL31" s="11" t="s">
        <v>1172</v>
      </c>
      <c r="AM31" s="13" t="s">
        <v>20</v>
      </c>
      <c r="AN31" s="11" t="s">
        <v>8</v>
      </c>
      <c r="AO31" s="11" t="s">
        <v>48</v>
      </c>
      <c r="AP31" s="11" t="s">
        <v>588</v>
      </c>
      <c r="AQ31" s="13" t="s">
        <v>588</v>
      </c>
      <c r="AR31" s="11" t="s">
        <v>588</v>
      </c>
      <c r="AS31" s="13" t="s">
        <v>588</v>
      </c>
      <c r="AT31" s="11" t="s">
        <v>588</v>
      </c>
      <c r="AU31" s="13" t="s">
        <v>588</v>
      </c>
      <c r="AV31" s="11" t="s">
        <v>588</v>
      </c>
      <c r="AW31" s="13" t="s">
        <v>588</v>
      </c>
      <c r="AX31" s="11" t="s">
        <v>588</v>
      </c>
      <c r="AY31" s="13" t="s">
        <v>588</v>
      </c>
      <c r="AZ31" s="13" t="s">
        <v>588</v>
      </c>
      <c r="BA31" s="13" t="s">
        <v>588</v>
      </c>
      <c r="BB31" s="13" t="s">
        <v>588</v>
      </c>
      <c r="BC31" s="13" t="s">
        <v>588</v>
      </c>
      <c r="BD31" s="13" t="s">
        <v>588</v>
      </c>
      <c r="BE31" s="13" t="s">
        <v>588</v>
      </c>
      <c r="BF31" s="13" t="s">
        <v>588</v>
      </c>
      <c r="BG31" s="13" t="s">
        <v>588</v>
      </c>
      <c r="BH31" s="13" t="s">
        <v>588</v>
      </c>
      <c r="BI31" s="13" t="s">
        <v>588</v>
      </c>
      <c r="BJ31" s="13" t="s">
        <v>588</v>
      </c>
      <c r="BK31" s="13" t="s">
        <v>588</v>
      </c>
      <c r="BL31" s="13" t="s">
        <v>588</v>
      </c>
      <c r="BM31" s="13" t="s">
        <v>588</v>
      </c>
      <c r="BN31" s="13" t="s">
        <v>588</v>
      </c>
      <c r="BO31" s="13" t="s">
        <v>588</v>
      </c>
      <c r="BP31" s="13" t="s">
        <v>588</v>
      </c>
      <c r="BQ31" s="13" t="s">
        <v>588</v>
      </c>
      <c r="BR31" s="13" t="s">
        <v>588</v>
      </c>
      <c r="BS31" s="11" t="s">
        <v>8</v>
      </c>
      <c r="BT31" s="11" t="s">
        <v>9</v>
      </c>
      <c r="BU31" s="11" t="s">
        <v>9</v>
      </c>
      <c r="BV31" s="13" t="s">
        <v>588</v>
      </c>
      <c r="BW31" s="13" t="s">
        <v>588</v>
      </c>
      <c r="BX31" s="13" t="s">
        <v>588</v>
      </c>
      <c r="BY31" s="13" t="s">
        <v>588</v>
      </c>
      <c r="BZ31" s="13" t="s">
        <v>588</v>
      </c>
    </row>
    <row r="32" spans="1:78" x14ac:dyDescent="0.25">
      <c r="A32" s="11">
        <v>201920</v>
      </c>
      <c r="B32" s="11" t="s">
        <v>324</v>
      </c>
      <c r="C32" s="11" t="s">
        <v>324</v>
      </c>
      <c r="D32" s="11" t="s">
        <v>326</v>
      </c>
      <c r="E32" s="11" t="s">
        <v>16</v>
      </c>
      <c r="F32" s="11">
        <v>1</v>
      </c>
      <c r="G32" s="11" t="s">
        <v>1206</v>
      </c>
      <c r="H32" s="11" t="s">
        <v>1206</v>
      </c>
      <c r="I32" s="13">
        <v>43815</v>
      </c>
      <c r="J32" s="11">
        <v>16</v>
      </c>
      <c r="K32" s="11">
        <v>12</v>
      </c>
      <c r="L32" s="11">
        <v>2019</v>
      </c>
      <c r="M32" s="11" t="s">
        <v>1284</v>
      </c>
      <c r="N32" s="11" t="s">
        <v>7</v>
      </c>
      <c r="O32" s="11" t="s">
        <v>10</v>
      </c>
      <c r="P32" s="23">
        <v>-38.567174000000001</v>
      </c>
      <c r="Q32" s="23">
        <v>145.49683300000001</v>
      </c>
      <c r="R32" s="11" t="s">
        <v>588</v>
      </c>
      <c r="S32" s="11" t="s">
        <v>588</v>
      </c>
      <c r="T32" s="11">
        <v>2</v>
      </c>
      <c r="U32" s="11">
        <v>3</v>
      </c>
      <c r="V32" t="s">
        <v>588</v>
      </c>
      <c r="W32" t="s">
        <v>588</v>
      </c>
      <c r="X32" s="11">
        <v>2</v>
      </c>
      <c r="Y32" s="11">
        <v>2</v>
      </c>
      <c r="Z32" s="11" t="s">
        <v>41</v>
      </c>
      <c r="AA32" s="13">
        <v>43815</v>
      </c>
      <c r="AB32" s="11">
        <v>16</v>
      </c>
      <c r="AC32" s="11">
        <v>12</v>
      </c>
      <c r="AD32" s="11">
        <v>2019</v>
      </c>
      <c r="AE32" s="13" t="s">
        <v>1284</v>
      </c>
      <c r="AF32" s="11" t="s">
        <v>7</v>
      </c>
      <c r="AG32" s="13">
        <v>43831</v>
      </c>
      <c r="AH32" s="11">
        <v>1</v>
      </c>
      <c r="AI32" s="11">
        <v>1</v>
      </c>
      <c r="AJ32" s="11">
        <v>2020</v>
      </c>
      <c r="AK32" s="13" t="s">
        <v>1251</v>
      </c>
      <c r="AL32" s="11" t="s">
        <v>12</v>
      </c>
      <c r="AM32" s="13" t="s">
        <v>20</v>
      </c>
      <c r="AN32" s="11" t="s">
        <v>41</v>
      </c>
      <c r="AO32" s="13" t="s">
        <v>41</v>
      </c>
      <c r="AP32" s="11" t="s">
        <v>588</v>
      </c>
      <c r="AQ32" s="13" t="s">
        <v>588</v>
      </c>
      <c r="AR32" s="11" t="s">
        <v>588</v>
      </c>
      <c r="AS32" s="13" t="s">
        <v>588</v>
      </c>
      <c r="AT32" s="11" t="s">
        <v>588</v>
      </c>
      <c r="AU32" s="13" t="s">
        <v>588</v>
      </c>
      <c r="AV32" s="11" t="s">
        <v>588</v>
      </c>
      <c r="AW32" s="13" t="s">
        <v>588</v>
      </c>
      <c r="AX32" s="11" t="s">
        <v>588</v>
      </c>
      <c r="AY32" s="13" t="s">
        <v>588</v>
      </c>
      <c r="AZ32" s="13" t="s">
        <v>588</v>
      </c>
      <c r="BA32" s="13" t="s">
        <v>588</v>
      </c>
      <c r="BB32" s="13" t="s">
        <v>588</v>
      </c>
      <c r="BC32" s="13" t="s">
        <v>588</v>
      </c>
      <c r="BD32" s="13" t="s">
        <v>588</v>
      </c>
      <c r="BE32" s="13" t="s">
        <v>588</v>
      </c>
      <c r="BF32" s="13" t="s">
        <v>588</v>
      </c>
      <c r="BG32" s="13" t="s">
        <v>588</v>
      </c>
      <c r="BH32" s="13" t="s">
        <v>588</v>
      </c>
      <c r="BI32" s="13" t="s">
        <v>588</v>
      </c>
      <c r="BJ32" s="13" t="s">
        <v>588</v>
      </c>
      <c r="BK32" s="13" t="s">
        <v>588</v>
      </c>
      <c r="BL32" s="13" t="s">
        <v>588</v>
      </c>
      <c r="BM32" s="13" t="s">
        <v>588</v>
      </c>
      <c r="BN32" s="13" t="s">
        <v>588</v>
      </c>
      <c r="BO32" s="13" t="s">
        <v>588</v>
      </c>
      <c r="BP32" s="13" t="s">
        <v>588</v>
      </c>
      <c r="BQ32" s="13" t="s">
        <v>588</v>
      </c>
      <c r="BR32" s="13" t="s">
        <v>588</v>
      </c>
      <c r="BS32" s="11" t="s">
        <v>8</v>
      </c>
      <c r="BT32" s="11" t="s">
        <v>9</v>
      </c>
      <c r="BU32" s="11" t="s">
        <v>9</v>
      </c>
      <c r="BV32" s="13" t="s">
        <v>588</v>
      </c>
      <c r="BW32" s="13" t="s">
        <v>588</v>
      </c>
      <c r="BX32" s="13" t="s">
        <v>588</v>
      </c>
      <c r="BY32" s="13" t="s">
        <v>588</v>
      </c>
      <c r="BZ32" s="13" t="s">
        <v>588</v>
      </c>
    </row>
    <row r="33" spans="1:78" x14ac:dyDescent="0.25">
      <c r="A33" s="11">
        <v>201920</v>
      </c>
      <c r="B33" s="11" t="s">
        <v>324</v>
      </c>
      <c r="C33" s="11" t="s">
        <v>324</v>
      </c>
      <c r="D33" s="11" t="s">
        <v>326</v>
      </c>
      <c r="E33" s="11" t="s">
        <v>16</v>
      </c>
      <c r="F33" s="11">
        <v>2</v>
      </c>
      <c r="G33" s="11" t="s">
        <v>1207</v>
      </c>
      <c r="H33" s="11" t="s">
        <v>1207</v>
      </c>
      <c r="I33" s="13">
        <v>43831</v>
      </c>
      <c r="J33" s="11">
        <v>1</v>
      </c>
      <c r="K33" s="11">
        <v>1</v>
      </c>
      <c r="L33" s="11">
        <v>2020</v>
      </c>
      <c r="M33" s="11" t="s">
        <v>1251</v>
      </c>
      <c r="N33" s="11" t="s">
        <v>12</v>
      </c>
      <c r="O33" s="11" t="s">
        <v>10</v>
      </c>
      <c r="P33" s="23">
        <v>-38.566581999999997</v>
      </c>
      <c r="Q33" s="23">
        <v>145.496354</v>
      </c>
      <c r="R33" s="11" t="s">
        <v>588</v>
      </c>
      <c r="S33" s="11" t="s">
        <v>588</v>
      </c>
      <c r="T33" s="11">
        <v>3</v>
      </c>
      <c r="U33" s="11">
        <v>3</v>
      </c>
      <c r="V33" t="s">
        <v>588</v>
      </c>
      <c r="W33" t="s">
        <v>588</v>
      </c>
      <c r="X33" s="11">
        <v>4</v>
      </c>
      <c r="Y33" s="11">
        <v>4</v>
      </c>
      <c r="Z33" s="11" t="s">
        <v>8</v>
      </c>
      <c r="AA33" s="13">
        <v>43854</v>
      </c>
      <c r="AB33" s="11">
        <v>24</v>
      </c>
      <c r="AC33" s="11">
        <v>1</v>
      </c>
      <c r="AD33" s="11">
        <v>2020</v>
      </c>
      <c r="AE33" s="13" t="s">
        <v>1254</v>
      </c>
      <c r="AF33" s="11" t="s">
        <v>12</v>
      </c>
      <c r="AG33" s="11" t="s">
        <v>588</v>
      </c>
      <c r="AH33" s="11" t="s">
        <v>588</v>
      </c>
      <c r="AI33" s="11" t="s">
        <v>588</v>
      </c>
      <c r="AJ33" s="11" t="s">
        <v>588</v>
      </c>
      <c r="AK33" s="13" t="s">
        <v>588</v>
      </c>
      <c r="AL33" s="11" t="s">
        <v>588</v>
      </c>
      <c r="AM33" s="13" t="s">
        <v>588</v>
      </c>
      <c r="AN33" s="11" t="s">
        <v>588</v>
      </c>
      <c r="AO33" s="13" t="s">
        <v>588</v>
      </c>
      <c r="AP33" s="13">
        <v>43864</v>
      </c>
      <c r="AQ33" s="13" t="s">
        <v>21</v>
      </c>
      <c r="AR33" s="11" t="s">
        <v>195</v>
      </c>
      <c r="AS33" s="11">
        <v>2</v>
      </c>
      <c r="AT33" s="11">
        <v>3</v>
      </c>
      <c r="AU33" s="13" t="s">
        <v>588</v>
      </c>
      <c r="AV33" s="11" t="s">
        <v>588</v>
      </c>
      <c r="AW33" s="13" t="s">
        <v>588</v>
      </c>
      <c r="AX33" s="11" t="s">
        <v>588</v>
      </c>
      <c r="AY33" s="13" t="s">
        <v>588</v>
      </c>
      <c r="AZ33" s="13" t="s">
        <v>588</v>
      </c>
      <c r="BA33" s="13" t="s">
        <v>588</v>
      </c>
      <c r="BB33" s="13" t="s">
        <v>588</v>
      </c>
      <c r="BC33" s="13" t="s">
        <v>588</v>
      </c>
      <c r="BD33" s="13" t="s">
        <v>588</v>
      </c>
      <c r="BE33" s="13" t="s">
        <v>588</v>
      </c>
      <c r="BF33" s="13" t="s">
        <v>588</v>
      </c>
      <c r="BG33" s="13" t="s">
        <v>588</v>
      </c>
      <c r="BH33" s="13" t="s">
        <v>588</v>
      </c>
      <c r="BI33" s="13" t="s">
        <v>588</v>
      </c>
      <c r="BJ33" s="13" t="s">
        <v>588</v>
      </c>
      <c r="BK33" s="13" t="s">
        <v>588</v>
      </c>
      <c r="BL33" s="13" t="s">
        <v>588</v>
      </c>
      <c r="BM33" s="11">
        <v>6</v>
      </c>
      <c r="BN33" s="11">
        <v>6</v>
      </c>
      <c r="BO33" s="13" t="s">
        <v>8</v>
      </c>
      <c r="BP33" s="11">
        <v>2</v>
      </c>
      <c r="BQ33" s="13">
        <v>43899</v>
      </c>
      <c r="BR33" s="13" t="s">
        <v>22</v>
      </c>
      <c r="BS33" s="11" t="s">
        <v>8</v>
      </c>
      <c r="BT33" s="11" t="s">
        <v>13</v>
      </c>
      <c r="BU33" s="11" t="s">
        <v>13</v>
      </c>
      <c r="BV33" s="13" t="s">
        <v>8</v>
      </c>
      <c r="BW33" s="11" t="s">
        <v>13</v>
      </c>
      <c r="BX33" s="11" t="s">
        <v>13</v>
      </c>
      <c r="BY33" s="13" t="s">
        <v>588</v>
      </c>
      <c r="BZ33" s="13" t="s">
        <v>588</v>
      </c>
    </row>
    <row r="34" spans="1:78" x14ac:dyDescent="0.25">
      <c r="A34" s="11">
        <v>201920</v>
      </c>
      <c r="B34" s="11" t="s">
        <v>559</v>
      </c>
      <c r="C34" s="11" t="s">
        <v>559</v>
      </c>
      <c r="D34" s="11" t="s">
        <v>557</v>
      </c>
      <c r="E34" s="11" t="s">
        <v>543</v>
      </c>
      <c r="F34" s="11">
        <v>1</v>
      </c>
      <c r="G34" s="11" t="s">
        <v>1208</v>
      </c>
      <c r="H34" s="11" t="s">
        <v>1208</v>
      </c>
      <c r="I34" s="13">
        <v>43733</v>
      </c>
      <c r="J34" s="11">
        <v>25</v>
      </c>
      <c r="K34" s="11">
        <v>9</v>
      </c>
      <c r="L34" s="11">
        <v>2019</v>
      </c>
      <c r="M34" s="11" t="s">
        <v>1292</v>
      </c>
      <c r="N34" s="11" t="s">
        <v>28</v>
      </c>
      <c r="O34" s="11" t="s">
        <v>51</v>
      </c>
      <c r="P34" s="23">
        <v>-38.535277999999998</v>
      </c>
      <c r="Q34" s="23">
        <v>145.38516200000001</v>
      </c>
      <c r="R34" s="11" t="s">
        <v>588</v>
      </c>
      <c r="S34" s="11" t="s">
        <v>588</v>
      </c>
      <c r="T34" s="11">
        <v>3</v>
      </c>
      <c r="U34" s="11">
        <v>3</v>
      </c>
      <c r="V34" t="s">
        <v>588</v>
      </c>
      <c r="W34" t="s">
        <v>588</v>
      </c>
      <c r="X34" s="11">
        <v>2</v>
      </c>
      <c r="Y34" s="11">
        <v>2</v>
      </c>
      <c r="Z34" s="11" t="s">
        <v>41</v>
      </c>
      <c r="AA34" s="13">
        <v>43733</v>
      </c>
      <c r="AB34" s="11">
        <v>25</v>
      </c>
      <c r="AC34" s="11">
        <v>9</v>
      </c>
      <c r="AD34" s="11">
        <v>2019</v>
      </c>
      <c r="AE34" s="13" t="s">
        <v>1292</v>
      </c>
      <c r="AF34" s="11" t="s">
        <v>28</v>
      </c>
      <c r="AG34" s="13">
        <v>43738</v>
      </c>
      <c r="AH34" s="11">
        <v>30</v>
      </c>
      <c r="AI34" s="11">
        <v>9</v>
      </c>
      <c r="AJ34" s="11">
        <v>2019</v>
      </c>
      <c r="AK34" s="13" t="s">
        <v>1236</v>
      </c>
      <c r="AL34" s="11" t="s">
        <v>28</v>
      </c>
      <c r="AM34" s="13" t="s">
        <v>20</v>
      </c>
      <c r="AN34" s="11" t="s">
        <v>41</v>
      </c>
      <c r="AO34" s="13" t="s">
        <v>41</v>
      </c>
      <c r="AP34" s="11" t="s">
        <v>588</v>
      </c>
      <c r="AQ34" s="13" t="s">
        <v>588</v>
      </c>
      <c r="AR34" s="11" t="s">
        <v>588</v>
      </c>
      <c r="AS34" s="13" t="s">
        <v>588</v>
      </c>
      <c r="AT34" s="11" t="s">
        <v>588</v>
      </c>
      <c r="AU34" s="13" t="s">
        <v>588</v>
      </c>
      <c r="AV34" s="11" t="s">
        <v>588</v>
      </c>
      <c r="AW34" s="13" t="s">
        <v>588</v>
      </c>
      <c r="AX34" s="11" t="s">
        <v>588</v>
      </c>
      <c r="AY34" s="13" t="s">
        <v>588</v>
      </c>
      <c r="AZ34" s="13" t="s">
        <v>588</v>
      </c>
      <c r="BA34" s="13" t="s">
        <v>588</v>
      </c>
      <c r="BB34" s="13" t="s">
        <v>588</v>
      </c>
      <c r="BC34" s="13" t="s">
        <v>588</v>
      </c>
      <c r="BD34" s="13" t="s">
        <v>588</v>
      </c>
      <c r="BE34" s="13" t="s">
        <v>588</v>
      </c>
      <c r="BF34" s="13" t="s">
        <v>588</v>
      </c>
      <c r="BG34" s="13" t="s">
        <v>588</v>
      </c>
      <c r="BH34" s="13" t="s">
        <v>588</v>
      </c>
      <c r="BI34" s="13" t="s">
        <v>588</v>
      </c>
      <c r="BJ34" s="13" t="s">
        <v>588</v>
      </c>
      <c r="BK34" s="13" t="s">
        <v>588</v>
      </c>
      <c r="BL34" s="13" t="s">
        <v>588</v>
      </c>
      <c r="BM34" s="13" t="s">
        <v>588</v>
      </c>
      <c r="BN34" s="13" t="s">
        <v>588</v>
      </c>
      <c r="BO34" s="13" t="s">
        <v>588</v>
      </c>
      <c r="BP34" s="13" t="s">
        <v>588</v>
      </c>
      <c r="BQ34" s="13" t="s">
        <v>588</v>
      </c>
      <c r="BR34" s="13" t="s">
        <v>588</v>
      </c>
      <c r="BS34" s="11" t="s">
        <v>41</v>
      </c>
      <c r="BT34" s="11" t="s">
        <v>42</v>
      </c>
      <c r="BU34" s="11" t="s">
        <v>42</v>
      </c>
      <c r="BV34" s="13" t="s">
        <v>588</v>
      </c>
      <c r="BW34" s="13" t="s">
        <v>588</v>
      </c>
      <c r="BX34" s="13" t="s">
        <v>588</v>
      </c>
      <c r="BY34" s="13" t="s">
        <v>588</v>
      </c>
      <c r="BZ34" s="13" t="s">
        <v>588</v>
      </c>
    </row>
    <row r="35" spans="1:78" x14ac:dyDescent="0.25">
      <c r="A35" s="11">
        <v>201920</v>
      </c>
      <c r="B35" s="11" t="s">
        <v>425</v>
      </c>
      <c r="C35" s="11" t="s">
        <v>425</v>
      </c>
      <c r="D35" s="11" t="s">
        <v>558</v>
      </c>
      <c r="E35" s="11" t="s">
        <v>16</v>
      </c>
      <c r="F35" s="11">
        <v>1</v>
      </c>
      <c r="G35" s="11" t="s">
        <v>1209</v>
      </c>
      <c r="H35" s="11" t="s">
        <v>1209</v>
      </c>
      <c r="I35" s="13">
        <v>43796</v>
      </c>
      <c r="J35" s="11">
        <v>27</v>
      </c>
      <c r="K35" s="11">
        <v>11</v>
      </c>
      <c r="L35" s="11">
        <v>2019</v>
      </c>
      <c r="M35" s="11" t="s">
        <v>1276</v>
      </c>
      <c r="N35" s="11" t="s">
        <v>17</v>
      </c>
      <c r="O35" s="11" t="s">
        <v>10</v>
      </c>
      <c r="P35" s="23">
        <v>-38.528049000000003</v>
      </c>
      <c r="Q35" s="23">
        <v>145.37027</v>
      </c>
      <c r="R35" s="11" t="s">
        <v>588</v>
      </c>
      <c r="S35" s="11" t="s">
        <v>588</v>
      </c>
      <c r="T35" s="11">
        <v>3</v>
      </c>
      <c r="U35" s="11">
        <v>3</v>
      </c>
      <c r="V35" t="s">
        <v>588</v>
      </c>
      <c r="W35" t="s">
        <v>588</v>
      </c>
      <c r="X35" s="11">
        <v>3</v>
      </c>
      <c r="Y35" s="11">
        <v>3</v>
      </c>
      <c r="Z35" s="11" t="s">
        <v>41</v>
      </c>
      <c r="AA35" s="13">
        <v>43797</v>
      </c>
      <c r="AB35" s="11">
        <v>28</v>
      </c>
      <c r="AC35" s="11">
        <v>11</v>
      </c>
      <c r="AD35" s="11">
        <v>2019</v>
      </c>
      <c r="AE35" s="13" t="s">
        <v>1293</v>
      </c>
      <c r="AF35" s="11" t="s">
        <v>17</v>
      </c>
      <c r="AG35" s="13">
        <v>43805</v>
      </c>
      <c r="AH35" s="11">
        <v>6</v>
      </c>
      <c r="AI35" s="11">
        <v>12</v>
      </c>
      <c r="AJ35" s="11">
        <v>2019</v>
      </c>
      <c r="AK35" s="13" t="s">
        <v>1256</v>
      </c>
      <c r="AL35" s="11" t="s">
        <v>7</v>
      </c>
      <c r="AM35" s="13" t="s">
        <v>20</v>
      </c>
      <c r="AN35" s="11" t="s">
        <v>41</v>
      </c>
      <c r="AO35" s="13" t="s">
        <v>41</v>
      </c>
      <c r="AP35" s="11" t="s">
        <v>588</v>
      </c>
      <c r="AQ35" s="13" t="s">
        <v>588</v>
      </c>
      <c r="AR35" s="11" t="s">
        <v>588</v>
      </c>
      <c r="AS35" s="13" t="s">
        <v>588</v>
      </c>
      <c r="AT35" s="11" t="s">
        <v>588</v>
      </c>
      <c r="AU35" s="13" t="s">
        <v>588</v>
      </c>
      <c r="AV35" s="11" t="s">
        <v>588</v>
      </c>
      <c r="AW35" s="13" t="s">
        <v>588</v>
      </c>
      <c r="AX35" s="11" t="s">
        <v>588</v>
      </c>
      <c r="AY35" s="13" t="s">
        <v>588</v>
      </c>
      <c r="AZ35" s="13" t="s">
        <v>588</v>
      </c>
      <c r="BA35" s="13" t="s">
        <v>588</v>
      </c>
      <c r="BB35" s="13" t="s">
        <v>588</v>
      </c>
      <c r="BC35" s="13" t="s">
        <v>588</v>
      </c>
      <c r="BD35" s="13" t="s">
        <v>588</v>
      </c>
      <c r="BE35" s="13" t="s">
        <v>588</v>
      </c>
      <c r="BF35" s="13" t="s">
        <v>588</v>
      </c>
      <c r="BG35" s="13" t="s">
        <v>588</v>
      </c>
      <c r="BH35" s="13" t="s">
        <v>588</v>
      </c>
      <c r="BI35" s="13" t="s">
        <v>588</v>
      </c>
      <c r="BJ35" s="13" t="s">
        <v>588</v>
      </c>
      <c r="BK35" s="13" t="s">
        <v>588</v>
      </c>
      <c r="BL35" s="13" t="s">
        <v>588</v>
      </c>
      <c r="BM35" s="13" t="s">
        <v>588</v>
      </c>
      <c r="BN35" s="13" t="s">
        <v>588</v>
      </c>
      <c r="BO35" s="13" t="s">
        <v>588</v>
      </c>
      <c r="BP35" s="13" t="s">
        <v>588</v>
      </c>
      <c r="BQ35" s="13" t="s">
        <v>588</v>
      </c>
      <c r="BR35" s="13" t="s">
        <v>588</v>
      </c>
      <c r="BS35" s="11" t="s">
        <v>8</v>
      </c>
      <c r="BT35" s="11" t="s">
        <v>9</v>
      </c>
      <c r="BU35" s="11" t="s">
        <v>9</v>
      </c>
      <c r="BV35" s="13" t="s">
        <v>8</v>
      </c>
      <c r="BW35" s="11" t="s">
        <v>13</v>
      </c>
      <c r="BX35" s="11" t="s">
        <v>13</v>
      </c>
      <c r="BY35" s="13" t="s">
        <v>588</v>
      </c>
      <c r="BZ35" s="13" t="s">
        <v>588</v>
      </c>
    </row>
    <row r="36" spans="1:78" x14ac:dyDescent="0.25">
      <c r="A36" s="11">
        <v>201920</v>
      </c>
      <c r="B36" s="11" t="s">
        <v>425</v>
      </c>
      <c r="C36" s="11" t="s">
        <v>425</v>
      </c>
      <c r="D36" s="11" t="s">
        <v>558</v>
      </c>
      <c r="E36" s="11" t="s">
        <v>16</v>
      </c>
      <c r="F36" s="11">
        <v>2</v>
      </c>
      <c r="G36" s="11" t="s">
        <v>1210</v>
      </c>
      <c r="H36" s="11" t="s">
        <v>1210</v>
      </c>
      <c r="I36" s="13">
        <v>43808</v>
      </c>
      <c r="J36" s="11">
        <v>9</v>
      </c>
      <c r="K36" s="11">
        <v>12</v>
      </c>
      <c r="L36" s="11">
        <v>2019</v>
      </c>
      <c r="M36" s="11" t="s">
        <v>1294</v>
      </c>
      <c r="N36" s="11" t="s">
        <v>7</v>
      </c>
      <c r="O36" s="11" t="s">
        <v>10</v>
      </c>
      <c r="P36" s="23">
        <v>-38.528049000000003</v>
      </c>
      <c r="Q36" s="23">
        <v>145.37027</v>
      </c>
      <c r="R36" s="11" t="s">
        <v>588</v>
      </c>
      <c r="S36" s="11" t="s">
        <v>588</v>
      </c>
      <c r="T36" s="11">
        <v>3</v>
      </c>
      <c r="U36" s="11">
        <v>3</v>
      </c>
      <c r="V36" s="1">
        <v>43810</v>
      </c>
      <c r="W36" t="s">
        <v>219</v>
      </c>
      <c r="X36" s="11">
        <v>5</v>
      </c>
      <c r="Y36" s="11">
        <v>5</v>
      </c>
      <c r="Z36" s="11" t="s">
        <v>8</v>
      </c>
      <c r="AA36" s="13">
        <v>43837</v>
      </c>
      <c r="AB36" s="11">
        <v>7</v>
      </c>
      <c r="AC36" s="11">
        <v>1</v>
      </c>
      <c r="AD36" s="11">
        <v>2020</v>
      </c>
      <c r="AE36" s="13" t="s">
        <v>1247</v>
      </c>
      <c r="AF36" s="11" t="s">
        <v>12</v>
      </c>
      <c r="AG36" s="11" t="s">
        <v>588</v>
      </c>
      <c r="AH36" s="11" t="s">
        <v>588</v>
      </c>
      <c r="AI36" s="11" t="s">
        <v>588</v>
      </c>
      <c r="AJ36" s="11" t="s">
        <v>588</v>
      </c>
      <c r="AK36" s="13" t="s">
        <v>588</v>
      </c>
      <c r="AL36" s="11" t="s">
        <v>588</v>
      </c>
      <c r="AM36" s="13" t="s">
        <v>588</v>
      </c>
      <c r="AN36" s="11" t="s">
        <v>588</v>
      </c>
      <c r="AO36" s="13" t="s">
        <v>588</v>
      </c>
      <c r="AP36" s="13">
        <v>43838</v>
      </c>
      <c r="AQ36" s="13" t="s">
        <v>12</v>
      </c>
      <c r="AR36" s="11" t="s">
        <v>195</v>
      </c>
      <c r="AS36" s="11">
        <v>3</v>
      </c>
      <c r="AT36" s="11">
        <v>3</v>
      </c>
      <c r="AU36" s="13">
        <v>43839</v>
      </c>
      <c r="AV36" s="13">
        <v>43839</v>
      </c>
      <c r="AW36" s="13" t="s">
        <v>12</v>
      </c>
      <c r="AX36" s="11" t="s">
        <v>20</v>
      </c>
      <c r="AY36" s="13" t="s">
        <v>41</v>
      </c>
      <c r="AZ36" s="13" t="s">
        <v>41</v>
      </c>
      <c r="BA36" s="13">
        <v>43840</v>
      </c>
      <c r="BB36" s="13">
        <v>43844</v>
      </c>
      <c r="BC36" s="13" t="s">
        <v>12</v>
      </c>
      <c r="BD36" s="13" t="s">
        <v>20</v>
      </c>
      <c r="BE36" s="13" t="s">
        <v>41</v>
      </c>
      <c r="BF36" s="13" t="s">
        <v>41</v>
      </c>
      <c r="BG36" s="13">
        <v>43840</v>
      </c>
      <c r="BH36" s="13">
        <v>43844</v>
      </c>
      <c r="BI36" s="13" t="s">
        <v>12</v>
      </c>
      <c r="BJ36" s="13" t="s">
        <v>20</v>
      </c>
      <c r="BK36" s="13" t="s">
        <v>41</v>
      </c>
      <c r="BL36" s="13" t="s">
        <v>41</v>
      </c>
      <c r="BM36" s="11">
        <v>6</v>
      </c>
      <c r="BN36" s="11">
        <v>4</v>
      </c>
      <c r="BO36" s="13" t="s">
        <v>41</v>
      </c>
      <c r="BP36" s="13" t="s">
        <v>588</v>
      </c>
      <c r="BQ36" s="13" t="s">
        <v>588</v>
      </c>
      <c r="BR36" s="13" t="s">
        <v>588</v>
      </c>
      <c r="BS36" s="11" t="s">
        <v>8</v>
      </c>
      <c r="BT36" s="11" t="s">
        <v>9</v>
      </c>
      <c r="BU36" s="11" t="s">
        <v>9</v>
      </c>
      <c r="BV36" s="13" t="s">
        <v>8</v>
      </c>
      <c r="BW36" s="11" t="s">
        <v>9</v>
      </c>
      <c r="BX36" s="11" t="s">
        <v>9</v>
      </c>
      <c r="BY36" s="13" t="s">
        <v>588</v>
      </c>
      <c r="BZ36" s="13" t="s">
        <v>588</v>
      </c>
    </row>
    <row r="37" spans="1:78" x14ac:dyDescent="0.25">
      <c r="A37" s="11">
        <v>201920</v>
      </c>
      <c r="B37" s="11" t="s">
        <v>425</v>
      </c>
      <c r="C37" s="11" t="s">
        <v>425</v>
      </c>
      <c r="D37" s="11" t="s">
        <v>558</v>
      </c>
      <c r="E37" s="11" t="s">
        <v>16</v>
      </c>
      <c r="F37" s="11">
        <v>3</v>
      </c>
      <c r="G37" s="11" t="s">
        <v>1211</v>
      </c>
      <c r="H37" s="11" t="s">
        <v>1211</v>
      </c>
      <c r="I37" s="13">
        <v>43860</v>
      </c>
      <c r="J37" s="11">
        <v>30</v>
      </c>
      <c r="K37" s="11">
        <v>1</v>
      </c>
      <c r="L37" s="11">
        <v>2020</v>
      </c>
      <c r="M37" s="11" t="s">
        <v>1295</v>
      </c>
      <c r="N37" s="11" t="s">
        <v>12</v>
      </c>
      <c r="O37" s="11" t="s">
        <v>10</v>
      </c>
      <c r="P37" s="23">
        <v>-38.528049000000003</v>
      </c>
      <c r="Q37" s="23">
        <v>145.37027</v>
      </c>
      <c r="R37" s="11" t="s">
        <v>588</v>
      </c>
      <c r="S37" s="11" t="s">
        <v>588</v>
      </c>
      <c r="T37" s="11">
        <v>3</v>
      </c>
      <c r="U37" s="11">
        <v>3</v>
      </c>
      <c r="V37" t="s">
        <v>588</v>
      </c>
      <c r="W37" t="s">
        <v>588</v>
      </c>
      <c r="X37" s="11">
        <v>5</v>
      </c>
      <c r="Y37" s="11">
        <v>5</v>
      </c>
      <c r="Z37" s="11" t="s">
        <v>8</v>
      </c>
      <c r="AA37" s="13">
        <v>43882</v>
      </c>
      <c r="AB37" s="11">
        <v>21</v>
      </c>
      <c r="AC37" s="11">
        <v>2</v>
      </c>
      <c r="AD37" s="11">
        <v>2020</v>
      </c>
      <c r="AE37" s="13" t="s">
        <v>1296</v>
      </c>
      <c r="AF37" s="11" t="s">
        <v>21</v>
      </c>
      <c r="AG37" s="11" t="s">
        <v>588</v>
      </c>
      <c r="AH37" s="11" t="s">
        <v>588</v>
      </c>
      <c r="AI37" s="11" t="s">
        <v>588</v>
      </c>
      <c r="AJ37" s="11" t="s">
        <v>588</v>
      </c>
      <c r="AK37" s="13" t="s">
        <v>588</v>
      </c>
      <c r="AL37" s="11" t="s">
        <v>588</v>
      </c>
      <c r="AM37" s="13" t="s">
        <v>588</v>
      </c>
      <c r="AN37" s="11" t="s">
        <v>588</v>
      </c>
      <c r="AO37" s="13" t="s">
        <v>588</v>
      </c>
      <c r="AP37" s="13">
        <v>43888</v>
      </c>
      <c r="AQ37" s="13" t="s">
        <v>21</v>
      </c>
      <c r="AR37" s="11" t="s">
        <v>195</v>
      </c>
      <c r="AS37" s="11">
        <v>3</v>
      </c>
      <c r="AT37" s="11">
        <v>3</v>
      </c>
      <c r="AU37" s="13">
        <v>43888</v>
      </c>
      <c r="AV37" s="13">
        <v>43895</v>
      </c>
      <c r="AW37" s="13" t="s">
        <v>22</v>
      </c>
      <c r="AX37" s="11" t="s">
        <v>20</v>
      </c>
      <c r="AY37" s="13" t="s">
        <v>41</v>
      </c>
      <c r="AZ37" s="13" t="s">
        <v>41</v>
      </c>
      <c r="BA37" s="13">
        <v>43898</v>
      </c>
      <c r="BB37" s="13">
        <v>43903</v>
      </c>
      <c r="BC37" s="13" t="s">
        <v>22</v>
      </c>
      <c r="BD37" s="13" t="s">
        <v>20</v>
      </c>
      <c r="BE37" s="13" t="s">
        <v>41</v>
      </c>
      <c r="BF37" s="13" t="s">
        <v>41</v>
      </c>
      <c r="BG37" s="13">
        <v>43898</v>
      </c>
      <c r="BH37" s="13">
        <v>43903</v>
      </c>
      <c r="BI37" s="13" t="s">
        <v>22</v>
      </c>
      <c r="BJ37" s="13" t="s">
        <v>20</v>
      </c>
      <c r="BK37" s="13" t="s">
        <v>41</v>
      </c>
      <c r="BL37" s="13" t="s">
        <v>41</v>
      </c>
      <c r="BM37" s="11">
        <v>6</v>
      </c>
      <c r="BN37" s="11">
        <v>5</v>
      </c>
      <c r="BO37" s="13" t="s">
        <v>41</v>
      </c>
      <c r="BP37" s="13" t="s">
        <v>588</v>
      </c>
      <c r="BQ37" s="13" t="s">
        <v>588</v>
      </c>
      <c r="BR37" s="13" t="s">
        <v>588</v>
      </c>
      <c r="BS37" s="13" t="s">
        <v>8</v>
      </c>
      <c r="BT37" t="s">
        <v>9</v>
      </c>
      <c r="BU37" t="s">
        <v>9</v>
      </c>
      <c r="BV37" s="13" t="s">
        <v>8</v>
      </c>
      <c r="BW37" t="s">
        <v>9</v>
      </c>
      <c r="BX37" t="s">
        <v>9</v>
      </c>
      <c r="BY37" s="13" t="s">
        <v>588</v>
      </c>
      <c r="BZ37" s="13" t="s">
        <v>588</v>
      </c>
    </row>
    <row r="38" spans="1:78" x14ac:dyDescent="0.25">
      <c r="A38" s="11">
        <v>201920</v>
      </c>
      <c r="B38" s="11" t="s">
        <v>432</v>
      </c>
      <c r="C38" s="11" t="s">
        <v>432</v>
      </c>
      <c r="D38" s="11" t="s">
        <v>560</v>
      </c>
      <c r="E38" s="11" t="s">
        <v>433</v>
      </c>
      <c r="F38" s="11">
        <v>1</v>
      </c>
      <c r="G38" s="11" t="s">
        <v>1212</v>
      </c>
      <c r="H38" s="11" t="s">
        <v>1212</v>
      </c>
      <c r="I38" s="13" t="s">
        <v>1213</v>
      </c>
      <c r="J38" s="13" t="s">
        <v>1213</v>
      </c>
      <c r="K38" s="13" t="s">
        <v>1213</v>
      </c>
      <c r="L38" s="13" t="s">
        <v>1213</v>
      </c>
      <c r="M38" s="13" t="s">
        <v>1213</v>
      </c>
      <c r="N38" s="13" t="s">
        <v>1213</v>
      </c>
      <c r="O38" s="11" t="s">
        <v>71</v>
      </c>
      <c r="P38" s="23">
        <v>-38.5396</v>
      </c>
      <c r="Q38" s="23">
        <v>145.43789699999999</v>
      </c>
      <c r="R38" s="11" t="s">
        <v>588</v>
      </c>
      <c r="S38" s="11" t="s">
        <v>588</v>
      </c>
      <c r="T38" s="11">
        <v>1</v>
      </c>
      <c r="U38" s="11">
        <v>3</v>
      </c>
      <c r="V38" t="s">
        <v>588</v>
      </c>
      <c r="W38" t="s">
        <v>588</v>
      </c>
      <c r="X38" s="11">
        <v>0</v>
      </c>
      <c r="Y38" s="11">
        <v>0</v>
      </c>
      <c r="Z38" s="11" t="s">
        <v>8</v>
      </c>
      <c r="AA38" s="11" t="s">
        <v>71</v>
      </c>
      <c r="AB38" s="11" t="s">
        <v>71</v>
      </c>
      <c r="AC38" s="11" t="s">
        <v>71</v>
      </c>
      <c r="AD38" s="11" t="s">
        <v>71</v>
      </c>
      <c r="AE38" s="11" t="s">
        <v>71</v>
      </c>
      <c r="AF38" s="11" t="s">
        <v>588</v>
      </c>
      <c r="AG38" s="11" t="s">
        <v>588</v>
      </c>
      <c r="AH38" s="11" t="s">
        <v>588</v>
      </c>
      <c r="AI38" s="11" t="s">
        <v>588</v>
      </c>
      <c r="AJ38" s="11" t="s">
        <v>588</v>
      </c>
      <c r="AK38" s="13" t="s">
        <v>588</v>
      </c>
      <c r="AL38" s="11" t="s">
        <v>588</v>
      </c>
      <c r="AM38" s="13" t="s">
        <v>588</v>
      </c>
      <c r="AN38" s="11" t="s">
        <v>588</v>
      </c>
      <c r="AO38" s="13" t="s">
        <v>588</v>
      </c>
      <c r="AP38" s="13">
        <v>43859</v>
      </c>
      <c r="AQ38" s="13" t="s">
        <v>12</v>
      </c>
      <c r="AR38" s="11" t="s">
        <v>1214</v>
      </c>
      <c r="AS38" s="11">
        <v>1</v>
      </c>
      <c r="AT38" s="11">
        <v>3</v>
      </c>
      <c r="AU38" s="11" t="s">
        <v>588</v>
      </c>
      <c r="AV38" s="11" t="s">
        <v>588</v>
      </c>
      <c r="AW38" s="13" t="s">
        <v>588</v>
      </c>
      <c r="AX38" s="11" t="s">
        <v>588</v>
      </c>
      <c r="AY38" s="13" t="s">
        <v>588</v>
      </c>
      <c r="AZ38" s="13" t="s">
        <v>588</v>
      </c>
      <c r="BA38" s="13" t="s">
        <v>588</v>
      </c>
      <c r="BB38" s="13" t="s">
        <v>588</v>
      </c>
      <c r="BC38" s="13" t="s">
        <v>588</v>
      </c>
      <c r="BD38" s="13" t="s">
        <v>588</v>
      </c>
      <c r="BE38" s="13" t="s">
        <v>588</v>
      </c>
      <c r="BF38" s="13" t="s">
        <v>588</v>
      </c>
      <c r="BG38" s="13" t="s">
        <v>588</v>
      </c>
      <c r="BH38" s="13" t="s">
        <v>588</v>
      </c>
      <c r="BI38" s="13" t="s">
        <v>588</v>
      </c>
      <c r="BJ38" s="13" t="s">
        <v>588</v>
      </c>
      <c r="BK38" s="13" t="s">
        <v>588</v>
      </c>
      <c r="BL38" s="13" t="s">
        <v>588</v>
      </c>
      <c r="BM38" s="11">
        <v>2</v>
      </c>
      <c r="BN38" s="11">
        <v>2</v>
      </c>
      <c r="BO38" s="13" t="s">
        <v>8</v>
      </c>
      <c r="BP38" s="11">
        <v>1</v>
      </c>
      <c r="BQ38" s="13">
        <v>43869</v>
      </c>
      <c r="BR38" s="11" t="s">
        <v>21</v>
      </c>
      <c r="BS38" s="11" t="s">
        <v>41</v>
      </c>
      <c r="BT38" s="11" t="s">
        <v>42</v>
      </c>
      <c r="BU38" s="11" t="s">
        <v>42</v>
      </c>
      <c r="BV38" s="11" t="s">
        <v>41</v>
      </c>
      <c r="BW38" s="11" t="s">
        <v>42</v>
      </c>
      <c r="BX38" s="11" t="s">
        <v>42</v>
      </c>
      <c r="BY38" s="13" t="s">
        <v>588</v>
      </c>
      <c r="BZ38" s="13" t="s">
        <v>588</v>
      </c>
    </row>
    <row r="39" spans="1:78" x14ac:dyDescent="0.25">
      <c r="A39" s="11">
        <v>201920</v>
      </c>
      <c r="B39" s="11" t="s">
        <v>556</v>
      </c>
      <c r="C39" s="11" t="s">
        <v>556</v>
      </c>
      <c r="D39" s="11" t="s">
        <v>557</v>
      </c>
      <c r="E39" s="11" t="s">
        <v>543</v>
      </c>
      <c r="F39" s="11">
        <v>1</v>
      </c>
      <c r="G39" s="11" t="s">
        <v>1215</v>
      </c>
      <c r="H39" s="11" t="s">
        <v>1297</v>
      </c>
      <c r="I39" s="13">
        <v>43774</v>
      </c>
      <c r="J39" s="11">
        <v>5</v>
      </c>
      <c r="K39" s="11">
        <v>11</v>
      </c>
      <c r="L39" s="11">
        <v>2019</v>
      </c>
      <c r="M39" s="11" t="s">
        <v>1298</v>
      </c>
      <c r="N39" s="11" t="s">
        <v>17</v>
      </c>
      <c r="O39" s="11" t="s">
        <v>51</v>
      </c>
      <c r="P39" s="23">
        <v>-38.535488000000001</v>
      </c>
      <c r="Q39" s="23">
        <v>145.39239499999999</v>
      </c>
      <c r="R39" s="11" t="s">
        <v>588</v>
      </c>
      <c r="S39" s="11" t="s">
        <v>588</v>
      </c>
      <c r="T39" s="11">
        <v>3</v>
      </c>
      <c r="U39" s="11">
        <v>3</v>
      </c>
      <c r="V39" t="s">
        <v>588</v>
      </c>
      <c r="W39" t="s">
        <v>588</v>
      </c>
      <c r="X39" s="11">
        <v>4</v>
      </c>
      <c r="Y39" s="11">
        <v>4</v>
      </c>
      <c r="Z39" s="11" t="s">
        <v>8</v>
      </c>
      <c r="AA39" s="13">
        <v>43796</v>
      </c>
      <c r="AB39" s="11">
        <v>27</v>
      </c>
      <c r="AC39" s="11">
        <v>11</v>
      </c>
      <c r="AD39" s="11">
        <v>2019</v>
      </c>
      <c r="AE39" s="13" t="s">
        <v>1276</v>
      </c>
      <c r="AF39" s="11" t="s">
        <v>17</v>
      </c>
      <c r="AG39" s="11" t="s">
        <v>588</v>
      </c>
      <c r="AH39" s="11" t="s">
        <v>588</v>
      </c>
      <c r="AI39" s="11" t="s">
        <v>588</v>
      </c>
      <c r="AJ39" s="11" t="s">
        <v>588</v>
      </c>
      <c r="AK39" s="13" t="s">
        <v>588</v>
      </c>
      <c r="AL39" s="11" t="s">
        <v>588</v>
      </c>
      <c r="AM39" s="13" t="s">
        <v>588</v>
      </c>
      <c r="AN39" s="11" t="s">
        <v>588</v>
      </c>
      <c r="AO39" s="13" t="s">
        <v>588</v>
      </c>
      <c r="AP39" s="13">
        <v>43817</v>
      </c>
      <c r="AQ39" s="13" t="s">
        <v>588</v>
      </c>
      <c r="AR39" s="13" t="s">
        <v>588</v>
      </c>
      <c r="AS39" s="13" t="s">
        <v>588</v>
      </c>
      <c r="AT39" s="13" t="s">
        <v>588</v>
      </c>
      <c r="AU39" s="13" t="s">
        <v>588</v>
      </c>
      <c r="AV39" s="13" t="s">
        <v>588</v>
      </c>
      <c r="AW39" s="13" t="s">
        <v>588</v>
      </c>
      <c r="AX39" s="13" t="s">
        <v>588</v>
      </c>
      <c r="AY39" s="13" t="s">
        <v>588</v>
      </c>
      <c r="AZ39" s="13" t="s">
        <v>588</v>
      </c>
      <c r="BA39" s="13" t="s">
        <v>588</v>
      </c>
      <c r="BB39" s="13" t="s">
        <v>588</v>
      </c>
      <c r="BC39" s="13" t="s">
        <v>588</v>
      </c>
      <c r="BD39" s="13" t="s">
        <v>588</v>
      </c>
      <c r="BE39" s="13" t="s">
        <v>588</v>
      </c>
      <c r="BF39" s="13" t="s">
        <v>588</v>
      </c>
      <c r="BG39" s="13" t="s">
        <v>588</v>
      </c>
      <c r="BH39" s="13" t="s">
        <v>588</v>
      </c>
      <c r="BI39" s="13" t="s">
        <v>588</v>
      </c>
      <c r="BJ39" s="13" t="s">
        <v>588</v>
      </c>
      <c r="BK39" s="13" t="s">
        <v>588</v>
      </c>
      <c r="BL39" s="13" t="s">
        <v>588</v>
      </c>
      <c r="BM39" s="11">
        <v>3</v>
      </c>
      <c r="BN39" s="11">
        <v>3</v>
      </c>
      <c r="BO39" s="13" t="s">
        <v>8</v>
      </c>
      <c r="BP39" s="11">
        <v>1</v>
      </c>
      <c r="BQ39" s="13">
        <v>43851</v>
      </c>
      <c r="BR39" s="11" t="s">
        <v>12</v>
      </c>
      <c r="BS39" s="11" t="s">
        <v>41</v>
      </c>
      <c r="BT39" s="11" t="s">
        <v>42</v>
      </c>
      <c r="BU39" s="11" t="s">
        <v>42</v>
      </c>
      <c r="BV39" s="13" t="s">
        <v>41</v>
      </c>
      <c r="BW39" s="11" t="s">
        <v>42</v>
      </c>
      <c r="BX39" s="11" t="s">
        <v>42</v>
      </c>
      <c r="BY39" s="13" t="s">
        <v>588</v>
      </c>
      <c r="BZ39" s="13" t="s">
        <v>588</v>
      </c>
    </row>
    <row r="40" spans="1:78" x14ac:dyDescent="0.25">
      <c r="A40" s="11">
        <v>201920</v>
      </c>
      <c r="B40" s="11" t="s">
        <v>35</v>
      </c>
      <c r="C40" s="11" t="s">
        <v>35</v>
      </c>
      <c r="D40" s="11" t="s">
        <v>85</v>
      </c>
      <c r="E40" s="11" t="s">
        <v>86</v>
      </c>
      <c r="F40" s="11">
        <v>1</v>
      </c>
      <c r="G40" s="11" t="s">
        <v>1216</v>
      </c>
      <c r="H40" s="11" t="s">
        <v>1216</v>
      </c>
      <c r="I40" s="13">
        <v>43750</v>
      </c>
      <c r="J40" s="11">
        <v>12</v>
      </c>
      <c r="K40" s="11">
        <v>10</v>
      </c>
      <c r="L40" s="11">
        <v>2019</v>
      </c>
      <c r="M40" s="11" t="s">
        <v>1299</v>
      </c>
      <c r="N40" s="11" t="s">
        <v>29</v>
      </c>
      <c r="O40" s="11" t="s">
        <v>51</v>
      </c>
      <c r="P40" s="23">
        <v>-38.672297999999998</v>
      </c>
      <c r="Q40" s="23">
        <v>145.63986199999999</v>
      </c>
      <c r="R40" s="11" t="s">
        <v>588</v>
      </c>
      <c r="S40" s="11" t="s">
        <v>588</v>
      </c>
      <c r="T40" s="11">
        <v>3</v>
      </c>
      <c r="U40" s="11">
        <v>3</v>
      </c>
      <c r="V40" s="1">
        <v>43754</v>
      </c>
      <c r="W40" t="s">
        <v>223</v>
      </c>
      <c r="X40" s="11">
        <v>12</v>
      </c>
      <c r="Y40" s="11">
        <v>11</v>
      </c>
      <c r="Z40" s="11" t="s">
        <v>41</v>
      </c>
      <c r="AA40" s="13">
        <v>43767</v>
      </c>
      <c r="AB40" s="11">
        <v>29</v>
      </c>
      <c r="AC40" s="11">
        <v>10</v>
      </c>
      <c r="AD40" s="11">
        <v>2019</v>
      </c>
      <c r="AE40" s="13" t="s">
        <v>1300</v>
      </c>
      <c r="AF40" s="11" t="s">
        <v>29</v>
      </c>
      <c r="AG40" s="13">
        <v>43780</v>
      </c>
      <c r="AH40" s="11">
        <v>11</v>
      </c>
      <c r="AI40" s="11">
        <v>11</v>
      </c>
      <c r="AJ40" s="11">
        <v>2019</v>
      </c>
      <c r="AK40" s="13" t="s">
        <v>1257</v>
      </c>
      <c r="AL40" s="11" t="s">
        <v>17</v>
      </c>
      <c r="AM40" s="13" t="s">
        <v>20</v>
      </c>
      <c r="AN40" s="11" t="s">
        <v>8</v>
      </c>
      <c r="AO40" s="11" t="s">
        <v>32</v>
      </c>
      <c r="AP40" s="11" t="s">
        <v>588</v>
      </c>
      <c r="AQ40" s="13" t="s">
        <v>588</v>
      </c>
      <c r="AR40" s="11" t="s">
        <v>588</v>
      </c>
      <c r="AS40" s="11" t="s">
        <v>588</v>
      </c>
      <c r="AT40" s="11" t="s">
        <v>588</v>
      </c>
      <c r="AU40" s="11" t="s">
        <v>588</v>
      </c>
      <c r="AV40" s="11" t="s">
        <v>588</v>
      </c>
      <c r="AW40" s="13" t="s">
        <v>588</v>
      </c>
      <c r="AX40" s="11" t="s">
        <v>588</v>
      </c>
      <c r="AY40" s="13" t="s">
        <v>588</v>
      </c>
      <c r="AZ40" s="13" t="s">
        <v>588</v>
      </c>
      <c r="BA40" s="13" t="s">
        <v>588</v>
      </c>
      <c r="BB40" s="13" t="s">
        <v>588</v>
      </c>
      <c r="BC40" s="13" t="s">
        <v>588</v>
      </c>
      <c r="BD40" s="13" t="s">
        <v>588</v>
      </c>
      <c r="BE40" s="13" t="s">
        <v>588</v>
      </c>
      <c r="BF40" s="13" t="s">
        <v>588</v>
      </c>
      <c r="BG40" s="13" t="s">
        <v>588</v>
      </c>
      <c r="BH40" s="13" t="s">
        <v>588</v>
      </c>
      <c r="BI40" s="13" t="s">
        <v>588</v>
      </c>
      <c r="BJ40" s="13" t="s">
        <v>588</v>
      </c>
      <c r="BK40" s="13" t="s">
        <v>588</v>
      </c>
      <c r="BL40" s="13" t="s">
        <v>588</v>
      </c>
      <c r="BM40" s="13" t="s">
        <v>588</v>
      </c>
      <c r="BN40" s="13" t="s">
        <v>588</v>
      </c>
      <c r="BO40" s="13" t="s">
        <v>588</v>
      </c>
      <c r="BP40" s="13" t="s">
        <v>588</v>
      </c>
      <c r="BQ40" s="13" t="s">
        <v>588</v>
      </c>
      <c r="BR40" s="13" t="s">
        <v>588</v>
      </c>
      <c r="BS40" s="11" t="s">
        <v>8</v>
      </c>
      <c r="BT40" s="11" t="s">
        <v>9</v>
      </c>
      <c r="BU40" s="11" t="s">
        <v>9</v>
      </c>
      <c r="BV40" s="13" t="s">
        <v>588</v>
      </c>
      <c r="BW40" s="13" t="s">
        <v>588</v>
      </c>
      <c r="BX40" s="13" t="s">
        <v>588</v>
      </c>
      <c r="BY40" s="13" t="s">
        <v>588</v>
      </c>
      <c r="BZ40" s="13" t="s">
        <v>588</v>
      </c>
    </row>
    <row r="41" spans="1:78" x14ac:dyDescent="0.25">
      <c r="A41" s="11">
        <v>201920</v>
      </c>
      <c r="B41" s="11" t="s">
        <v>35</v>
      </c>
      <c r="C41" s="11" t="s">
        <v>35</v>
      </c>
      <c r="D41" s="11" t="s">
        <v>85</v>
      </c>
      <c r="E41" s="11" t="s">
        <v>86</v>
      </c>
      <c r="F41" s="11">
        <v>2</v>
      </c>
      <c r="G41" s="11" t="s">
        <v>1217</v>
      </c>
      <c r="H41" s="11" t="s">
        <v>1217</v>
      </c>
      <c r="I41" s="13">
        <v>43780</v>
      </c>
      <c r="J41" s="11">
        <v>11</v>
      </c>
      <c r="K41" s="11">
        <v>11</v>
      </c>
      <c r="L41" s="11">
        <v>2019</v>
      </c>
      <c r="M41" s="11" t="s">
        <v>1257</v>
      </c>
      <c r="N41" s="11" t="s">
        <v>17</v>
      </c>
      <c r="O41" s="11" t="s">
        <v>36</v>
      </c>
      <c r="P41" s="23">
        <v>-38.672297999999998</v>
      </c>
      <c r="Q41" s="23">
        <v>145.63986199999999</v>
      </c>
      <c r="R41" s="11" t="s">
        <v>588</v>
      </c>
      <c r="S41" s="11" t="s">
        <v>588</v>
      </c>
      <c r="T41" s="11">
        <v>3</v>
      </c>
      <c r="U41" s="11">
        <v>3</v>
      </c>
      <c r="V41" t="s">
        <v>588</v>
      </c>
      <c r="W41" t="s">
        <v>588</v>
      </c>
      <c r="X41" s="11">
        <v>2</v>
      </c>
      <c r="Y41" s="11">
        <v>2</v>
      </c>
      <c r="Z41" s="11" t="s">
        <v>1202</v>
      </c>
      <c r="AA41" s="13">
        <v>43783</v>
      </c>
      <c r="AB41" s="11">
        <v>14</v>
      </c>
      <c r="AC41" s="11">
        <v>11</v>
      </c>
      <c r="AD41" s="11">
        <v>2019</v>
      </c>
      <c r="AE41" s="13" t="s">
        <v>1260</v>
      </c>
      <c r="AF41" s="11" t="s">
        <v>17</v>
      </c>
      <c r="AG41" s="11" t="s">
        <v>588</v>
      </c>
      <c r="AH41" s="11" t="s">
        <v>588</v>
      </c>
      <c r="AI41" s="11" t="s">
        <v>588</v>
      </c>
      <c r="AJ41" s="11" t="s">
        <v>588</v>
      </c>
      <c r="AK41" s="13" t="s">
        <v>588</v>
      </c>
      <c r="AL41" s="11" t="s">
        <v>588</v>
      </c>
      <c r="AM41" s="13" t="s">
        <v>588</v>
      </c>
      <c r="AN41" s="11" t="s">
        <v>588</v>
      </c>
      <c r="AO41" s="13" t="s">
        <v>588</v>
      </c>
      <c r="AP41" s="13">
        <v>43787</v>
      </c>
      <c r="AQ41" s="13" t="s">
        <v>17</v>
      </c>
      <c r="AR41" s="13" t="s">
        <v>588</v>
      </c>
      <c r="AS41" s="13" t="s">
        <v>588</v>
      </c>
      <c r="AT41" s="13" t="s">
        <v>588</v>
      </c>
      <c r="AU41" s="13" t="s">
        <v>588</v>
      </c>
      <c r="AV41" s="13" t="s">
        <v>588</v>
      </c>
      <c r="AW41" s="13" t="s">
        <v>588</v>
      </c>
      <c r="AX41" s="13" t="s">
        <v>588</v>
      </c>
      <c r="AY41" s="13" t="s">
        <v>588</v>
      </c>
      <c r="AZ41" s="13" t="s">
        <v>588</v>
      </c>
      <c r="BA41" s="13" t="s">
        <v>588</v>
      </c>
      <c r="BB41" s="13" t="s">
        <v>588</v>
      </c>
      <c r="BC41" s="13" t="s">
        <v>588</v>
      </c>
      <c r="BD41" s="13" t="s">
        <v>588</v>
      </c>
      <c r="BE41" s="13" t="s">
        <v>588</v>
      </c>
      <c r="BF41" s="13" t="s">
        <v>588</v>
      </c>
      <c r="BG41" s="13" t="s">
        <v>588</v>
      </c>
      <c r="BH41" s="13" t="s">
        <v>588</v>
      </c>
      <c r="BI41" s="13" t="s">
        <v>588</v>
      </c>
      <c r="BJ41" s="13" t="s">
        <v>588</v>
      </c>
      <c r="BK41" s="13" t="s">
        <v>588</v>
      </c>
      <c r="BL41" s="13" t="s">
        <v>588</v>
      </c>
      <c r="BM41" s="11">
        <v>2</v>
      </c>
      <c r="BN41" s="11">
        <v>2</v>
      </c>
      <c r="BO41" s="13" t="s">
        <v>41</v>
      </c>
      <c r="BP41" s="13" t="s">
        <v>588</v>
      </c>
      <c r="BQ41" s="13" t="s">
        <v>588</v>
      </c>
      <c r="BR41" s="13" t="s">
        <v>588</v>
      </c>
      <c r="BS41" s="11" t="s">
        <v>8</v>
      </c>
      <c r="BT41" s="11" t="s">
        <v>9</v>
      </c>
      <c r="BU41" s="11" t="s">
        <v>9</v>
      </c>
      <c r="BV41" s="13" t="s">
        <v>8</v>
      </c>
      <c r="BW41" s="11" t="s">
        <v>13</v>
      </c>
      <c r="BX41" s="11" t="s">
        <v>13</v>
      </c>
      <c r="BY41" s="13" t="s">
        <v>588</v>
      </c>
      <c r="BZ41" s="13" t="s">
        <v>588</v>
      </c>
    </row>
    <row r="42" spans="1:78" x14ac:dyDescent="0.25">
      <c r="A42" s="11">
        <v>201920</v>
      </c>
      <c r="B42" s="11" t="s">
        <v>35</v>
      </c>
      <c r="C42" s="11" t="s">
        <v>35</v>
      </c>
      <c r="D42" s="11" t="s">
        <v>85</v>
      </c>
      <c r="E42" s="11" t="s">
        <v>86</v>
      </c>
      <c r="F42" s="11">
        <v>3</v>
      </c>
      <c r="G42" s="11" t="s">
        <v>1218</v>
      </c>
      <c r="H42" s="11" t="s">
        <v>1218</v>
      </c>
      <c r="I42" s="13">
        <v>43803</v>
      </c>
      <c r="J42" s="11">
        <v>4</v>
      </c>
      <c r="K42" s="11">
        <v>12</v>
      </c>
      <c r="L42" s="11">
        <v>2019</v>
      </c>
      <c r="M42" s="11" t="s">
        <v>1301</v>
      </c>
      <c r="N42" s="11" t="s">
        <v>7</v>
      </c>
      <c r="O42" s="11" t="s">
        <v>51</v>
      </c>
      <c r="P42" s="23">
        <v>-38.672297999999998</v>
      </c>
      <c r="Q42" s="23">
        <v>145.63986199999999</v>
      </c>
      <c r="R42" s="11" t="s">
        <v>588</v>
      </c>
      <c r="S42" s="11" t="s">
        <v>588</v>
      </c>
      <c r="T42" s="11">
        <v>3</v>
      </c>
      <c r="U42" s="11">
        <v>3</v>
      </c>
      <c r="V42" t="s">
        <v>588</v>
      </c>
      <c r="W42" t="s">
        <v>588</v>
      </c>
      <c r="X42" s="11">
        <v>7</v>
      </c>
      <c r="Y42" s="11">
        <v>6</v>
      </c>
      <c r="Z42" s="11" t="s">
        <v>41</v>
      </c>
      <c r="AA42" s="13">
        <v>43821</v>
      </c>
      <c r="AB42" s="11">
        <v>22</v>
      </c>
      <c r="AC42" s="11">
        <v>12</v>
      </c>
      <c r="AD42" s="11">
        <v>2019</v>
      </c>
      <c r="AE42" s="13" t="s">
        <v>1277</v>
      </c>
      <c r="AF42" s="11" t="s">
        <v>7</v>
      </c>
      <c r="AG42" s="13">
        <v>43830</v>
      </c>
      <c r="AH42" s="11">
        <v>31</v>
      </c>
      <c r="AI42" s="11">
        <v>12</v>
      </c>
      <c r="AJ42" s="11">
        <v>2019</v>
      </c>
      <c r="AK42" s="13" t="s">
        <v>1258</v>
      </c>
      <c r="AL42" s="11" t="s">
        <v>7</v>
      </c>
      <c r="AM42" s="13" t="s">
        <v>20</v>
      </c>
      <c r="AN42" s="11" t="s">
        <v>8</v>
      </c>
      <c r="AO42" s="11" t="s">
        <v>32</v>
      </c>
      <c r="AP42" s="11" t="s">
        <v>588</v>
      </c>
      <c r="AQ42" s="13" t="s">
        <v>588</v>
      </c>
      <c r="AR42" s="11" t="s">
        <v>588</v>
      </c>
      <c r="AS42" s="11" t="s">
        <v>588</v>
      </c>
      <c r="AT42" s="11" t="s">
        <v>588</v>
      </c>
      <c r="AU42" s="11" t="s">
        <v>588</v>
      </c>
      <c r="AV42" s="11" t="s">
        <v>588</v>
      </c>
      <c r="AW42" s="13" t="s">
        <v>588</v>
      </c>
      <c r="AX42" s="11" t="s">
        <v>588</v>
      </c>
      <c r="AY42" s="13" t="s">
        <v>588</v>
      </c>
      <c r="AZ42" s="13" t="s">
        <v>588</v>
      </c>
      <c r="BA42" s="13" t="s">
        <v>588</v>
      </c>
      <c r="BB42" s="13" t="s">
        <v>588</v>
      </c>
      <c r="BC42" s="13" t="s">
        <v>588</v>
      </c>
      <c r="BD42" s="13" t="s">
        <v>588</v>
      </c>
      <c r="BE42" s="13" t="s">
        <v>588</v>
      </c>
      <c r="BF42" s="13" t="s">
        <v>588</v>
      </c>
      <c r="BG42" s="13" t="s">
        <v>588</v>
      </c>
      <c r="BH42" s="13" t="s">
        <v>588</v>
      </c>
      <c r="BI42" s="13" t="s">
        <v>588</v>
      </c>
      <c r="BJ42" s="13" t="s">
        <v>588</v>
      </c>
      <c r="BK42" s="13" t="s">
        <v>588</v>
      </c>
      <c r="BL42" s="13" t="s">
        <v>588</v>
      </c>
      <c r="BM42" s="13" t="s">
        <v>588</v>
      </c>
      <c r="BN42" s="13" t="s">
        <v>588</v>
      </c>
      <c r="BO42" s="13" t="s">
        <v>588</v>
      </c>
      <c r="BP42" s="13" t="s">
        <v>588</v>
      </c>
      <c r="BQ42" s="13" t="s">
        <v>588</v>
      </c>
      <c r="BR42" s="13" t="s">
        <v>588</v>
      </c>
      <c r="BS42" s="11" t="s">
        <v>8</v>
      </c>
      <c r="BT42" s="11" t="s">
        <v>9</v>
      </c>
      <c r="BU42" s="11" t="s">
        <v>9</v>
      </c>
      <c r="BV42" s="13" t="s">
        <v>588</v>
      </c>
      <c r="BW42" s="13" t="s">
        <v>588</v>
      </c>
      <c r="BX42" s="13" t="s">
        <v>588</v>
      </c>
      <c r="BY42" s="13" t="s">
        <v>588</v>
      </c>
      <c r="BZ42" s="13" t="s">
        <v>588</v>
      </c>
    </row>
    <row r="43" spans="1:78" x14ac:dyDescent="0.25">
      <c r="A43" s="11">
        <v>201920</v>
      </c>
      <c r="B43" s="11" t="s">
        <v>35</v>
      </c>
      <c r="C43" s="11" t="s">
        <v>35</v>
      </c>
      <c r="D43" s="11" t="s">
        <v>85</v>
      </c>
      <c r="E43" s="11" t="s">
        <v>86</v>
      </c>
      <c r="F43" s="11">
        <v>4</v>
      </c>
      <c r="G43" s="11" t="s">
        <v>1219</v>
      </c>
      <c r="H43" s="11" t="s">
        <v>1219</v>
      </c>
      <c r="I43" s="13">
        <v>43847</v>
      </c>
      <c r="J43" s="11">
        <v>17</v>
      </c>
      <c r="K43" s="11">
        <v>1</v>
      </c>
      <c r="L43" s="11">
        <v>2020</v>
      </c>
      <c r="M43" s="11" t="s">
        <v>1243</v>
      </c>
      <c r="N43" s="11" t="s">
        <v>12</v>
      </c>
      <c r="O43" s="11" t="s">
        <v>51</v>
      </c>
      <c r="P43" s="23">
        <v>-38.672297999999998</v>
      </c>
      <c r="Q43" s="23">
        <v>145.63986199999999</v>
      </c>
      <c r="R43" s="11" t="s">
        <v>588</v>
      </c>
      <c r="S43" s="11" t="s">
        <v>588</v>
      </c>
      <c r="T43" s="11">
        <v>1</v>
      </c>
      <c r="U43" s="11">
        <v>3</v>
      </c>
      <c r="V43" t="s">
        <v>588</v>
      </c>
      <c r="W43" t="s">
        <v>588</v>
      </c>
      <c r="X43" s="11">
        <v>6</v>
      </c>
      <c r="Y43" s="11">
        <v>6</v>
      </c>
      <c r="Z43" s="11" t="s">
        <v>8</v>
      </c>
      <c r="AA43" s="13">
        <v>43868</v>
      </c>
      <c r="AB43" s="11">
        <v>7</v>
      </c>
      <c r="AC43" s="11">
        <v>2</v>
      </c>
      <c r="AD43" s="11">
        <v>2020</v>
      </c>
      <c r="AE43" s="13" t="s">
        <v>1278</v>
      </c>
      <c r="AF43" s="11" t="s">
        <v>21</v>
      </c>
      <c r="AG43" s="11" t="s">
        <v>588</v>
      </c>
      <c r="AH43" s="11" t="s">
        <v>588</v>
      </c>
      <c r="AI43" s="11" t="s">
        <v>588</v>
      </c>
      <c r="AJ43" s="11" t="s">
        <v>588</v>
      </c>
      <c r="AK43" s="13" t="s">
        <v>588</v>
      </c>
      <c r="AL43" s="11" t="s">
        <v>588</v>
      </c>
      <c r="AM43" s="13" t="s">
        <v>588</v>
      </c>
      <c r="AN43" s="11" t="s">
        <v>588</v>
      </c>
      <c r="AO43" s="13" t="s">
        <v>588</v>
      </c>
      <c r="AP43" s="13">
        <v>43874</v>
      </c>
      <c r="AQ43" s="13" t="s">
        <v>21</v>
      </c>
      <c r="AR43" s="11" t="s">
        <v>195</v>
      </c>
      <c r="AS43" s="11">
        <v>1</v>
      </c>
      <c r="AT43" s="11">
        <v>1</v>
      </c>
      <c r="AU43" s="13">
        <v>43877</v>
      </c>
      <c r="AV43" s="13">
        <v>43881</v>
      </c>
      <c r="AW43" s="11" t="s">
        <v>21</v>
      </c>
      <c r="AX43" s="11" t="s">
        <v>20</v>
      </c>
      <c r="AY43" s="11" t="s">
        <v>41</v>
      </c>
      <c r="AZ43" s="11" t="s">
        <v>41</v>
      </c>
      <c r="BA43" s="13" t="s">
        <v>588</v>
      </c>
      <c r="BB43" s="13" t="s">
        <v>588</v>
      </c>
      <c r="BC43" s="13" t="s">
        <v>588</v>
      </c>
      <c r="BD43" s="13" t="s">
        <v>588</v>
      </c>
      <c r="BE43" s="13" t="s">
        <v>588</v>
      </c>
      <c r="BF43" s="13" t="s">
        <v>588</v>
      </c>
      <c r="BG43" s="13" t="s">
        <v>588</v>
      </c>
      <c r="BH43" s="13" t="s">
        <v>588</v>
      </c>
      <c r="BI43" s="13" t="s">
        <v>588</v>
      </c>
      <c r="BJ43" s="13" t="s">
        <v>588</v>
      </c>
      <c r="BK43" s="13" t="s">
        <v>588</v>
      </c>
      <c r="BL43" s="13" t="s">
        <v>588</v>
      </c>
      <c r="BM43" s="11">
        <v>3</v>
      </c>
      <c r="BN43" s="11">
        <v>3</v>
      </c>
      <c r="BO43" s="13" t="s">
        <v>41</v>
      </c>
      <c r="BP43" s="13" t="s">
        <v>588</v>
      </c>
      <c r="BQ43" s="13" t="s">
        <v>588</v>
      </c>
      <c r="BR43" s="13" t="s">
        <v>588</v>
      </c>
      <c r="BS43" s="11" t="s">
        <v>8</v>
      </c>
      <c r="BT43" s="11" t="s">
        <v>1220</v>
      </c>
      <c r="BU43" s="11" t="s">
        <v>65</v>
      </c>
      <c r="BV43" s="13" t="s">
        <v>8</v>
      </c>
      <c r="BW43" s="11" t="s">
        <v>18</v>
      </c>
      <c r="BX43" s="11" t="s">
        <v>18</v>
      </c>
      <c r="BY43" s="13" t="s">
        <v>588</v>
      </c>
      <c r="BZ43" s="13" t="s">
        <v>588</v>
      </c>
    </row>
    <row r="44" spans="1:78" x14ac:dyDescent="0.25">
      <c r="A44" s="11">
        <v>201920</v>
      </c>
      <c r="B44" s="11" t="s">
        <v>76</v>
      </c>
      <c r="C44" s="11" t="s">
        <v>76</v>
      </c>
      <c r="D44" s="11" t="s">
        <v>30</v>
      </c>
      <c r="E44" s="11" t="s">
        <v>16</v>
      </c>
      <c r="F44" s="11">
        <v>1</v>
      </c>
      <c r="G44" s="11" t="s">
        <v>1221</v>
      </c>
      <c r="H44" s="11" t="s">
        <v>1221</v>
      </c>
      <c r="I44" s="13">
        <v>43761</v>
      </c>
      <c r="J44" s="11">
        <v>23</v>
      </c>
      <c r="K44" s="11">
        <v>10</v>
      </c>
      <c r="L44" s="11">
        <v>2019</v>
      </c>
      <c r="M44" s="11" t="s">
        <v>1302</v>
      </c>
      <c r="N44" s="11" t="s">
        <v>29</v>
      </c>
      <c r="O44" s="11" t="s">
        <v>10</v>
      </c>
      <c r="P44" s="23">
        <v>-38.676025000000003</v>
      </c>
      <c r="Q44" s="23">
        <v>145.650375</v>
      </c>
      <c r="R44" s="11" t="s">
        <v>588</v>
      </c>
      <c r="S44" s="11" t="s">
        <v>588</v>
      </c>
      <c r="T44" s="11">
        <v>3</v>
      </c>
      <c r="U44" s="11">
        <v>3</v>
      </c>
      <c r="V44" t="s">
        <v>588</v>
      </c>
      <c r="W44" t="s">
        <v>588</v>
      </c>
      <c r="X44" s="11">
        <v>3</v>
      </c>
      <c r="Y44" s="11">
        <v>3</v>
      </c>
      <c r="Z44" s="11" t="s">
        <v>41</v>
      </c>
      <c r="AA44" s="13">
        <v>43763</v>
      </c>
      <c r="AB44" s="11">
        <v>25</v>
      </c>
      <c r="AC44" s="11">
        <v>10</v>
      </c>
      <c r="AD44" s="11">
        <v>2019</v>
      </c>
      <c r="AE44" s="13" t="s">
        <v>1303</v>
      </c>
      <c r="AF44" s="11" t="s">
        <v>29</v>
      </c>
      <c r="AG44" s="13">
        <v>43766</v>
      </c>
      <c r="AH44" s="11">
        <v>28</v>
      </c>
      <c r="AI44" s="11">
        <v>10</v>
      </c>
      <c r="AJ44" s="11">
        <v>2019</v>
      </c>
      <c r="AK44" s="13" t="s">
        <v>1259</v>
      </c>
      <c r="AL44" s="11" t="s">
        <v>29</v>
      </c>
      <c r="AM44" s="13" t="s">
        <v>20</v>
      </c>
      <c r="AN44" s="11" t="s">
        <v>8</v>
      </c>
      <c r="AO44" s="11" t="s">
        <v>32</v>
      </c>
      <c r="AP44" s="11" t="s">
        <v>588</v>
      </c>
      <c r="AQ44" s="13" t="s">
        <v>588</v>
      </c>
      <c r="AR44" s="11" t="s">
        <v>588</v>
      </c>
      <c r="AS44" s="11" t="s">
        <v>588</v>
      </c>
      <c r="AT44" s="11" t="s">
        <v>588</v>
      </c>
      <c r="AU44" s="11" t="s">
        <v>588</v>
      </c>
      <c r="AV44" s="11" t="s">
        <v>588</v>
      </c>
      <c r="AW44" s="13" t="s">
        <v>588</v>
      </c>
      <c r="AX44" s="11" t="s">
        <v>588</v>
      </c>
      <c r="AY44" s="13" t="s">
        <v>588</v>
      </c>
      <c r="AZ44" s="13" t="s">
        <v>588</v>
      </c>
      <c r="BA44" s="13" t="s">
        <v>588</v>
      </c>
      <c r="BB44" s="13" t="s">
        <v>588</v>
      </c>
      <c r="BC44" s="13" t="s">
        <v>588</v>
      </c>
      <c r="BD44" s="13" t="s">
        <v>588</v>
      </c>
      <c r="BE44" s="13" t="s">
        <v>588</v>
      </c>
      <c r="BF44" s="13" t="s">
        <v>588</v>
      </c>
      <c r="BG44" s="13" t="s">
        <v>588</v>
      </c>
      <c r="BH44" s="13" t="s">
        <v>588</v>
      </c>
      <c r="BI44" s="13" t="s">
        <v>588</v>
      </c>
      <c r="BJ44" s="13" t="s">
        <v>588</v>
      </c>
      <c r="BK44" s="13" t="s">
        <v>588</v>
      </c>
      <c r="BL44" s="13" t="s">
        <v>588</v>
      </c>
      <c r="BM44" s="13" t="s">
        <v>588</v>
      </c>
      <c r="BN44" s="13" t="s">
        <v>588</v>
      </c>
      <c r="BO44" s="13" t="s">
        <v>588</v>
      </c>
      <c r="BP44" s="13" t="s">
        <v>588</v>
      </c>
      <c r="BQ44" s="13" t="s">
        <v>588</v>
      </c>
      <c r="BR44" s="13" t="s">
        <v>588</v>
      </c>
      <c r="BS44" s="11" t="s">
        <v>8</v>
      </c>
      <c r="BT44" s="11" t="s">
        <v>9</v>
      </c>
      <c r="BU44" s="11" t="s">
        <v>9</v>
      </c>
      <c r="BV44" s="13" t="s">
        <v>588</v>
      </c>
      <c r="BW44" s="13" t="s">
        <v>588</v>
      </c>
      <c r="BX44" s="13" t="s">
        <v>588</v>
      </c>
      <c r="BY44" s="13" t="s">
        <v>588</v>
      </c>
      <c r="BZ44" s="13" t="s">
        <v>588</v>
      </c>
    </row>
    <row r="45" spans="1:78" x14ac:dyDescent="0.25">
      <c r="A45" s="11">
        <v>201920</v>
      </c>
      <c r="B45" s="11" t="s">
        <v>76</v>
      </c>
      <c r="C45" s="11" t="s">
        <v>76</v>
      </c>
      <c r="D45" s="11" t="s">
        <v>30</v>
      </c>
      <c r="E45" s="11" t="s">
        <v>16</v>
      </c>
      <c r="F45" s="11">
        <v>2</v>
      </c>
      <c r="G45" s="11" t="s">
        <v>1222</v>
      </c>
      <c r="H45" s="11" t="s">
        <v>1222</v>
      </c>
      <c r="I45" s="13">
        <v>43780</v>
      </c>
      <c r="J45" s="11">
        <v>11</v>
      </c>
      <c r="K45" s="11">
        <v>11</v>
      </c>
      <c r="L45" s="11">
        <v>2019</v>
      </c>
      <c r="M45" s="11" t="s">
        <v>1257</v>
      </c>
      <c r="N45" s="11" t="s">
        <v>17</v>
      </c>
      <c r="O45" s="11" t="s">
        <v>51</v>
      </c>
      <c r="P45" s="23">
        <v>-38.676025000000003</v>
      </c>
      <c r="Q45" s="23">
        <v>145.650375</v>
      </c>
      <c r="R45" s="11" t="s">
        <v>588</v>
      </c>
      <c r="S45" s="11" t="s">
        <v>588</v>
      </c>
      <c r="T45" s="11">
        <v>1</v>
      </c>
      <c r="U45" s="11">
        <v>3</v>
      </c>
      <c r="V45" t="s">
        <v>588</v>
      </c>
      <c r="W45" t="s">
        <v>588</v>
      </c>
      <c r="X45" s="11">
        <v>2</v>
      </c>
      <c r="Y45" s="11">
        <v>2</v>
      </c>
      <c r="Z45" s="11" t="s">
        <v>41</v>
      </c>
      <c r="AA45" s="13">
        <v>43780</v>
      </c>
      <c r="AB45" s="11">
        <v>11</v>
      </c>
      <c r="AC45" s="11">
        <v>11</v>
      </c>
      <c r="AD45" s="11">
        <v>2019</v>
      </c>
      <c r="AE45" s="13" t="s">
        <v>1257</v>
      </c>
      <c r="AF45" s="11" t="s">
        <v>17</v>
      </c>
      <c r="AG45" s="13">
        <v>43783</v>
      </c>
      <c r="AH45" s="11">
        <v>14</v>
      </c>
      <c r="AI45" s="11">
        <v>11</v>
      </c>
      <c r="AJ45" s="11">
        <v>2019</v>
      </c>
      <c r="AK45" s="13" t="s">
        <v>1260</v>
      </c>
      <c r="AL45" s="11" t="s">
        <v>17</v>
      </c>
      <c r="AM45" s="11" t="s">
        <v>11</v>
      </c>
      <c r="AN45" s="11" t="s">
        <v>8</v>
      </c>
      <c r="AO45" s="13" t="s">
        <v>41</v>
      </c>
      <c r="AP45" s="11" t="s">
        <v>588</v>
      </c>
      <c r="AQ45" s="13" t="s">
        <v>588</v>
      </c>
      <c r="AR45" s="11" t="s">
        <v>588</v>
      </c>
      <c r="AS45" s="13" t="s">
        <v>588</v>
      </c>
      <c r="AT45" s="11" t="s">
        <v>588</v>
      </c>
      <c r="AU45" s="13" t="s">
        <v>588</v>
      </c>
      <c r="AV45" s="13" t="s">
        <v>588</v>
      </c>
      <c r="AW45" s="13" t="s">
        <v>588</v>
      </c>
      <c r="AX45" s="13" t="s">
        <v>588</v>
      </c>
      <c r="AY45" s="13" t="s">
        <v>588</v>
      </c>
      <c r="AZ45" s="13" t="s">
        <v>588</v>
      </c>
      <c r="BA45" s="13" t="s">
        <v>588</v>
      </c>
      <c r="BB45" s="13" t="s">
        <v>588</v>
      </c>
      <c r="BC45" s="13" t="s">
        <v>588</v>
      </c>
      <c r="BD45" s="13" t="s">
        <v>588</v>
      </c>
      <c r="BE45" s="13" t="s">
        <v>588</v>
      </c>
      <c r="BF45" s="13" t="s">
        <v>588</v>
      </c>
      <c r="BG45" s="13" t="s">
        <v>588</v>
      </c>
      <c r="BH45" s="13" t="s">
        <v>588</v>
      </c>
      <c r="BI45" s="13" t="s">
        <v>588</v>
      </c>
      <c r="BJ45" s="13" t="s">
        <v>588</v>
      </c>
      <c r="BK45" s="13" t="s">
        <v>588</v>
      </c>
      <c r="BL45" s="13" t="s">
        <v>588</v>
      </c>
      <c r="BM45" s="13" t="s">
        <v>588</v>
      </c>
      <c r="BN45" s="13" t="s">
        <v>588</v>
      </c>
      <c r="BO45" s="13" t="s">
        <v>588</v>
      </c>
      <c r="BP45" s="13" t="s">
        <v>588</v>
      </c>
      <c r="BQ45" s="13" t="s">
        <v>588</v>
      </c>
      <c r="BR45" s="13" t="s">
        <v>588</v>
      </c>
      <c r="BS45" s="11" t="s">
        <v>8</v>
      </c>
      <c r="BT45" s="11" t="s">
        <v>13</v>
      </c>
      <c r="BU45" s="11" t="s">
        <v>13</v>
      </c>
      <c r="BV45" s="13" t="s">
        <v>588</v>
      </c>
      <c r="BW45" s="13" t="s">
        <v>588</v>
      </c>
      <c r="BX45" s="13" t="s">
        <v>588</v>
      </c>
      <c r="BY45" s="13" t="s">
        <v>588</v>
      </c>
      <c r="BZ45" s="13" t="s">
        <v>588</v>
      </c>
    </row>
    <row r="46" spans="1:78" x14ac:dyDescent="0.25">
      <c r="A46" s="11">
        <v>201920</v>
      </c>
      <c r="B46" s="11" t="s">
        <v>76</v>
      </c>
      <c r="C46" s="11" t="s">
        <v>76</v>
      </c>
      <c r="D46" s="11" t="s">
        <v>30</v>
      </c>
      <c r="E46" s="11" t="s">
        <v>16</v>
      </c>
      <c r="F46" s="11">
        <v>3</v>
      </c>
      <c r="G46" s="11" t="s">
        <v>1223</v>
      </c>
      <c r="H46" s="11" t="s">
        <v>1223</v>
      </c>
      <c r="I46" s="13">
        <v>43803</v>
      </c>
      <c r="J46" s="11">
        <v>4</v>
      </c>
      <c r="K46" s="11">
        <v>12</v>
      </c>
      <c r="L46" s="11">
        <v>2019</v>
      </c>
      <c r="M46" s="11" t="s">
        <v>1301</v>
      </c>
      <c r="N46" s="11" t="s">
        <v>7</v>
      </c>
      <c r="O46" s="11" t="s">
        <v>10</v>
      </c>
      <c r="P46" s="23">
        <v>-38.676025000000003</v>
      </c>
      <c r="Q46" s="23">
        <v>145.650375</v>
      </c>
      <c r="R46" s="11" t="s">
        <v>588</v>
      </c>
      <c r="S46" s="11" t="s">
        <v>588</v>
      </c>
      <c r="T46" s="11">
        <v>3</v>
      </c>
      <c r="U46" s="11">
        <v>3</v>
      </c>
      <c r="V46" t="s">
        <v>588</v>
      </c>
      <c r="W46" t="s">
        <v>588</v>
      </c>
      <c r="X46" s="11">
        <v>7</v>
      </c>
      <c r="Y46" s="11">
        <v>6</v>
      </c>
      <c r="Z46" s="11" t="s">
        <v>8</v>
      </c>
      <c r="AA46" s="13">
        <v>43830</v>
      </c>
      <c r="AB46" s="11">
        <v>31</v>
      </c>
      <c r="AC46" s="11">
        <v>12</v>
      </c>
      <c r="AD46" s="11">
        <v>2019</v>
      </c>
      <c r="AE46" s="13" t="s">
        <v>1258</v>
      </c>
      <c r="AF46" s="11" t="s">
        <v>7</v>
      </c>
      <c r="AG46" s="11" t="s">
        <v>588</v>
      </c>
      <c r="AH46" s="11" t="s">
        <v>588</v>
      </c>
      <c r="AI46" s="11" t="s">
        <v>588</v>
      </c>
      <c r="AJ46" s="11" t="s">
        <v>588</v>
      </c>
      <c r="AK46" s="13" t="s">
        <v>588</v>
      </c>
      <c r="AL46" s="11" t="s">
        <v>588</v>
      </c>
      <c r="AM46" s="13" t="s">
        <v>588</v>
      </c>
      <c r="AN46" s="11" t="s">
        <v>588</v>
      </c>
      <c r="AO46" s="11" t="s">
        <v>588</v>
      </c>
      <c r="AP46" s="13">
        <v>43834</v>
      </c>
      <c r="AQ46" s="11" t="s">
        <v>12</v>
      </c>
      <c r="AR46" s="11" t="s">
        <v>195</v>
      </c>
      <c r="AS46" s="11">
        <v>2</v>
      </c>
      <c r="AT46" s="11">
        <v>2</v>
      </c>
      <c r="AU46" s="11" t="s">
        <v>588</v>
      </c>
      <c r="AV46" s="11" t="s">
        <v>588</v>
      </c>
      <c r="AW46" s="13" t="s">
        <v>588</v>
      </c>
      <c r="AX46" s="11" t="s">
        <v>588</v>
      </c>
      <c r="AY46" s="13" t="s">
        <v>588</v>
      </c>
      <c r="AZ46" s="13" t="s">
        <v>588</v>
      </c>
      <c r="BA46" s="13" t="s">
        <v>588</v>
      </c>
      <c r="BB46" s="13" t="s">
        <v>588</v>
      </c>
      <c r="BC46" s="13" t="s">
        <v>588</v>
      </c>
      <c r="BD46" s="13" t="s">
        <v>588</v>
      </c>
      <c r="BE46" s="13" t="s">
        <v>588</v>
      </c>
      <c r="BF46" s="13" t="s">
        <v>588</v>
      </c>
      <c r="BG46" s="13" t="s">
        <v>588</v>
      </c>
      <c r="BH46" s="13" t="s">
        <v>588</v>
      </c>
      <c r="BI46" s="13" t="s">
        <v>588</v>
      </c>
      <c r="BJ46" s="13" t="s">
        <v>588</v>
      </c>
      <c r="BK46" s="13" t="s">
        <v>588</v>
      </c>
      <c r="BL46" s="13" t="s">
        <v>588</v>
      </c>
      <c r="BM46" s="11">
        <v>11</v>
      </c>
      <c r="BN46" s="11">
        <v>11</v>
      </c>
      <c r="BO46" s="13" t="s">
        <v>8</v>
      </c>
      <c r="BP46" s="11">
        <v>2</v>
      </c>
      <c r="BQ46" s="13">
        <v>43868</v>
      </c>
      <c r="BR46" s="13" t="s">
        <v>21</v>
      </c>
      <c r="BS46" s="11" t="s">
        <v>8</v>
      </c>
      <c r="BT46" s="11" t="s">
        <v>9</v>
      </c>
      <c r="BU46" s="11" t="s">
        <v>9</v>
      </c>
      <c r="BV46" s="13" t="s">
        <v>8</v>
      </c>
      <c r="BW46" s="11" t="s">
        <v>9</v>
      </c>
      <c r="BX46" s="11" t="s">
        <v>9</v>
      </c>
      <c r="BY46" s="13" t="s">
        <v>588</v>
      </c>
      <c r="BZ46" s="13" t="s">
        <v>588</v>
      </c>
    </row>
    <row r="47" spans="1:78" x14ac:dyDescent="0.25">
      <c r="A47" s="11">
        <v>201920</v>
      </c>
      <c r="B47" s="11" t="s">
        <v>37</v>
      </c>
      <c r="C47" s="11" t="s">
        <v>37</v>
      </c>
      <c r="D47" s="11" t="s">
        <v>38</v>
      </c>
      <c r="E47" s="11" t="s">
        <v>16</v>
      </c>
      <c r="F47" s="11">
        <v>1</v>
      </c>
      <c r="G47" s="11" t="s">
        <v>1224</v>
      </c>
      <c r="H47" s="11" t="s">
        <v>1224</v>
      </c>
      <c r="I47" s="13">
        <v>43843</v>
      </c>
      <c r="J47" s="11">
        <v>13</v>
      </c>
      <c r="K47" s="11">
        <v>1</v>
      </c>
      <c r="L47" s="11">
        <v>2020</v>
      </c>
      <c r="M47" s="11" t="s">
        <v>1285</v>
      </c>
      <c r="N47" s="11" t="s">
        <v>12</v>
      </c>
      <c r="O47" s="11" t="s">
        <v>36</v>
      </c>
      <c r="P47" s="23">
        <v>-38.656944000000003</v>
      </c>
      <c r="Q47" s="23">
        <v>145.57555500000001</v>
      </c>
      <c r="R47" s="11" t="s">
        <v>588</v>
      </c>
      <c r="S47" s="11" t="s">
        <v>588</v>
      </c>
      <c r="T47" s="11">
        <v>2</v>
      </c>
      <c r="U47" s="11">
        <v>3</v>
      </c>
      <c r="V47" t="s">
        <v>588</v>
      </c>
      <c r="W47" t="s">
        <v>588</v>
      </c>
      <c r="X47" s="11">
        <v>2</v>
      </c>
      <c r="Y47" s="11">
        <v>2</v>
      </c>
      <c r="Z47" s="11" t="s">
        <v>41</v>
      </c>
      <c r="AA47" s="13">
        <v>43843</v>
      </c>
      <c r="AB47" s="11">
        <v>13</v>
      </c>
      <c r="AC47" s="11">
        <v>1</v>
      </c>
      <c r="AD47" s="11">
        <v>2020</v>
      </c>
      <c r="AE47" s="13" t="s">
        <v>1285</v>
      </c>
      <c r="AF47" s="11" t="s">
        <v>12</v>
      </c>
      <c r="AG47" s="13">
        <v>43846</v>
      </c>
      <c r="AH47" s="11">
        <v>16</v>
      </c>
      <c r="AI47" s="11">
        <v>1</v>
      </c>
      <c r="AJ47" s="11">
        <v>2020</v>
      </c>
      <c r="AK47" s="13" t="s">
        <v>1253</v>
      </c>
      <c r="AL47" s="11" t="s">
        <v>12</v>
      </c>
      <c r="AM47" s="13" t="s">
        <v>20</v>
      </c>
      <c r="AN47" s="11" t="s">
        <v>41</v>
      </c>
      <c r="AO47" s="13" t="s">
        <v>41</v>
      </c>
      <c r="AP47" s="11" t="s">
        <v>588</v>
      </c>
      <c r="AQ47" s="13" t="s">
        <v>588</v>
      </c>
      <c r="AR47" s="11" t="s">
        <v>588</v>
      </c>
      <c r="AS47" s="13" t="s">
        <v>588</v>
      </c>
      <c r="AT47" s="11" t="s">
        <v>588</v>
      </c>
      <c r="AU47" s="13" t="s">
        <v>588</v>
      </c>
      <c r="AV47" s="13" t="s">
        <v>588</v>
      </c>
      <c r="AW47" s="13" t="s">
        <v>588</v>
      </c>
      <c r="AX47" s="13" t="s">
        <v>588</v>
      </c>
      <c r="AY47" s="13" t="s">
        <v>588</v>
      </c>
      <c r="AZ47" s="13" t="s">
        <v>588</v>
      </c>
      <c r="BA47" s="13" t="s">
        <v>588</v>
      </c>
      <c r="BB47" s="13" t="s">
        <v>588</v>
      </c>
      <c r="BC47" s="13" t="s">
        <v>588</v>
      </c>
      <c r="BD47" s="13" t="s">
        <v>588</v>
      </c>
      <c r="BE47" s="13" t="s">
        <v>588</v>
      </c>
      <c r="BF47" s="13" t="s">
        <v>588</v>
      </c>
      <c r="BG47" s="13" t="s">
        <v>588</v>
      </c>
      <c r="BH47" s="13" t="s">
        <v>588</v>
      </c>
      <c r="BI47" s="13" t="s">
        <v>588</v>
      </c>
      <c r="BJ47" s="13" t="s">
        <v>588</v>
      </c>
      <c r="BK47" s="13" t="s">
        <v>588</v>
      </c>
      <c r="BL47" s="13" t="s">
        <v>588</v>
      </c>
      <c r="BM47" s="13" t="s">
        <v>588</v>
      </c>
      <c r="BN47" s="13" t="s">
        <v>588</v>
      </c>
      <c r="BO47" s="13" t="s">
        <v>588</v>
      </c>
      <c r="BP47" s="13" t="s">
        <v>588</v>
      </c>
      <c r="BQ47" s="13" t="s">
        <v>588</v>
      </c>
      <c r="BR47" s="13" t="s">
        <v>588</v>
      </c>
      <c r="BS47" s="11" t="s">
        <v>41</v>
      </c>
      <c r="BT47" s="11" t="s">
        <v>42</v>
      </c>
      <c r="BU47" s="11" t="s">
        <v>42</v>
      </c>
      <c r="BV47" s="13" t="s">
        <v>588</v>
      </c>
      <c r="BW47" s="13" t="s">
        <v>588</v>
      </c>
      <c r="BX47" s="13" t="s">
        <v>588</v>
      </c>
      <c r="BY47" s="13" t="s">
        <v>588</v>
      </c>
      <c r="BZ47" s="13" t="s">
        <v>588</v>
      </c>
    </row>
    <row r="48" spans="1:78" x14ac:dyDescent="0.25">
      <c r="A48" s="11">
        <v>201920</v>
      </c>
      <c r="B48" s="11" t="s">
        <v>563</v>
      </c>
      <c r="C48" s="11" t="s">
        <v>563</v>
      </c>
      <c r="D48" s="11" t="s">
        <v>564</v>
      </c>
      <c r="E48" s="11" t="s">
        <v>16</v>
      </c>
      <c r="F48" s="11">
        <v>1</v>
      </c>
      <c r="G48" s="11" t="s">
        <v>1225</v>
      </c>
      <c r="H48" s="11" t="s">
        <v>1304</v>
      </c>
      <c r="I48" s="13">
        <v>43859</v>
      </c>
      <c r="J48" s="11">
        <v>29</v>
      </c>
      <c r="K48" s="11">
        <v>1</v>
      </c>
      <c r="L48" s="11">
        <v>2020</v>
      </c>
      <c r="M48" s="11" t="s">
        <v>1233</v>
      </c>
      <c r="N48" s="11" t="s">
        <v>12</v>
      </c>
      <c r="O48" s="11" t="s">
        <v>51</v>
      </c>
      <c r="P48" s="23">
        <v>-38.599825000000003</v>
      </c>
      <c r="Q48" s="23">
        <v>145.528066</v>
      </c>
      <c r="R48" s="11" t="s">
        <v>588</v>
      </c>
      <c r="S48" s="11" t="s">
        <v>588</v>
      </c>
      <c r="T48" s="11">
        <v>3</v>
      </c>
      <c r="U48" s="11">
        <v>3</v>
      </c>
      <c r="V48" s="1">
        <v>43863</v>
      </c>
      <c r="W48" t="s">
        <v>223</v>
      </c>
      <c r="X48" s="11">
        <v>3</v>
      </c>
      <c r="Y48" s="11">
        <v>3</v>
      </c>
      <c r="Z48" s="11" t="s">
        <v>8</v>
      </c>
      <c r="AA48" s="13">
        <v>43885</v>
      </c>
      <c r="AB48" s="11">
        <v>24</v>
      </c>
      <c r="AC48" s="11">
        <v>2</v>
      </c>
      <c r="AD48" s="11">
        <v>2020</v>
      </c>
      <c r="AE48" s="13" t="s">
        <v>1234</v>
      </c>
      <c r="AF48" s="11" t="s">
        <v>21</v>
      </c>
      <c r="AG48" s="11" t="s">
        <v>588</v>
      </c>
      <c r="AH48" s="11" t="s">
        <v>588</v>
      </c>
      <c r="AI48" s="11" t="s">
        <v>588</v>
      </c>
      <c r="AJ48" s="11" t="s">
        <v>588</v>
      </c>
      <c r="AK48" s="13" t="s">
        <v>588</v>
      </c>
      <c r="AL48" s="11" t="s">
        <v>588</v>
      </c>
      <c r="AM48" s="13" t="s">
        <v>588</v>
      </c>
      <c r="AN48" s="11" t="s">
        <v>588</v>
      </c>
      <c r="AO48" s="11" t="s">
        <v>588</v>
      </c>
      <c r="AP48" s="13">
        <v>43899</v>
      </c>
      <c r="AQ48" s="11" t="s">
        <v>22</v>
      </c>
      <c r="AR48" s="11" t="s">
        <v>195</v>
      </c>
      <c r="AS48" s="11">
        <v>2</v>
      </c>
      <c r="AT48" s="11">
        <v>3</v>
      </c>
      <c r="AU48" s="13">
        <v>43921</v>
      </c>
      <c r="AV48" s="13">
        <v>43927</v>
      </c>
      <c r="AW48" s="13" t="s">
        <v>72</v>
      </c>
      <c r="AX48" s="11" t="s">
        <v>20</v>
      </c>
      <c r="AY48" s="13" t="s">
        <v>41</v>
      </c>
      <c r="AZ48" s="13" t="s">
        <v>41</v>
      </c>
      <c r="BA48" s="13" t="s">
        <v>588</v>
      </c>
      <c r="BB48" s="13" t="s">
        <v>588</v>
      </c>
      <c r="BC48" s="13" t="s">
        <v>588</v>
      </c>
      <c r="BD48" s="13" t="s">
        <v>588</v>
      </c>
      <c r="BE48" s="13" t="s">
        <v>588</v>
      </c>
      <c r="BF48" s="13" t="s">
        <v>588</v>
      </c>
      <c r="BG48" s="13" t="s">
        <v>588</v>
      </c>
      <c r="BH48" s="13" t="s">
        <v>588</v>
      </c>
      <c r="BI48" s="13" t="s">
        <v>588</v>
      </c>
      <c r="BJ48" s="13" t="s">
        <v>588</v>
      </c>
      <c r="BK48" s="13" t="s">
        <v>588</v>
      </c>
      <c r="BL48" s="13" t="s">
        <v>588</v>
      </c>
      <c r="BM48" s="11">
        <v>8</v>
      </c>
      <c r="BN48" s="11">
        <v>8</v>
      </c>
      <c r="BO48" s="13" t="s">
        <v>8</v>
      </c>
      <c r="BP48" s="11">
        <v>1</v>
      </c>
      <c r="BQ48" s="13">
        <v>43936</v>
      </c>
      <c r="BR48" s="13" t="s">
        <v>72</v>
      </c>
      <c r="BS48" s="11" t="s">
        <v>8</v>
      </c>
      <c r="BT48" s="11" t="s">
        <v>9</v>
      </c>
      <c r="BU48" s="11" t="s">
        <v>9</v>
      </c>
      <c r="BV48" s="13" t="s">
        <v>8</v>
      </c>
      <c r="BW48" s="11" t="s">
        <v>18</v>
      </c>
      <c r="BX48" s="11" t="s">
        <v>18</v>
      </c>
      <c r="BY48" s="13" t="s">
        <v>588</v>
      </c>
      <c r="BZ48" s="13" t="s">
        <v>588</v>
      </c>
    </row>
    <row r="49" spans="1:78" x14ac:dyDescent="0.25">
      <c r="A49" s="11">
        <v>201920</v>
      </c>
      <c r="B49" s="11" t="s">
        <v>359</v>
      </c>
      <c r="C49" s="11" t="s">
        <v>359</v>
      </c>
      <c r="D49" s="11" t="s">
        <v>360</v>
      </c>
      <c r="E49" s="11" t="s">
        <v>440</v>
      </c>
      <c r="F49" s="11">
        <v>1</v>
      </c>
      <c r="G49" s="11" t="s">
        <v>1226</v>
      </c>
      <c r="H49" s="11" t="s">
        <v>1226</v>
      </c>
      <c r="I49" s="13">
        <v>43815</v>
      </c>
      <c r="J49" s="11">
        <v>16</v>
      </c>
      <c r="K49" s="11">
        <v>12</v>
      </c>
      <c r="L49" s="11">
        <v>2019</v>
      </c>
      <c r="M49" s="11" t="s">
        <v>1284</v>
      </c>
      <c r="N49" s="11" t="s">
        <v>7</v>
      </c>
      <c r="O49" s="11" t="s">
        <v>51</v>
      </c>
      <c r="P49" s="23">
        <v>-38.590432999999997</v>
      </c>
      <c r="Q49" s="23">
        <v>145.51833600000001</v>
      </c>
      <c r="R49" s="11" t="s">
        <v>588</v>
      </c>
      <c r="S49" s="11" t="s">
        <v>588</v>
      </c>
      <c r="T49" s="11">
        <v>3</v>
      </c>
      <c r="U49" s="11">
        <v>3</v>
      </c>
      <c r="V49" t="s">
        <v>588</v>
      </c>
      <c r="W49" t="s">
        <v>588</v>
      </c>
      <c r="X49" s="11">
        <v>3</v>
      </c>
      <c r="Y49" s="11">
        <v>3</v>
      </c>
      <c r="Z49" s="11" t="s">
        <v>41</v>
      </c>
      <c r="AA49" s="13">
        <v>43818</v>
      </c>
      <c r="AB49" s="11">
        <v>19</v>
      </c>
      <c r="AC49" s="11">
        <v>12</v>
      </c>
      <c r="AD49" s="11">
        <v>2019</v>
      </c>
      <c r="AE49" s="13" t="s">
        <v>1244</v>
      </c>
      <c r="AF49" s="11" t="s">
        <v>7</v>
      </c>
      <c r="AG49" s="13">
        <v>43823</v>
      </c>
      <c r="AH49" s="11">
        <v>24</v>
      </c>
      <c r="AI49" s="11">
        <v>12</v>
      </c>
      <c r="AJ49" s="11">
        <v>2019</v>
      </c>
      <c r="AK49" s="13" t="s">
        <v>1261</v>
      </c>
      <c r="AL49" s="11" t="s">
        <v>7</v>
      </c>
      <c r="AM49" s="13" t="s">
        <v>1227</v>
      </c>
      <c r="AN49" s="11" t="s">
        <v>8</v>
      </c>
      <c r="AO49" s="13" t="s">
        <v>41</v>
      </c>
      <c r="AP49" s="11" t="s">
        <v>588</v>
      </c>
      <c r="AQ49" s="13" t="s">
        <v>588</v>
      </c>
      <c r="AR49" s="11" t="s">
        <v>588</v>
      </c>
      <c r="AS49" s="13" t="s">
        <v>588</v>
      </c>
      <c r="AT49" s="11" t="s">
        <v>588</v>
      </c>
      <c r="AU49" s="13" t="s">
        <v>588</v>
      </c>
      <c r="AV49" s="13" t="s">
        <v>588</v>
      </c>
      <c r="AW49" s="13" t="s">
        <v>588</v>
      </c>
      <c r="AX49" s="13" t="s">
        <v>588</v>
      </c>
      <c r="AY49" s="13" t="s">
        <v>588</v>
      </c>
      <c r="AZ49" s="13" t="s">
        <v>588</v>
      </c>
      <c r="BA49" s="13" t="s">
        <v>588</v>
      </c>
      <c r="BB49" s="13" t="s">
        <v>588</v>
      </c>
      <c r="BC49" s="13" t="s">
        <v>588</v>
      </c>
      <c r="BD49" s="13" t="s">
        <v>588</v>
      </c>
      <c r="BE49" s="13" t="s">
        <v>588</v>
      </c>
      <c r="BF49" s="13" t="s">
        <v>588</v>
      </c>
      <c r="BG49" s="13" t="s">
        <v>588</v>
      </c>
      <c r="BH49" s="13" t="s">
        <v>588</v>
      </c>
      <c r="BI49" s="13" t="s">
        <v>588</v>
      </c>
      <c r="BJ49" s="13" t="s">
        <v>588</v>
      </c>
      <c r="BK49" s="13" t="s">
        <v>588</v>
      </c>
      <c r="BL49" s="13" t="s">
        <v>588</v>
      </c>
      <c r="BM49" s="13" t="s">
        <v>588</v>
      </c>
      <c r="BN49" s="13" t="s">
        <v>588</v>
      </c>
      <c r="BO49" s="13" t="s">
        <v>588</v>
      </c>
      <c r="BP49" s="13" t="s">
        <v>588</v>
      </c>
      <c r="BQ49" s="13" t="s">
        <v>588</v>
      </c>
      <c r="BR49" s="13" t="s">
        <v>588</v>
      </c>
      <c r="BS49" s="11" t="s">
        <v>41</v>
      </c>
      <c r="BT49" s="11" t="s">
        <v>42</v>
      </c>
      <c r="BU49" s="11" t="s">
        <v>42</v>
      </c>
      <c r="BV49" s="13" t="s">
        <v>588</v>
      </c>
      <c r="BW49" s="13" t="s">
        <v>588</v>
      </c>
      <c r="BX49" s="13" t="s">
        <v>588</v>
      </c>
      <c r="BY49" s="13" t="s">
        <v>588</v>
      </c>
      <c r="BZ49" s="13" t="s">
        <v>588</v>
      </c>
    </row>
    <row r="50" spans="1:78" x14ac:dyDescent="0.25">
      <c r="A50" s="11">
        <v>201920</v>
      </c>
      <c r="B50" s="11" t="s">
        <v>359</v>
      </c>
      <c r="C50" s="11" t="s">
        <v>359</v>
      </c>
      <c r="D50" s="11" t="s">
        <v>360</v>
      </c>
      <c r="E50" s="11" t="s">
        <v>440</v>
      </c>
      <c r="F50" s="11">
        <v>2</v>
      </c>
      <c r="G50" s="11" t="s">
        <v>1228</v>
      </c>
      <c r="H50" s="11" t="s">
        <v>1228</v>
      </c>
      <c r="I50" s="13">
        <v>43828</v>
      </c>
      <c r="J50" s="11">
        <v>29</v>
      </c>
      <c r="K50" s="11">
        <v>12</v>
      </c>
      <c r="L50" s="11">
        <v>2019</v>
      </c>
      <c r="M50" s="11" t="s">
        <v>1240</v>
      </c>
      <c r="N50" s="11" t="s">
        <v>7</v>
      </c>
      <c r="O50" s="11" t="s">
        <v>10</v>
      </c>
      <c r="P50" s="23">
        <v>-38.592930000000003</v>
      </c>
      <c r="Q50" s="23">
        <v>145.52101200000001</v>
      </c>
      <c r="R50" s="11" t="s">
        <v>588</v>
      </c>
      <c r="S50" s="11" t="s">
        <v>588</v>
      </c>
      <c r="T50" s="11">
        <v>3</v>
      </c>
      <c r="U50" s="11">
        <v>3</v>
      </c>
      <c r="V50" s="1">
        <v>43831</v>
      </c>
      <c r="W50" t="s">
        <v>223</v>
      </c>
      <c r="X50" s="11">
        <v>3</v>
      </c>
      <c r="Y50" s="11">
        <v>3</v>
      </c>
      <c r="Z50" s="11" t="s">
        <v>41</v>
      </c>
      <c r="AA50" s="13">
        <v>43831</v>
      </c>
      <c r="AB50" s="11">
        <v>1</v>
      </c>
      <c r="AC50" s="11">
        <v>1</v>
      </c>
      <c r="AD50" s="11">
        <v>2020</v>
      </c>
      <c r="AE50" s="13" t="s">
        <v>1251</v>
      </c>
      <c r="AF50" s="11" t="s">
        <v>12</v>
      </c>
      <c r="AG50" s="13">
        <v>43838</v>
      </c>
      <c r="AH50" s="11">
        <v>8</v>
      </c>
      <c r="AI50" s="11">
        <v>1</v>
      </c>
      <c r="AJ50" s="11">
        <v>2020</v>
      </c>
      <c r="AK50" s="13" t="s">
        <v>1262</v>
      </c>
      <c r="AL50" s="11" t="s">
        <v>12</v>
      </c>
      <c r="AM50" s="13" t="s">
        <v>20</v>
      </c>
      <c r="AN50" s="11" t="s">
        <v>8</v>
      </c>
      <c r="AO50" s="11" t="s">
        <v>11</v>
      </c>
      <c r="AP50" s="11" t="s">
        <v>588</v>
      </c>
      <c r="AQ50" s="11" t="s">
        <v>588</v>
      </c>
      <c r="AR50" s="11" t="s">
        <v>588</v>
      </c>
      <c r="AS50" s="11" t="s">
        <v>588</v>
      </c>
      <c r="AT50" s="11" t="s">
        <v>588</v>
      </c>
      <c r="AU50" s="13" t="s">
        <v>588</v>
      </c>
      <c r="AV50" s="13" t="s">
        <v>588</v>
      </c>
      <c r="AW50" s="13" t="s">
        <v>588</v>
      </c>
      <c r="AX50" s="13" t="s">
        <v>588</v>
      </c>
      <c r="AY50" s="13" t="s">
        <v>588</v>
      </c>
      <c r="AZ50" s="13" t="s">
        <v>588</v>
      </c>
      <c r="BA50" s="13" t="s">
        <v>588</v>
      </c>
      <c r="BB50" s="13" t="s">
        <v>588</v>
      </c>
      <c r="BC50" s="13" t="s">
        <v>588</v>
      </c>
      <c r="BD50" s="13" t="s">
        <v>588</v>
      </c>
      <c r="BE50" s="13" t="s">
        <v>588</v>
      </c>
      <c r="BF50" s="13" t="s">
        <v>588</v>
      </c>
      <c r="BG50" s="13" t="s">
        <v>588</v>
      </c>
      <c r="BH50" s="13" t="s">
        <v>588</v>
      </c>
      <c r="BI50" s="13" t="s">
        <v>588</v>
      </c>
      <c r="BJ50" s="13" t="s">
        <v>588</v>
      </c>
      <c r="BK50" s="13" t="s">
        <v>588</v>
      </c>
      <c r="BL50" s="13" t="s">
        <v>588</v>
      </c>
      <c r="BM50" s="13" t="s">
        <v>588</v>
      </c>
      <c r="BN50" s="13" t="s">
        <v>588</v>
      </c>
      <c r="BO50" s="13" t="s">
        <v>588</v>
      </c>
      <c r="BP50" s="13" t="s">
        <v>588</v>
      </c>
      <c r="BQ50" s="13" t="s">
        <v>588</v>
      </c>
      <c r="BR50" s="13" t="s">
        <v>588</v>
      </c>
      <c r="BS50" s="11" t="s">
        <v>8</v>
      </c>
      <c r="BT50" s="11" t="s">
        <v>13</v>
      </c>
      <c r="BU50" s="11" t="s">
        <v>13</v>
      </c>
      <c r="BV50" s="13" t="s">
        <v>588</v>
      </c>
      <c r="BW50" s="13" t="s">
        <v>588</v>
      </c>
      <c r="BX50" s="13" t="s">
        <v>588</v>
      </c>
      <c r="BY50" s="13" t="s">
        <v>588</v>
      </c>
      <c r="BZ50" s="13" t="s">
        <v>588</v>
      </c>
    </row>
    <row r="51" spans="1:78" x14ac:dyDescent="0.25">
      <c r="A51" s="11">
        <v>201920</v>
      </c>
      <c r="B51" s="11" t="s">
        <v>359</v>
      </c>
      <c r="C51" s="11" t="s">
        <v>359</v>
      </c>
      <c r="D51" s="11" t="s">
        <v>360</v>
      </c>
      <c r="E51" s="11" t="s">
        <v>440</v>
      </c>
      <c r="F51" s="11">
        <v>3</v>
      </c>
      <c r="G51" s="11" t="s">
        <v>1229</v>
      </c>
      <c r="H51" s="11" t="s">
        <v>1229</v>
      </c>
      <c r="I51" s="13">
        <v>43843</v>
      </c>
      <c r="J51" s="11">
        <v>13</v>
      </c>
      <c r="K51" s="11">
        <v>1</v>
      </c>
      <c r="L51" s="11">
        <v>2020</v>
      </c>
      <c r="M51" s="11" t="s">
        <v>1285</v>
      </c>
      <c r="N51" s="11" t="s">
        <v>12</v>
      </c>
      <c r="O51" s="11" t="s">
        <v>51</v>
      </c>
      <c r="P51" s="23">
        <v>-38.591808</v>
      </c>
      <c r="Q51" s="23">
        <v>145.51966999999999</v>
      </c>
      <c r="R51" s="11" t="s">
        <v>588</v>
      </c>
      <c r="S51" s="11" t="s">
        <v>588</v>
      </c>
      <c r="T51" s="11">
        <v>3</v>
      </c>
      <c r="U51" s="11">
        <v>3</v>
      </c>
      <c r="V51" s="1">
        <v>43845</v>
      </c>
      <c r="W51" t="s">
        <v>223</v>
      </c>
      <c r="X51" s="11">
        <v>4</v>
      </c>
      <c r="Y51" s="11">
        <v>4</v>
      </c>
      <c r="Z51" s="11" t="s">
        <v>41</v>
      </c>
      <c r="AA51" s="13">
        <v>43851</v>
      </c>
      <c r="AB51" s="11">
        <v>21</v>
      </c>
      <c r="AC51" s="11">
        <v>1</v>
      </c>
      <c r="AD51" s="11">
        <v>2020</v>
      </c>
      <c r="AE51" s="13" t="s">
        <v>1286</v>
      </c>
      <c r="AF51" s="11" t="s">
        <v>12</v>
      </c>
      <c r="AG51" s="13">
        <v>43856</v>
      </c>
      <c r="AH51" s="11">
        <v>26</v>
      </c>
      <c r="AI51" s="11">
        <v>1</v>
      </c>
      <c r="AJ51" s="11">
        <v>2020</v>
      </c>
      <c r="AK51" s="13" t="s">
        <v>1245</v>
      </c>
      <c r="AL51" s="11" t="s">
        <v>12</v>
      </c>
      <c r="AM51" s="13" t="s">
        <v>20</v>
      </c>
      <c r="AN51" s="11" t="s">
        <v>41</v>
      </c>
      <c r="AO51" s="13" t="s">
        <v>41</v>
      </c>
      <c r="AP51" s="11" t="s">
        <v>588</v>
      </c>
      <c r="AQ51" s="13" t="s">
        <v>588</v>
      </c>
      <c r="AR51" s="11" t="s">
        <v>588</v>
      </c>
      <c r="AS51" s="13" t="s">
        <v>588</v>
      </c>
      <c r="AT51" s="11" t="s">
        <v>588</v>
      </c>
      <c r="AU51" s="13" t="s">
        <v>588</v>
      </c>
      <c r="AV51" s="13" t="s">
        <v>588</v>
      </c>
      <c r="AW51" s="13" t="s">
        <v>588</v>
      </c>
      <c r="AX51" s="13" t="s">
        <v>588</v>
      </c>
      <c r="AY51" s="13" t="s">
        <v>588</v>
      </c>
      <c r="AZ51" s="13" t="s">
        <v>588</v>
      </c>
      <c r="BA51" s="13" t="s">
        <v>588</v>
      </c>
      <c r="BB51" s="13" t="s">
        <v>588</v>
      </c>
      <c r="BC51" s="13" t="s">
        <v>588</v>
      </c>
      <c r="BD51" s="13" t="s">
        <v>588</v>
      </c>
      <c r="BE51" s="13" t="s">
        <v>588</v>
      </c>
      <c r="BF51" s="13" t="s">
        <v>588</v>
      </c>
      <c r="BG51" s="13" t="s">
        <v>588</v>
      </c>
      <c r="BH51" s="13" t="s">
        <v>588</v>
      </c>
      <c r="BI51" s="13" t="s">
        <v>588</v>
      </c>
      <c r="BJ51" s="13" t="s">
        <v>588</v>
      </c>
      <c r="BK51" s="13" t="s">
        <v>588</v>
      </c>
      <c r="BL51" s="13" t="s">
        <v>588</v>
      </c>
      <c r="BM51" s="13" t="s">
        <v>588</v>
      </c>
      <c r="BN51" s="13" t="s">
        <v>588</v>
      </c>
      <c r="BO51" s="13" t="s">
        <v>588</v>
      </c>
      <c r="BP51" s="13" t="s">
        <v>588</v>
      </c>
      <c r="BQ51" s="13" t="s">
        <v>588</v>
      </c>
      <c r="BR51" s="13" t="s">
        <v>588</v>
      </c>
      <c r="BS51" s="11" t="s">
        <v>41</v>
      </c>
      <c r="BT51" s="11" t="s">
        <v>42</v>
      </c>
      <c r="BU51" s="11" t="s">
        <v>42</v>
      </c>
      <c r="BV51" s="13" t="s">
        <v>588</v>
      </c>
      <c r="BW51" s="13" t="s">
        <v>588</v>
      </c>
      <c r="BX51" s="13" t="s">
        <v>588</v>
      </c>
      <c r="BY51" s="13" t="s">
        <v>588</v>
      </c>
      <c r="BZ51" s="13" t="s">
        <v>588</v>
      </c>
    </row>
    <row r="52" spans="1:78" x14ac:dyDescent="0.25">
      <c r="A52" s="11">
        <v>201920</v>
      </c>
      <c r="B52" s="11" t="s">
        <v>359</v>
      </c>
      <c r="C52" s="11" t="s">
        <v>359</v>
      </c>
      <c r="D52" s="11" t="s">
        <v>360</v>
      </c>
      <c r="E52" s="11" t="s">
        <v>440</v>
      </c>
      <c r="F52" s="11">
        <v>4</v>
      </c>
      <c r="G52" s="11" t="s">
        <v>1230</v>
      </c>
      <c r="H52" s="11" t="s">
        <v>1230</v>
      </c>
      <c r="I52" s="13">
        <v>43856</v>
      </c>
      <c r="J52" s="11">
        <v>26</v>
      </c>
      <c r="K52" s="11">
        <v>1</v>
      </c>
      <c r="L52" s="11">
        <v>2020</v>
      </c>
      <c r="M52" s="11" t="s">
        <v>1245</v>
      </c>
      <c r="N52" s="11" t="s">
        <v>12</v>
      </c>
      <c r="O52" s="11" t="s">
        <v>10</v>
      </c>
      <c r="P52" s="23">
        <v>-38.591932999999997</v>
      </c>
      <c r="Q52" s="23">
        <v>145.5197</v>
      </c>
      <c r="R52" s="11" t="s">
        <v>588</v>
      </c>
      <c r="S52" s="11" t="s">
        <v>588</v>
      </c>
      <c r="T52" s="11">
        <v>3</v>
      </c>
      <c r="U52" s="11">
        <v>3</v>
      </c>
      <c r="V52" t="s">
        <v>588</v>
      </c>
      <c r="W52" t="s">
        <v>588</v>
      </c>
      <c r="X52" s="11">
        <v>3</v>
      </c>
      <c r="Y52" s="11">
        <v>3</v>
      </c>
      <c r="Z52" s="11" t="s">
        <v>41</v>
      </c>
      <c r="AA52" s="13">
        <v>43865</v>
      </c>
      <c r="AB52" s="11">
        <v>4</v>
      </c>
      <c r="AC52" s="11">
        <v>2</v>
      </c>
      <c r="AD52" s="11">
        <v>2020</v>
      </c>
      <c r="AE52" s="13" t="s">
        <v>1305</v>
      </c>
      <c r="AF52" s="11" t="s">
        <v>21</v>
      </c>
      <c r="AG52" s="13">
        <v>43873</v>
      </c>
      <c r="AH52" s="11">
        <v>12</v>
      </c>
      <c r="AI52" s="11">
        <v>2</v>
      </c>
      <c r="AJ52" s="11">
        <v>2020</v>
      </c>
      <c r="AK52" s="13" t="s">
        <v>1263</v>
      </c>
      <c r="AL52" s="11" t="s">
        <v>1172</v>
      </c>
      <c r="AM52" s="13" t="s">
        <v>20</v>
      </c>
      <c r="AN52" s="11" t="s">
        <v>41</v>
      </c>
      <c r="AO52" s="13" t="s">
        <v>41</v>
      </c>
      <c r="AP52" s="11" t="s">
        <v>588</v>
      </c>
      <c r="AQ52" s="13" t="s">
        <v>588</v>
      </c>
      <c r="AR52" s="11" t="s">
        <v>588</v>
      </c>
      <c r="AS52" s="13" t="s">
        <v>588</v>
      </c>
      <c r="AT52" s="11" t="s">
        <v>588</v>
      </c>
      <c r="AU52" s="13" t="s">
        <v>588</v>
      </c>
      <c r="AV52" s="13" t="s">
        <v>588</v>
      </c>
      <c r="AW52" s="13" t="s">
        <v>588</v>
      </c>
      <c r="AX52" s="13" t="s">
        <v>588</v>
      </c>
      <c r="AY52" s="13" t="s">
        <v>588</v>
      </c>
      <c r="AZ52" s="13" t="s">
        <v>588</v>
      </c>
      <c r="BA52" s="13" t="s">
        <v>588</v>
      </c>
      <c r="BB52" s="13" t="s">
        <v>588</v>
      </c>
      <c r="BC52" s="13" t="s">
        <v>588</v>
      </c>
      <c r="BD52" s="13" t="s">
        <v>588</v>
      </c>
      <c r="BE52" s="13" t="s">
        <v>588</v>
      </c>
      <c r="BF52" s="13" t="s">
        <v>588</v>
      </c>
      <c r="BG52" s="13" t="s">
        <v>588</v>
      </c>
      <c r="BH52" s="13" t="s">
        <v>588</v>
      </c>
      <c r="BI52" s="13" t="s">
        <v>588</v>
      </c>
      <c r="BJ52" s="13" t="s">
        <v>588</v>
      </c>
      <c r="BK52" s="13" t="s">
        <v>588</v>
      </c>
      <c r="BL52" s="13" t="s">
        <v>588</v>
      </c>
      <c r="BM52" s="13" t="s">
        <v>588</v>
      </c>
      <c r="BN52" s="13" t="s">
        <v>588</v>
      </c>
      <c r="BO52" s="13" t="s">
        <v>588</v>
      </c>
      <c r="BP52" s="13" t="s">
        <v>588</v>
      </c>
      <c r="BQ52" s="13" t="s">
        <v>588</v>
      </c>
      <c r="BR52" s="13" t="s">
        <v>588</v>
      </c>
      <c r="BS52" s="11" t="s">
        <v>41</v>
      </c>
      <c r="BT52" s="11" t="s">
        <v>42</v>
      </c>
      <c r="BU52" s="11" t="s">
        <v>42</v>
      </c>
      <c r="BV52" s="13" t="s">
        <v>588</v>
      </c>
      <c r="BW52" s="13" t="s">
        <v>588</v>
      </c>
      <c r="BX52" s="13" t="s">
        <v>588</v>
      </c>
      <c r="BY52" s="13" t="s">
        <v>588</v>
      </c>
      <c r="BZ52" s="13" t="s">
        <v>588</v>
      </c>
    </row>
    <row r="53" spans="1:78" x14ac:dyDescent="0.25">
      <c r="A53" s="11">
        <v>201920</v>
      </c>
      <c r="B53" s="11" t="s">
        <v>365</v>
      </c>
      <c r="C53" s="11" t="s">
        <v>365</v>
      </c>
      <c r="D53" s="11" t="s">
        <v>16</v>
      </c>
      <c r="E53" s="11" t="s">
        <v>16</v>
      </c>
      <c r="F53" s="11">
        <v>1</v>
      </c>
      <c r="G53" s="11" t="s">
        <v>1231</v>
      </c>
      <c r="H53" s="11" t="s">
        <v>1231</v>
      </c>
      <c r="I53" s="13">
        <v>43815</v>
      </c>
      <c r="J53" s="11">
        <v>16</v>
      </c>
      <c r="K53" s="11">
        <v>12</v>
      </c>
      <c r="L53" s="11">
        <v>2019</v>
      </c>
      <c r="M53" s="11" t="s">
        <v>1284</v>
      </c>
      <c r="N53" s="11" t="s">
        <v>7</v>
      </c>
      <c r="O53" s="11" t="s">
        <v>10</v>
      </c>
      <c r="P53" s="23">
        <v>-38.596435</v>
      </c>
      <c r="Q53" s="23">
        <v>145.52465000000001</v>
      </c>
      <c r="R53" s="11" t="s">
        <v>588</v>
      </c>
      <c r="S53" s="11" t="s">
        <v>588</v>
      </c>
      <c r="T53" s="11">
        <v>3</v>
      </c>
      <c r="U53" s="11">
        <v>3</v>
      </c>
      <c r="V53" t="s">
        <v>588</v>
      </c>
      <c r="W53" t="s">
        <v>588</v>
      </c>
      <c r="X53" s="11">
        <v>5</v>
      </c>
      <c r="Y53" s="11">
        <v>5</v>
      </c>
      <c r="Z53" s="11" t="s">
        <v>8</v>
      </c>
      <c r="AA53" s="13">
        <v>43831</v>
      </c>
      <c r="AB53" s="11">
        <v>1</v>
      </c>
      <c r="AC53" s="11">
        <v>1</v>
      </c>
      <c r="AD53" s="11">
        <v>2020</v>
      </c>
      <c r="AE53" s="13" t="s">
        <v>1251</v>
      </c>
      <c r="AF53" s="11" t="s">
        <v>12</v>
      </c>
      <c r="AG53" s="11" t="s">
        <v>588</v>
      </c>
      <c r="AH53" s="11" t="s">
        <v>588</v>
      </c>
      <c r="AI53" s="11" t="s">
        <v>588</v>
      </c>
      <c r="AJ53" s="11" t="s">
        <v>588</v>
      </c>
      <c r="AK53" s="13" t="s">
        <v>588</v>
      </c>
      <c r="AL53" s="11" t="s">
        <v>588</v>
      </c>
      <c r="AM53" s="13" t="s">
        <v>588</v>
      </c>
      <c r="AN53" s="11" t="s">
        <v>588</v>
      </c>
      <c r="AO53" s="13" t="s">
        <v>588</v>
      </c>
      <c r="AP53" s="13">
        <v>43838</v>
      </c>
      <c r="AQ53" s="11" t="s">
        <v>12</v>
      </c>
      <c r="AR53" s="11" t="s">
        <v>195</v>
      </c>
      <c r="AS53" s="11">
        <v>3</v>
      </c>
      <c r="AT53" s="11">
        <v>3</v>
      </c>
      <c r="AU53" s="13">
        <v>43838</v>
      </c>
      <c r="AV53" s="13">
        <v>43851</v>
      </c>
      <c r="AW53" s="13" t="s">
        <v>12</v>
      </c>
      <c r="AX53" s="13" t="s">
        <v>20</v>
      </c>
      <c r="AY53" s="13" t="s">
        <v>41</v>
      </c>
      <c r="AZ53" s="13" t="s">
        <v>41</v>
      </c>
      <c r="BA53" s="13">
        <v>43838</v>
      </c>
      <c r="BB53" s="13">
        <v>43851</v>
      </c>
      <c r="BC53" s="13" t="s">
        <v>12</v>
      </c>
      <c r="BD53" s="13" t="s">
        <v>20</v>
      </c>
      <c r="BE53" s="13" t="s">
        <v>41</v>
      </c>
      <c r="BF53" s="13" t="s">
        <v>41</v>
      </c>
      <c r="BG53" s="13" t="s">
        <v>588</v>
      </c>
      <c r="BH53" s="13" t="s">
        <v>588</v>
      </c>
      <c r="BI53" s="13" t="s">
        <v>588</v>
      </c>
      <c r="BJ53" s="13" t="s">
        <v>588</v>
      </c>
      <c r="BK53" s="13" t="s">
        <v>588</v>
      </c>
      <c r="BL53" s="13" t="s">
        <v>588</v>
      </c>
      <c r="BM53" s="11">
        <v>7</v>
      </c>
      <c r="BN53" s="11">
        <v>7</v>
      </c>
      <c r="BO53" s="13" t="s">
        <v>8</v>
      </c>
      <c r="BP53" s="11">
        <v>1</v>
      </c>
      <c r="BQ53" s="13">
        <v>43873</v>
      </c>
      <c r="BR53" s="13" t="s">
        <v>21</v>
      </c>
      <c r="BS53" s="11" t="s">
        <v>8</v>
      </c>
      <c r="BT53" s="11" t="s">
        <v>9</v>
      </c>
      <c r="BU53" s="11" t="s">
        <v>9</v>
      </c>
      <c r="BV53" s="13" t="s">
        <v>41</v>
      </c>
      <c r="BW53" s="11" t="s">
        <v>42</v>
      </c>
      <c r="BX53" s="11" t="s">
        <v>42</v>
      </c>
      <c r="BY53" s="13" t="s">
        <v>588</v>
      </c>
      <c r="BZ53" s="13" t="s">
        <v>588</v>
      </c>
    </row>
    <row r="54" spans="1:78" x14ac:dyDescent="0.25">
      <c r="A54" s="11">
        <v>201920</v>
      </c>
      <c r="B54" s="11" t="s">
        <v>54</v>
      </c>
      <c r="C54" s="11" t="s">
        <v>54</v>
      </c>
      <c r="D54" s="11" t="s">
        <v>89</v>
      </c>
      <c r="E54" s="11" t="s">
        <v>16</v>
      </c>
      <c r="F54" s="11">
        <v>1</v>
      </c>
      <c r="G54" s="11" t="s">
        <v>1232</v>
      </c>
      <c r="H54" s="11" t="s">
        <v>1232</v>
      </c>
      <c r="I54" s="13">
        <v>43826</v>
      </c>
      <c r="J54" s="11">
        <v>27</v>
      </c>
      <c r="K54" s="11">
        <v>12</v>
      </c>
      <c r="L54" s="11">
        <v>2019</v>
      </c>
      <c r="M54" s="11" t="s">
        <v>1306</v>
      </c>
      <c r="N54" s="11" t="s">
        <v>7</v>
      </c>
      <c r="O54" s="11" t="s">
        <v>36</v>
      </c>
      <c r="P54" s="23">
        <v>-38.672440000000002</v>
      </c>
      <c r="Q54" s="23">
        <v>145.59873999999999</v>
      </c>
      <c r="R54" s="11" t="s">
        <v>588</v>
      </c>
      <c r="S54" s="11" t="s">
        <v>588</v>
      </c>
      <c r="T54" s="11">
        <v>3</v>
      </c>
      <c r="U54" s="11">
        <v>3</v>
      </c>
      <c r="V54" s="1">
        <v>43824</v>
      </c>
      <c r="W54" t="s">
        <v>219</v>
      </c>
      <c r="X54" s="11">
        <v>9</v>
      </c>
      <c r="Y54" s="11">
        <v>9</v>
      </c>
      <c r="Z54" s="11" t="s">
        <v>8</v>
      </c>
      <c r="AA54" s="13">
        <v>43851</v>
      </c>
      <c r="AB54" s="11">
        <v>21</v>
      </c>
      <c r="AC54" s="11">
        <v>1</v>
      </c>
      <c r="AD54" s="11">
        <v>2020</v>
      </c>
      <c r="AE54" s="13" t="s">
        <v>1286</v>
      </c>
      <c r="AF54" s="11" t="s">
        <v>12</v>
      </c>
      <c r="AG54" s="11" t="s">
        <v>588</v>
      </c>
      <c r="AH54" s="11" t="s">
        <v>588</v>
      </c>
      <c r="AI54" s="11" t="s">
        <v>588</v>
      </c>
      <c r="AJ54" s="11" t="s">
        <v>588</v>
      </c>
      <c r="AK54" s="13" t="s">
        <v>588</v>
      </c>
      <c r="AL54" s="11" t="s">
        <v>588</v>
      </c>
      <c r="AM54" s="13" t="s">
        <v>588</v>
      </c>
      <c r="AN54" s="11" t="s">
        <v>588</v>
      </c>
      <c r="AO54" s="13" t="s">
        <v>588</v>
      </c>
      <c r="AP54" s="13">
        <v>43852</v>
      </c>
      <c r="AQ54" s="11" t="s">
        <v>12</v>
      </c>
      <c r="AR54" s="11" t="s">
        <v>195</v>
      </c>
      <c r="AS54" s="11">
        <v>1</v>
      </c>
      <c r="AT54" s="11">
        <v>3</v>
      </c>
      <c r="AU54" s="13" t="s">
        <v>588</v>
      </c>
      <c r="AV54" s="13" t="s">
        <v>588</v>
      </c>
      <c r="AW54" s="13" t="s">
        <v>588</v>
      </c>
      <c r="AX54" s="13" t="s">
        <v>588</v>
      </c>
      <c r="AY54" s="13" t="s">
        <v>588</v>
      </c>
      <c r="AZ54" s="13" t="s">
        <v>588</v>
      </c>
      <c r="BA54" s="13" t="s">
        <v>588</v>
      </c>
      <c r="BB54" s="13" t="s">
        <v>588</v>
      </c>
      <c r="BC54" s="13" t="s">
        <v>588</v>
      </c>
      <c r="BD54" s="13" t="s">
        <v>588</v>
      </c>
      <c r="BE54" s="13" t="s">
        <v>588</v>
      </c>
      <c r="BF54" s="13" t="s">
        <v>588</v>
      </c>
      <c r="BG54" s="13" t="s">
        <v>588</v>
      </c>
      <c r="BH54" s="13" t="s">
        <v>588</v>
      </c>
      <c r="BI54" s="13" t="s">
        <v>588</v>
      </c>
      <c r="BJ54" s="13" t="s">
        <v>588</v>
      </c>
      <c r="BK54" s="13" t="s">
        <v>588</v>
      </c>
      <c r="BL54" s="13" t="s">
        <v>588</v>
      </c>
      <c r="BM54" s="11">
        <v>20</v>
      </c>
      <c r="BN54" s="11">
        <v>19</v>
      </c>
      <c r="BO54" s="13" t="s">
        <v>8</v>
      </c>
      <c r="BP54" s="11">
        <v>1</v>
      </c>
      <c r="BQ54" s="13">
        <v>43893</v>
      </c>
      <c r="BR54" s="13" t="s">
        <v>22</v>
      </c>
      <c r="BS54" s="11" t="s">
        <v>8</v>
      </c>
      <c r="BT54" s="11" t="s">
        <v>18</v>
      </c>
      <c r="BU54" s="11" t="s">
        <v>18</v>
      </c>
      <c r="BV54" s="13" t="s">
        <v>8</v>
      </c>
      <c r="BW54" s="11" t="s">
        <v>18</v>
      </c>
      <c r="BX54" s="11" t="s">
        <v>18</v>
      </c>
      <c r="BY54" s="13" t="s">
        <v>588</v>
      </c>
      <c r="BZ54" s="13" t="s">
        <v>588</v>
      </c>
    </row>
  </sheetData>
  <autoFilter ref="A1:BZ54" xr:uid="{7C3DFA6E-54D9-4F68-9AF1-5F1221F713A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F327-9276-4BD6-8A94-2FF59F7E6DC5}">
  <dimension ref="A1:BZ70"/>
  <sheetViews>
    <sheetView zoomScale="80" zoomScaleNormal="80" workbookViewId="0">
      <pane xSplit="9" ySplit="1" topLeftCell="V26" activePane="bottomRight" state="frozen"/>
      <selection pane="topRight" activeCell="J1" sqref="J1"/>
      <selection pane="bottomLeft" activeCell="A2" sqref="A2"/>
      <selection pane="bottomRight" activeCell="H42" sqref="H42"/>
    </sheetView>
  </sheetViews>
  <sheetFormatPr defaultRowHeight="15" x14ac:dyDescent="0.25"/>
  <cols>
    <col min="1" max="1" width="7.5703125" style="11" bestFit="1" customWidth="1"/>
    <col min="2" max="2" width="11.5703125" style="11" customWidth="1"/>
    <col min="3" max="3" width="25.5703125" style="11" customWidth="1"/>
    <col min="4" max="5" width="10.7109375" style="11" customWidth="1"/>
    <col min="6" max="6" width="10.140625" style="11" bestFit="1" customWidth="1"/>
    <col min="7" max="7" width="11.140625" style="11" customWidth="1"/>
    <col min="8" max="8" width="36.42578125" style="11" customWidth="1"/>
    <col min="9" max="9" width="15.5703125" style="11" bestFit="1" customWidth="1"/>
    <col min="10" max="10" width="7.42578125" style="11" customWidth="1"/>
    <col min="11" max="11" width="9.5703125" style="11" customWidth="1"/>
    <col min="12" max="12" width="8" style="11" customWidth="1"/>
    <col min="13" max="13" width="23.5703125" style="11" customWidth="1"/>
    <col min="14" max="14" width="12.5703125" style="11" customWidth="1"/>
    <col min="15" max="15" width="15.7109375" style="11" customWidth="1"/>
    <col min="16" max="16" width="12.7109375" style="11" customWidth="1"/>
    <col min="17" max="17" width="14.28515625" style="11" customWidth="1"/>
    <col min="18" max="19" width="11.5703125" style="11" customWidth="1"/>
    <col min="20" max="20" width="13.85546875" style="11" bestFit="1" customWidth="1"/>
    <col min="21" max="21" width="13.7109375" style="11" customWidth="1"/>
    <col min="22" max="22" width="26.7109375" style="11" bestFit="1" customWidth="1"/>
    <col min="23" max="23" width="14.28515625" style="11" customWidth="1"/>
    <col min="24" max="25" width="16.42578125" style="11" customWidth="1"/>
    <col min="26" max="26" width="7.42578125" style="11" bestFit="1" customWidth="1"/>
    <col min="27" max="27" width="25.85546875" style="11" bestFit="1" customWidth="1"/>
    <col min="28" max="28" width="8.42578125" style="11" bestFit="1" customWidth="1"/>
    <col min="29" max="29" width="9.5703125" style="11" bestFit="1" customWidth="1"/>
    <col min="30" max="30" width="8.42578125" style="11" bestFit="1" customWidth="1"/>
    <col min="31" max="31" width="27" style="11" bestFit="1" customWidth="1"/>
    <col min="32" max="32" width="17.5703125" style="11" customWidth="1"/>
    <col min="33" max="33" width="24.42578125" style="11" bestFit="1" customWidth="1"/>
    <col min="34" max="34" width="8.42578125" style="11" bestFit="1" customWidth="1"/>
    <col min="35" max="35" width="9.5703125" style="11" bestFit="1" customWidth="1"/>
    <col min="36" max="36" width="8.42578125" style="11" bestFit="1" customWidth="1"/>
    <col min="37" max="37" width="25.5703125" style="11" bestFit="1" customWidth="1"/>
    <col min="38" max="38" width="10.7109375" style="11" bestFit="1" customWidth="1"/>
    <col min="39" max="39" width="20.85546875" style="11" bestFit="1" customWidth="1"/>
    <col min="40" max="40" width="20" style="11" bestFit="1" customWidth="1"/>
    <col min="41" max="41" width="21.5703125" style="11" bestFit="1" customWidth="1"/>
    <col min="42" max="42" width="20.28515625" style="11" bestFit="1" customWidth="1"/>
    <col min="43" max="43" width="11.7109375" style="11" customWidth="1"/>
    <col min="44" max="44" width="12" style="11" customWidth="1"/>
    <col min="45" max="45" width="17.140625" style="11" bestFit="1" customWidth="1"/>
    <col min="46" max="46" width="16.7109375" style="11" bestFit="1" customWidth="1"/>
    <col min="47" max="47" width="27.85546875" style="11" bestFit="1" customWidth="1"/>
    <col min="48" max="48" width="17" style="11" bestFit="1" customWidth="1"/>
    <col min="49" max="49" width="18.85546875" style="11" bestFit="1" customWidth="1"/>
    <col min="50" max="50" width="24.85546875" style="11" bestFit="1" customWidth="1"/>
    <col min="51" max="51" width="20.85546875" style="11" bestFit="1" customWidth="1"/>
    <col min="52" max="52" width="25.5703125" style="11" bestFit="1" customWidth="1"/>
    <col min="53" max="53" width="27.85546875" style="11" bestFit="1" customWidth="1"/>
    <col min="54" max="54" width="17" style="11" bestFit="1" customWidth="1"/>
    <col min="55" max="55" width="18.85546875" style="11" bestFit="1" customWidth="1"/>
    <col min="56" max="56" width="24.85546875" style="11" bestFit="1" customWidth="1"/>
    <col min="57" max="57" width="20.85546875" style="11" bestFit="1" customWidth="1"/>
    <col min="58" max="58" width="25.5703125" style="11" bestFit="1" customWidth="1"/>
    <col min="59" max="59" width="27.85546875" style="11" bestFit="1" customWidth="1"/>
    <col min="60" max="60" width="17" style="11" bestFit="1" customWidth="1"/>
    <col min="61" max="61" width="18.85546875" style="11" bestFit="1" customWidth="1"/>
    <col min="62" max="62" width="24.85546875" style="11" bestFit="1" customWidth="1"/>
    <col min="63" max="63" width="20.85546875" style="11" bestFit="1" customWidth="1"/>
    <col min="64" max="64" width="25.5703125" style="11" bestFit="1" customWidth="1"/>
    <col min="65" max="65" width="17.7109375" style="11" bestFit="1" customWidth="1"/>
    <col min="66" max="66" width="15" style="11" bestFit="1" customWidth="1"/>
    <col min="67" max="67" width="10.5703125" style="11" bestFit="1" customWidth="1"/>
    <col min="68" max="68" width="9.42578125" style="11" bestFit="1" customWidth="1"/>
    <col min="69" max="69" width="12.7109375" style="11" bestFit="1" customWidth="1"/>
    <col min="70" max="70" width="14.5703125" style="11" bestFit="1" customWidth="1"/>
    <col min="71" max="71" width="15.28515625" style="11" bestFit="1" customWidth="1"/>
    <col min="72" max="72" width="5.85546875" style="11" customWidth="1"/>
    <col min="73" max="73" width="50.140625" style="11" bestFit="1" customWidth="1"/>
    <col min="74" max="74" width="14.85546875" style="11" bestFit="1" customWidth="1"/>
    <col min="75" max="75" width="4.140625" style="11" customWidth="1"/>
    <col min="76" max="76" width="50.140625" style="11" bestFit="1" customWidth="1"/>
    <col min="77" max="77" width="6.42578125" style="11" bestFit="1" customWidth="1"/>
    <col min="78" max="78" width="8" style="11" bestFit="1" customWidth="1"/>
    <col min="79" max="79" width="18.5703125" style="11" customWidth="1"/>
    <col min="80" max="16384" width="9.140625" style="11"/>
  </cols>
  <sheetData>
    <row r="1" spans="1:78" s="15" customFormat="1" x14ac:dyDescent="0.25">
      <c r="A1" s="10" t="s">
        <v>0</v>
      </c>
      <c r="B1" s="12" t="s">
        <v>139</v>
      </c>
      <c r="C1" s="9" t="s">
        <v>231</v>
      </c>
      <c r="D1" s="12" t="s">
        <v>1</v>
      </c>
      <c r="E1" s="12" t="s">
        <v>2</v>
      </c>
      <c r="F1" s="12" t="s">
        <v>118</v>
      </c>
      <c r="G1" s="12" t="s">
        <v>141</v>
      </c>
      <c r="H1" s="9" t="s">
        <v>593</v>
      </c>
      <c r="I1" s="12" t="s">
        <v>142</v>
      </c>
      <c r="J1" s="12" t="s">
        <v>589</v>
      </c>
      <c r="K1" s="12" t="s">
        <v>590</v>
      </c>
      <c r="L1" s="12" t="s">
        <v>591</v>
      </c>
      <c r="M1" s="9" t="s">
        <v>592</v>
      </c>
      <c r="N1" s="12" t="s">
        <v>143</v>
      </c>
      <c r="O1" s="12" t="s">
        <v>3</v>
      </c>
      <c r="P1" s="21" t="s">
        <v>212</v>
      </c>
      <c r="Q1" s="21"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4" t="s">
        <v>596</v>
      </c>
      <c r="BV1" s="12" t="s">
        <v>190</v>
      </c>
      <c r="BW1" s="12" t="s">
        <v>191</v>
      </c>
      <c r="BX1" s="14" t="s">
        <v>597</v>
      </c>
      <c r="BY1" s="12" t="s">
        <v>192</v>
      </c>
      <c r="BZ1" s="12" t="s">
        <v>193</v>
      </c>
    </row>
    <row r="2" spans="1:78" x14ac:dyDescent="0.25">
      <c r="A2" s="11">
        <v>201819</v>
      </c>
      <c r="B2" s="11" t="s">
        <v>242</v>
      </c>
      <c r="C2" s="11" t="s">
        <v>242</v>
      </c>
      <c r="D2" s="11" t="s">
        <v>244</v>
      </c>
      <c r="E2" s="11" t="s">
        <v>570</v>
      </c>
      <c r="F2" s="11">
        <v>1</v>
      </c>
      <c r="G2" s="11" t="s">
        <v>1307</v>
      </c>
      <c r="H2" s="11" t="s">
        <v>1307</v>
      </c>
      <c r="I2" s="13">
        <v>43473</v>
      </c>
      <c r="J2" s="11">
        <v>8</v>
      </c>
      <c r="K2" s="11">
        <v>1</v>
      </c>
      <c r="L2" s="11">
        <v>2019</v>
      </c>
      <c r="M2" s="11" t="s">
        <v>1400</v>
      </c>
      <c r="N2" s="11" t="s">
        <v>12</v>
      </c>
      <c r="O2" s="11" t="s">
        <v>51</v>
      </c>
      <c r="P2" s="23">
        <v>-38.612949999999998</v>
      </c>
      <c r="Q2" s="23">
        <v>145.53967</v>
      </c>
      <c r="R2" s="11" t="s">
        <v>588</v>
      </c>
      <c r="S2" s="11" t="s">
        <v>588</v>
      </c>
      <c r="T2" s="11">
        <v>1</v>
      </c>
      <c r="U2" s="11">
        <v>3</v>
      </c>
      <c r="V2" s="11" t="s">
        <v>588</v>
      </c>
      <c r="W2" s="11" t="s">
        <v>588</v>
      </c>
      <c r="X2" s="11">
        <v>1</v>
      </c>
      <c r="Y2" s="11">
        <v>1</v>
      </c>
      <c r="Z2" s="11" t="s">
        <v>8</v>
      </c>
      <c r="AA2" s="13">
        <v>43473</v>
      </c>
      <c r="AB2" s="11">
        <v>8</v>
      </c>
      <c r="AC2" s="11">
        <v>1</v>
      </c>
      <c r="AD2" s="11">
        <v>2019</v>
      </c>
      <c r="AE2" s="13" t="s">
        <v>1400</v>
      </c>
      <c r="AF2" s="11" t="s">
        <v>12</v>
      </c>
      <c r="AG2" s="13" t="s">
        <v>588</v>
      </c>
      <c r="AH2" s="11" t="s">
        <v>588</v>
      </c>
      <c r="AI2" s="11" t="s">
        <v>588</v>
      </c>
      <c r="AJ2" s="11" t="s">
        <v>588</v>
      </c>
      <c r="AK2" s="13" t="s">
        <v>588</v>
      </c>
      <c r="AL2" s="11" t="s">
        <v>588</v>
      </c>
      <c r="AM2" s="13" t="s">
        <v>588</v>
      </c>
      <c r="AN2" s="11" t="s">
        <v>588</v>
      </c>
      <c r="AO2" s="13" t="s">
        <v>588</v>
      </c>
      <c r="AP2" s="13">
        <v>43507</v>
      </c>
      <c r="AQ2" s="11" t="s">
        <v>21</v>
      </c>
      <c r="AR2" s="11" t="s">
        <v>195</v>
      </c>
      <c r="AS2" s="11">
        <v>1</v>
      </c>
      <c r="AT2" s="11">
        <v>1</v>
      </c>
      <c r="AU2" s="13" t="s">
        <v>588</v>
      </c>
      <c r="AV2" s="11" t="s">
        <v>588</v>
      </c>
      <c r="AW2" s="13" t="s">
        <v>588</v>
      </c>
      <c r="AX2" s="11" t="s">
        <v>588</v>
      </c>
      <c r="AY2" s="13" t="s">
        <v>588</v>
      </c>
      <c r="AZ2" s="13" t="s">
        <v>588</v>
      </c>
      <c r="BA2" s="13" t="s">
        <v>588</v>
      </c>
      <c r="BB2" s="13" t="s">
        <v>588</v>
      </c>
      <c r="BC2" s="13" t="s">
        <v>588</v>
      </c>
      <c r="BD2" s="13" t="s">
        <v>588</v>
      </c>
      <c r="BE2" s="13" t="s">
        <v>588</v>
      </c>
      <c r="BF2" s="13" t="s">
        <v>588</v>
      </c>
      <c r="BG2" s="13" t="s">
        <v>588</v>
      </c>
      <c r="BH2" s="13" t="s">
        <v>588</v>
      </c>
      <c r="BI2" s="13" t="s">
        <v>588</v>
      </c>
      <c r="BJ2" s="13" t="s">
        <v>588</v>
      </c>
      <c r="BK2" s="13" t="s">
        <v>588</v>
      </c>
      <c r="BL2" s="13" t="s">
        <v>588</v>
      </c>
      <c r="BM2" s="11">
        <v>2</v>
      </c>
      <c r="BN2" s="11">
        <v>2</v>
      </c>
      <c r="BO2" s="13" t="s">
        <v>8</v>
      </c>
      <c r="BP2" s="11">
        <v>1</v>
      </c>
      <c r="BQ2" s="13">
        <v>43528</v>
      </c>
      <c r="BR2" s="13" t="s">
        <v>22</v>
      </c>
      <c r="BS2" s="11" t="s">
        <v>41</v>
      </c>
      <c r="BT2" s="11" t="s">
        <v>42</v>
      </c>
      <c r="BU2" s="11" t="s">
        <v>42</v>
      </c>
      <c r="BV2" s="11" t="s">
        <v>41</v>
      </c>
      <c r="BW2" s="11" t="s">
        <v>42</v>
      </c>
      <c r="BX2" s="11" t="s">
        <v>42</v>
      </c>
      <c r="BY2" s="13" t="s">
        <v>588</v>
      </c>
      <c r="BZ2" s="13" t="s">
        <v>588</v>
      </c>
    </row>
    <row r="3" spans="1:78" x14ac:dyDescent="0.25">
      <c r="A3" s="11">
        <v>201819</v>
      </c>
      <c r="B3" s="11" t="s">
        <v>565</v>
      </c>
      <c r="C3" t="s">
        <v>559</v>
      </c>
      <c r="D3" s="11" t="s">
        <v>557</v>
      </c>
      <c r="E3" s="11" t="s">
        <v>543</v>
      </c>
      <c r="F3" s="11">
        <v>1</v>
      </c>
      <c r="G3" s="11" t="s">
        <v>1308</v>
      </c>
      <c r="H3" s="11" t="s">
        <v>1401</v>
      </c>
      <c r="I3" s="13">
        <v>43436</v>
      </c>
      <c r="J3" s="11">
        <v>2</v>
      </c>
      <c r="K3" s="11">
        <v>12</v>
      </c>
      <c r="L3" s="11">
        <v>2018</v>
      </c>
      <c r="M3" s="11" t="s">
        <v>1402</v>
      </c>
      <c r="N3" s="11" t="s">
        <v>7</v>
      </c>
      <c r="O3" s="11" t="s">
        <v>51</v>
      </c>
      <c r="P3" s="23">
        <v>-38.53519</v>
      </c>
      <c r="Q3" s="23">
        <v>145.38518999999999</v>
      </c>
      <c r="R3" s="11" t="s">
        <v>588</v>
      </c>
      <c r="S3" s="11" t="s">
        <v>588</v>
      </c>
      <c r="T3" s="11">
        <v>3</v>
      </c>
      <c r="U3" s="11">
        <v>3</v>
      </c>
      <c r="V3" s="11" t="s">
        <v>588</v>
      </c>
      <c r="W3" s="11" t="s">
        <v>588</v>
      </c>
      <c r="X3" s="11">
        <v>1</v>
      </c>
      <c r="Y3" s="11">
        <v>1</v>
      </c>
      <c r="Z3" s="11" t="s">
        <v>41</v>
      </c>
      <c r="AA3" s="13">
        <v>43436</v>
      </c>
      <c r="AB3" s="11">
        <v>2</v>
      </c>
      <c r="AC3" s="11">
        <v>12</v>
      </c>
      <c r="AD3" s="11">
        <v>2018</v>
      </c>
      <c r="AE3" s="13" t="s">
        <v>1402</v>
      </c>
      <c r="AF3" s="11" t="s">
        <v>7</v>
      </c>
      <c r="AG3" s="13">
        <v>43440</v>
      </c>
      <c r="AH3" s="11">
        <v>6</v>
      </c>
      <c r="AI3" s="11">
        <v>12</v>
      </c>
      <c r="AJ3" s="11">
        <v>2018</v>
      </c>
      <c r="AK3" s="13" t="s">
        <v>1369</v>
      </c>
      <c r="AL3" s="11" t="s">
        <v>7</v>
      </c>
      <c r="AM3" s="13" t="s">
        <v>20</v>
      </c>
      <c r="AN3" s="11" t="s">
        <v>8</v>
      </c>
      <c r="AO3" s="11" t="s">
        <v>1043</v>
      </c>
      <c r="AP3" s="11" t="s">
        <v>588</v>
      </c>
      <c r="AQ3" s="11" t="s">
        <v>588</v>
      </c>
      <c r="AR3" s="11" t="s">
        <v>588</v>
      </c>
      <c r="AS3" s="11" t="s">
        <v>588</v>
      </c>
      <c r="AT3" s="11" t="s">
        <v>588</v>
      </c>
      <c r="AU3" s="11" t="s">
        <v>588</v>
      </c>
      <c r="AV3" s="11" t="s">
        <v>588</v>
      </c>
      <c r="AW3" s="11" t="s">
        <v>588</v>
      </c>
      <c r="AX3" s="11" t="s">
        <v>588</v>
      </c>
      <c r="AY3" s="11" t="s">
        <v>588</v>
      </c>
      <c r="AZ3" s="11" t="s">
        <v>588</v>
      </c>
      <c r="BA3" s="11" t="s">
        <v>588</v>
      </c>
      <c r="BB3" s="11" t="s">
        <v>588</v>
      </c>
      <c r="BC3" s="11" t="s">
        <v>588</v>
      </c>
      <c r="BD3" s="11" t="s">
        <v>588</v>
      </c>
      <c r="BE3" s="11" t="s">
        <v>588</v>
      </c>
      <c r="BF3" s="11" t="s">
        <v>588</v>
      </c>
      <c r="BG3" s="11" t="s">
        <v>588</v>
      </c>
      <c r="BH3" s="11" t="s">
        <v>588</v>
      </c>
      <c r="BI3" s="11" t="s">
        <v>588</v>
      </c>
      <c r="BJ3" s="11" t="s">
        <v>588</v>
      </c>
      <c r="BK3" s="11" t="s">
        <v>588</v>
      </c>
      <c r="BL3" s="11" t="s">
        <v>588</v>
      </c>
      <c r="BM3" s="11" t="s">
        <v>588</v>
      </c>
      <c r="BN3" s="11" t="s">
        <v>588</v>
      </c>
      <c r="BO3" s="11" t="s">
        <v>588</v>
      </c>
      <c r="BP3" s="11" t="s">
        <v>588</v>
      </c>
      <c r="BQ3" s="11" t="s">
        <v>588</v>
      </c>
      <c r="BR3" s="11" t="s">
        <v>588</v>
      </c>
      <c r="BS3" s="11" t="s">
        <v>8</v>
      </c>
      <c r="BT3" s="11" t="s">
        <v>18</v>
      </c>
      <c r="BU3" s="11" t="s">
        <v>18</v>
      </c>
      <c r="BV3" s="11" t="s">
        <v>588</v>
      </c>
      <c r="BW3" s="11" t="s">
        <v>588</v>
      </c>
      <c r="BX3" s="11" t="s">
        <v>588</v>
      </c>
      <c r="BY3" s="11" t="s">
        <v>588</v>
      </c>
      <c r="BZ3" s="11" t="s">
        <v>588</v>
      </c>
    </row>
    <row r="4" spans="1:78" x14ac:dyDescent="0.25">
      <c r="A4" s="11">
        <v>201819</v>
      </c>
      <c r="B4" s="11" t="s">
        <v>57</v>
      </c>
      <c r="C4" s="11" t="s">
        <v>57</v>
      </c>
      <c r="D4" s="11" t="s">
        <v>16</v>
      </c>
      <c r="E4" s="11" t="s">
        <v>16</v>
      </c>
      <c r="F4" s="11">
        <v>1</v>
      </c>
      <c r="G4" s="11" t="s">
        <v>1309</v>
      </c>
      <c r="H4" s="11" t="s">
        <v>1309</v>
      </c>
      <c r="I4" s="13">
        <v>43372</v>
      </c>
      <c r="J4" s="11">
        <v>29</v>
      </c>
      <c r="K4" s="11">
        <v>9</v>
      </c>
      <c r="L4" s="11">
        <v>2018</v>
      </c>
      <c r="M4" s="11" t="s">
        <v>1403</v>
      </c>
      <c r="N4" s="11" t="s">
        <v>28</v>
      </c>
      <c r="O4" s="11" t="s">
        <v>36</v>
      </c>
      <c r="P4" s="23">
        <v>-38.675387999999998</v>
      </c>
      <c r="Q4" s="23">
        <v>145.602982</v>
      </c>
      <c r="R4" s="11" t="s">
        <v>588</v>
      </c>
      <c r="S4" s="11" t="s">
        <v>588</v>
      </c>
      <c r="T4" s="11">
        <v>2</v>
      </c>
      <c r="U4" s="11">
        <v>3</v>
      </c>
      <c r="V4" s="13">
        <v>43376</v>
      </c>
      <c r="W4" s="11" t="s">
        <v>223</v>
      </c>
      <c r="X4" s="11">
        <v>3</v>
      </c>
      <c r="Y4" s="11">
        <v>3</v>
      </c>
      <c r="Z4" s="11" t="s">
        <v>8</v>
      </c>
      <c r="AA4" s="13">
        <v>43385</v>
      </c>
      <c r="AB4" s="11">
        <v>12</v>
      </c>
      <c r="AC4" s="11">
        <v>10</v>
      </c>
      <c r="AD4" s="11">
        <v>2018</v>
      </c>
      <c r="AE4" s="13" t="s">
        <v>1404</v>
      </c>
      <c r="AF4" s="11" t="s">
        <v>29</v>
      </c>
      <c r="AG4" s="11" t="s">
        <v>588</v>
      </c>
      <c r="AH4" s="11" t="s">
        <v>588</v>
      </c>
      <c r="AI4" s="11" t="s">
        <v>588</v>
      </c>
      <c r="AJ4" s="11" t="s">
        <v>588</v>
      </c>
      <c r="AK4" s="13" t="s">
        <v>588</v>
      </c>
      <c r="AL4" s="11" t="s">
        <v>588</v>
      </c>
      <c r="AM4" s="11" t="s">
        <v>588</v>
      </c>
      <c r="AN4" s="11" t="s">
        <v>588</v>
      </c>
      <c r="AO4" s="11" t="s">
        <v>588</v>
      </c>
      <c r="AP4" s="13">
        <v>43409</v>
      </c>
      <c r="AQ4" s="11" t="s">
        <v>17</v>
      </c>
      <c r="AR4" s="11" t="s">
        <v>195</v>
      </c>
      <c r="AS4" s="11">
        <v>2</v>
      </c>
      <c r="AT4" s="11">
        <v>3</v>
      </c>
      <c r="AU4" s="11" t="s">
        <v>588</v>
      </c>
      <c r="AV4" s="11" t="s">
        <v>588</v>
      </c>
      <c r="AW4" s="11" t="s">
        <v>588</v>
      </c>
      <c r="AX4" s="11" t="s">
        <v>588</v>
      </c>
      <c r="AY4" s="11" t="s">
        <v>588</v>
      </c>
      <c r="AZ4" s="11" t="s">
        <v>588</v>
      </c>
      <c r="BA4" s="11" t="s">
        <v>588</v>
      </c>
      <c r="BB4" s="11" t="s">
        <v>588</v>
      </c>
      <c r="BC4" s="11" t="s">
        <v>588</v>
      </c>
      <c r="BD4" s="11" t="s">
        <v>588</v>
      </c>
      <c r="BE4" s="11" t="s">
        <v>588</v>
      </c>
      <c r="BF4" s="11" t="s">
        <v>588</v>
      </c>
      <c r="BG4" s="11" t="s">
        <v>588</v>
      </c>
      <c r="BH4" s="11" t="s">
        <v>588</v>
      </c>
      <c r="BI4" s="11" t="s">
        <v>588</v>
      </c>
      <c r="BJ4" s="11" t="s">
        <v>588</v>
      </c>
      <c r="BK4" s="11" t="s">
        <v>588</v>
      </c>
      <c r="BL4" s="11" t="s">
        <v>588</v>
      </c>
      <c r="BM4" s="11">
        <v>5</v>
      </c>
      <c r="BN4" s="11">
        <v>5</v>
      </c>
      <c r="BO4" s="11" t="s">
        <v>8</v>
      </c>
      <c r="BP4" s="11">
        <v>2</v>
      </c>
      <c r="BQ4" s="13">
        <v>43436</v>
      </c>
      <c r="BR4" s="11" t="s">
        <v>7</v>
      </c>
      <c r="BS4" s="11" t="s">
        <v>8</v>
      </c>
      <c r="BT4" s="11" t="s">
        <v>9</v>
      </c>
      <c r="BU4" s="11" t="s">
        <v>9</v>
      </c>
      <c r="BV4" s="11" t="s">
        <v>8</v>
      </c>
      <c r="BW4" s="11" t="s">
        <v>96</v>
      </c>
      <c r="BX4" s="11" t="s">
        <v>96</v>
      </c>
      <c r="BY4" s="11" t="s">
        <v>588</v>
      </c>
      <c r="BZ4" s="11" t="s">
        <v>588</v>
      </c>
    </row>
    <row r="5" spans="1:78" x14ac:dyDescent="0.25">
      <c r="A5" s="11">
        <v>201819</v>
      </c>
      <c r="B5" s="11" t="s">
        <v>57</v>
      </c>
      <c r="C5" s="11" t="s">
        <v>57</v>
      </c>
      <c r="D5" s="11" t="s">
        <v>16</v>
      </c>
      <c r="E5" s="11" t="s">
        <v>16</v>
      </c>
      <c r="F5" s="11">
        <v>2</v>
      </c>
      <c r="G5" s="11" t="s">
        <v>1310</v>
      </c>
      <c r="H5" s="11" t="s">
        <v>1310</v>
      </c>
      <c r="I5" s="13">
        <v>43461</v>
      </c>
      <c r="J5" s="11">
        <v>27</v>
      </c>
      <c r="K5" s="11">
        <v>12</v>
      </c>
      <c r="L5" s="11">
        <v>2018</v>
      </c>
      <c r="M5" s="11" t="s">
        <v>1405</v>
      </c>
      <c r="N5" s="11" t="s">
        <v>7</v>
      </c>
      <c r="O5" s="11" t="s">
        <v>36</v>
      </c>
      <c r="P5" s="23">
        <v>-38.675314</v>
      </c>
      <c r="Q5" s="23">
        <v>145.60347200000001</v>
      </c>
      <c r="R5" s="11" t="s">
        <v>588</v>
      </c>
      <c r="S5" s="11" t="s">
        <v>588</v>
      </c>
      <c r="T5" s="11">
        <v>3</v>
      </c>
      <c r="U5" s="11">
        <v>3</v>
      </c>
      <c r="V5" s="11" t="s">
        <v>588</v>
      </c>
      <c r="W5" s="11" t="s">
        <v>588</v>
      </c>
      <c r="X5" s="11">
        <v>7</v>
      </c>
      <c r="Y5" s="11">
        <v>7</v>
      </c>
      <c r="Z5" s="11" t="s">
        <v>8</v>
      </c>
      <c r="AA5" s="13">
        <v>43486</v>
      </c>
      <c r="AB5" s="11">
        <v>21</v>
      </c>
      <c r="AC5" s="11">
        <v>1</v>
      </c>
      <c r="AD5" s="11">
        <v>2019</v>
      </c>
      <c r="AE5" s="13" t="s">
        <v>1406</v>
      </c>
      <c r="AF5" s="11" t="s">
        <v>12</v>
      </c>
      <c r="AG5" s="11" t="s">
        <v>588</v>
      </c>
      <c r="AH5" s="11" t="s">
        <v>588</v>
      </c>
      <c r="AI5" s="11" t="s">
        <v>588</v>
      </c>
      <c r="AJ5" s="11" t="s">
        <v>588</v>
      </c>
      <c r="AK5" s="13" t="s">
        <v>588</v>
      </c>
      <c r="AL5" s="11" t="s">
        <v>588</v>
      </c>
      <c r="AM5" s="11" t="s">
        <v>588</v>
      </c>
      <c r="AN5" s="11" t="s">
        <v>588</v>
      </c>
      <c r="AO5" s="11" t="s">
        <v>588</v>
      </c>
      <c r="AP5" s="13">
        <v>43491</v>
      </c>
      <c r="AQ5" s="11" t="s">
        <v>12</v>
      </c>
      <c r="AR5" s="11" t="s">
        <v>195</v>
      </c>
      <c r="AS5" s="11">
        <v>2</v>
      </c>
      <c r="AT5" s="11">
        <v>3</v>
      </c>
      <c r="AU5" s="13">
        <v>43491</v>
      </c>
      <c r="AV5" s="13">
        <v>43495</v>
      </c>
      <c r="AW5" s="11" t="s">
        <v>12</v>
      </c>
      <c r="AX5" s="11" t="s">
        <v>20</v>
      </c>
      <c r="AY5" s="11" t="s">
        <v>41</v>
      </c>
      <c r="AZ5" s="11" t="s">
        <v>41</v>
      </c>
      <c r="BA5" s="13">
        <v>43495</v>
      </c>
      <c r="BB5" s="13">
        <v>43498</v>
      </c>
      <c r="BC5" s="11" t="s">
        <v>21</v>
      </c>
      <c r="BD5" s="11" t="s">
        <v>20</v>
      </c>
      <c r="BE5" s="11" t="s">
        <v>41</v>
      </c>
      <c r="BF5" s="11" t="s">
        <v>41</v>
      </c>
      <c r="BG5" s="11" t="s">
        <v>588</v>
      </c>
      <c r="BH5" s="11" t="s">
        <v>588</v>
      </c>
      <c r="BI5" s="11" t="s">
        <v>588</v>
      </c>
      <c r="BJ5" s="11" t="s">
        <v>588</v>
      </c>
      <c r="BK5" s="11" t="s">
        <v>588</v>
      </c>
      <c r="BL5" s="11" t="s">
        <v>588</v>
      </c>
      <c r="BM5" s="11">
        <v>3</v>
      </c>
      <c r="BN5" s="11">
        <v>3</v>
      </c>
      <c r="BO5" s="11" t="s">
        <v>41</v>
      </c>
      <c r="BP5" s="11" t="s">
        <v>588</v>
      </c>
      <c r="BQ5" s="11" t="s">
        <v>588</v>
      </c>
      <c r="BR5" s="11" t="s">
        <v>588</v>
      </c>
      <c r="BS5" s="11" t="s">
        <v>8</v>
      </c>
      <c r="BT5" s="11" t="s">
        <v>9</v>
      </c>
      <c r="BU5" s="11" t="s">
        <v>9</v>
      </c>
      <c r="BV5" s="11" t="s">
        <v>8</v>
      </c>
      <c r="BW5" s="11" t="s">
        <v>18</v>
      </c>
      <c r="BX5" s="11" t="s">
        <v>18</v>
      </c>
      <c r="BY5" s="11" t="s">
        <v>588</v>
      </c>
      <c r="BZ5" s="11" t="s">
        <v>588</v>
      </c>
    </row>
    <row r="6" spans="1:78" x14ac:dyDescent="0.25">
      <c r="A6" s="11">
        <v>201819</v>
      </c>
      <c r="B6" s="11" t="s">
        <v>83</v>
      </c>
      <c r="C6" s="11" t="s">
        <v>83</v>
      </c>
      <c r="D6" s="11" t="s">
        <v>84</v>
      </c>
      <c r="E6" s="11" t="s">
        <v>55</v>
      </c>
      <c r="F6" s="11">
        <v>1</v>
      </c>
      <c r="G6" s="11" t="s">
        <v>1311</v>
      </c>
      <c r="H6" s="11" t="s">
        <v>1311</v>
      </c>
      <c r="I6" s="13">
        <v>43446</v>
      </c>
      <c r="J6" s="11">
        <v>12</v>
      </c>
      <c r="K6" s="11">
        <v>12</v>
      </c>
      <c r="L6" s="11">
        <v>2018</v>
      </c>
      <c r="M6" s="11" t="s">
        <v>1394</v>
      </c>
      <c r="N6" s="11" t="s">
        <v>7</v>
      </c>
      <c r="O6" s="11" t="s">
        <v>10</v>
      </c>
      <c r="P6" s="23">
        <v>-38.674210000000002</v>
      </c>
      <c r="Q6" s="23">
        <v>145.600739</v>
      </c>
      <c r="R6" s="11" t="s">
        <v>588</v>
      </c>
      <c r="S6" s="11" t="s">
        <v>588</v>
      </c>
      <c r="T6" s="11">
        <v>2</v>
      </c>
      <c r="U6" s="11">
        <v>3</v>
      </c>
      <c r="V6" s="11" t="s">
        <v>588</v>
      </c>
      <c r="W6" s="11" t="s">
        <v>588</v>
      </c>
      <c r="X6" s="11">
        <v>2</v>
      </c>
      <c r="Y6" s="11">
        <v>2</v>
      </c>
      <c r="Z6" s="11" t="s">
        <v>41</v>
      </c>
      <c r="AA6" s="13">
        <v>43446</v>
      </c>
      <c r="AB6" s="11">
        <v>12</v>
      </c>
      <c r="AC6" s="11">
        <v>12</v>
      </c>
      <c r="AD6" s="11">
        <v>2018</v>
      </c>
      <c r="AE6" s="13" t="s">
        <v>1394</v>
      </c>
      <c r="AF6" s="11" t="s">
        <v>7</v>
      </c>
      <c r="AG6" s="13">
        <v>43452</v>
      </c>
      <c r="AH6" s="11">
        <v>18</v>
      </c>
      <c r="AI6" s="11">
        <v>12</v>
      </c>
      <c r="AJ6" s="11">
        <v>2018</v>
      </c>
      <c r="AK6" s="13" t="s">
        <v>1370</v>
      </c>
      <c r="AL6" s="11" t="s">
        <v>7</v>
      </c>
      <c r="AM6" s="13" t="s">
        <v>20</v>
      </c>
      <c r="AN6" s="11" t="s">
        <v>8</v>
      </c>
      <c r="AO6" s="11" t="s">
        <v>11</v>
      </c>
      <c r="AP6" s="11" t="s">
        <v>588</v>
      </c>
      <c r="AQ6" s="11" t="s">
        <v>588</v>
      </c>
      <c r="AR6" s="11" t="s">
        <v>588</v>
      </c>
      <c r="AS6" s="11" t="s">
        <v>588</v>
      </c>
      <c r="AT6" s="11" t="s">
        <v>588</v>
      </c>
      <c r="AU6" s="11" t="s">
        <v>588</v>
      </c>
      <c r="AV6" s="11" t="s">
        <v>588</v>
      </c>
      <c r="AW6" s="11" t="s">
        <v>588</v>
      </c>
      <c r="AX6" s="11" t="s">
        <v>588</v>
      </c>
      <c r="AY6" s="11" t="s">
        <v>588</v>
      </c>
      <c r="AZ6" s="11" t="s">
        <v>588</v>
      </c>
      <c r="BA6" s="11" t="s">
        <v>588</v>
      </c>
      <c r="BB6" s="11" t="s">
        <v>588</v>
      </c>
      <c r="BC6" s="11" t="s">
        <v>588</v>
      </c>
      <c r="BD6" s="11" t="s">
        <v>588</v>
      </c>
      <c r="BE6" s="11" t="s">
        <v>588</v>
      </c>
      <c r="BF6" s="11" t="s">
        <v>588</v>
      </c>
      <c r="BG6" s="11" t="s">
        <v>588</v>
      </c>
      <c r="BH6" s="11" t="s">
        <v>588</v>
      </c>
      <c r="BI6" s="11" t="s">
        <v>588</v>
      </c>
      <c r="BJ6" s="11" t="s">
        <v>588</v>
      </c>
      <c r="BK6" s="11" t="s">
        <v>588</v>
      </c>
      <c r="BL6" s="11" t="s">
        <v>588</v>
      </c>
      <c r="BM6" s="11" t="s">
        <v>588</v>
      </c>
      <c r="BN6" s="11" t="s">
        <v>588</v>
      </c>
      <c r="BO6" s="11" t="s">
        <v>588</v>
      </c>
      <c r="BP6" s="11" t="s">
        <v>588</v>
      </c>
      <c r="BQ6" s="11" t="s">
        <v>588</v>
      </c>
      <c r="BR6" s="11" t="s">
        <v>588</v>
      </c>
      <c r="BS6" s="11" t="s">
        <v>8</v>
      </c>
      <c r="BT6" s="11" t="s">
        <v>9</v>
      </c>
      <c r="BU6" s="11" t="s">
        <v>9</v>
      </c>
      <c r="BV6" s="11" t="s">
        <v>588</v>
      </c>
      <c r="BW6" s="11" t="s">
        <v>588</v>
      </c>
      <c r="BX6" s="11" t="s">
        <v>588</v>
      </c>
      <c r="BY6" s="11" t="s">
        <v>588</v>
      </c>
      <c r="BZ6" s="11" t="s">
        <v>588</v>
      </c>
    </row>
    <row r="7" spans="1:78" x14ac:dyDescent="0.25">
      <c r="A7" s="11">
        <v>201819</v>
      </c>
      <c r="B7" s="11" t="s">
        <v>83</v>
      </c>
      <c r="C7" s="11" t="s">
        <v>83</v>
      </c>
      <c r="D7" s="11" t="s">
        <v>84</v>
      </c>
      <c r="E7" s="11" t="s">
        <v>55</v>
      </c>
      <c r="F7" s="11">
        <v>2</v>
      </c>
      <c r="G7" s="11" t="s">
        <v>1312</v>
      </c>
      <c r="H7" s="11" t="s">
        <v>1312</v>
      </c>
      <c r="I7" s="13">
        <v>43455</v>
      </c>
      <c r="J7" s="11">
        <v>21</v>
      </c>
      <c r="K7" s="11">
        <v>12</v>
      </c>
      <c r="L7" s="11">
        <v>2018</v>
      </c>
      <c r="M7" s="11" t="s">
        <v>1407</v>
      </c>
      <c r="N7" s="11" t="s">
        <v>7</v>
      </c>
      <c r="O7" s="11" t="s">
        <v>10</v>
      </c>
      <c r="P7" s="23">
        <v>-38.674534999999999</v>
      </c>
      <c r="Q7" s="23">
        <v>145.60118900000001</v>
      </c>
      <c r="R7" s="11" t="s">
        <v>588</v>
      </c>
      <c r="S7" s="11" t="s">
        <v>588</v>
      </c>
      <c r="T7" s="11">
        <v>2</v>
      </c>
      <c r="U7" s="11">
        <v>3</v>
      </c>
      <c r="V7" s="11" t="s">
        <v>588</v>
      </c>
      <c r="W7" s="11" t="s">
        <v>588</v>
      </c>
      <c r="X7" s="11">
        <v>10</v>
      </c>
      <c r="Y7" s="11">
        <v>10</v>
      </c>
      <c r="Z7" s="11" t="s">
        <v>8</v>
      </c>
      <c r="AA7" s="13">
        <v>43486</v>
      </c>
      <c r="AB7" s="11">
        <v>21</v>
      </c>
      <c r="AC7" s="11">
        <v>1</v>
      </c>
      <c r="AD7" s="11">
        <v>2019</v>
      </c>
      <c r="AE7" s="13" t="s">
        <v>1406</v>
      </c>
      <c r="AF7" s="11" t="s">
        <v>12</v>
      </c>
      <c r="AG7" s="11" t="s">
        <v>588</v>
      </c>
      <c r="AH7" s="11" t="s">
        <v>588</v>
      </c>
      <c r="AI7" s="11" t="s">
        <v>588</v>
      </c>
      <c r="AJ7" s="11" t="s">
        <v>588</v>
      </c>
      <c r="AK7" s="13" t="s">
        <v>588</v>
      </c>
      <c r="AL7" s="11" t="s">
        <v>588</v>
      </c>
      <c r="AM7" s="11" t="s">
        <v>588</v>
      </c>
      <c r="AN7" s="11" t="s">
        <v>588</v>
      </c>
      <c r="AO7" s="11" t="s">
        <v>588</v>
      </c>
      <c r="AP7" s="13">
        <v>43491</v>
      </c>
      <c r="AQ7" s="11" t="s">
        <v>12</v>
      </c>
      <c r="AR7" s="11" t="s">
        <v>195</v>
      </c>
      <c r="AS7" s="11">
        <v>2</v>
      </c>
      <c r="AT7" s="11">
        <v>2</v>
      </c>
      <c r="AU7" s="13">
        <v>43495</v>
      </c>
      <c r="AV7" s="13">
        <v>43498</v>
      </c>
      <c r="AW7" s="11" t="s">
        <v>21</v>
      </c>
      <c r="AX7" s="11" t="s">
        <v>20</v>
      </c>
      <c r="AY7" s="11" t="s">
        <v>41</v>
      </c>
      <c r="AZ7" s="11" t="s">
        <v>41</v>
      </c>
      <c r="BA7" s="13">
        <v>43498</v>
      </c>
      <c r="BB7" s="13">
        <v>43503</v>
      </c>
      <c r="BC7" s="11" t="s">
        <v>21</v>
      </c>
      <c r="BD7" s="11" t="s">
        <v>20</v>
      </c>
      <c r="BE7" s="11" t="s">
        <v>41</v>
      </c>
      <c r="BF7" s="11" t="s">
        <v>41</v>
      </c>
      <c r="BG7" s="11" t="s">
        <v>588</v>
      </c>
      <c r="BH7" s="11" t="s">
        <v>588</v>
      </c>
      <c r="BI7" s="11" t="s">
        <v>588</v>
      </c>
      <c r="BJ7" s="11" t="s">
        <v>588</v>
      </c>
      <c r="BK7" s="11" t="s">
        <v>588</v>
      </c>
      <c r="BL7" s="11" t="s">
        <v>588</v>
      </c>
      <c r="BM7" s="11">
        <v>5</v>
      </c>
      <c r="BN7" s="11">
        <v>5</v>
      </c>
      <c r="BO7" s="11" t="s">
        <v>41</v>
      </c>
      <c r="BP7" s="11" t="s">
        <v>588</v>
      </c>
      <c r="BQ7" s="11" t="s">
        <v>588</v>
      </c>
      <c r="BR7" s="11" t="s">
        <v>588</v>
      </c>
      <c r="BS7" s="11" t="s">
        <v>8</v>
      </c>
      <c r="BT7" s="11" t="s">
        <v>9</v>
      </c>
      <c r="BU7" s="11" t="s">
        <v>9</v>
      </c>
      <c r="BV7" s="11" t="s">
        <v>8</v>
      </c>
      <c r="BW7" s="11" t="s">
        <v>52</v>
      </c>
      <c r="BX7" s="11" t="s">
        <v>52</v>
      </c>
      <c r="BY7" s="11" t="s">
        <v>588</v>
      </c>
      <c r="BZ7" s="11" t="s">
        <v>588</v>
      </c>
    </row>
    <row r="8" spans="1:78" x14ac:dyDescent="0.25">
      <c r="A8" s="11">
        <v>201819</v>
      </c>
      <c r="B8" s="11" t="s">
        <v>23</v>
      </c>
      <c r="C8" s="11" t="s">
        <v>23</v>
      </c>
      <c r="D8" s="11" t="s">
        <v>61</v>
      </c>
      <c r="E8" s="11" t="s">
        <v>16</v>
      </c>
      <c r="F8" s="11">
        <v>1</v>
      </c>
      <c r="G8" s="11" t="s">
        <v>1313</v>
      </c>
      <c r="H8" s="11" t="s">
        <v>1313</v>
      </c>
      <c r="I8" s="13">
        <v>43404</v>
      </c>
      <c r="J8" s="11">
        <v>31</v>
      </c>
      <c r="K8" s="11">
        <v>10</v>
      </c>
      <c r="L8" s="11">
        <v>2018</v>
      </c>
      <c r="M8" s="11" t="s">
        <v>1408</v>
      </c>
      <c r="N8" s="11" t="s">
        <v>29</v>
      </c>
      <c r="O8" s="11" t="s">
        <v>19</v>
      </c>
      <c r="P8" s="23">
        <v>-38.673771000000002</v>
      </c>
      <c r="Q8" s="23">
        <v>145.62200899999999</v>
      </c>
      <c r="R8" s="11" t="s">
        <v>588</v>
      </c>
      <c r="S8" s="11" t="s">
        <v>588</v>
      </c>
      <c r="T8" s="11">
        <v>2</v>
      </c>
      <c r="U8" s="11">
        <v>3</v>
      </c>
      <c r="V8" s="11" t="s">
        <v>588</v>
      </c>
      <c r="W8" s="11" t="s">
        <v>588</v>
      </c>
      <c r="X8" s="11">
        <v>2</v>
      </c>
      <c r="Y8" s="11">
        <v>2</v>
      </c>
      <c r="Z8" s="11" t="s">
        <v>41</v>
      </c>
      <c r="AA8" s="13">
        <v>43404</v>
      </c>
      <c r="AB8" s="11">
        <v>31</v>
      </c>
      <c r="AC8" s="11">
        <v>10</v>
      </c>
      <c r="AD8" s="11">
        <v>2018</v>
      </c>
      <c r="AE8" s="13" t="s">
        <v>1408</v>
      </c>
      <c r="AF8" s="11" t="s">
        <v>29</v>
      </c>
      <c r="AG8" s="13">
        <v>43409</v>
      </c>
      <c r="AH8" s="11">
        <v>5</v>
      </c>
      <c r="AI8" s="11">
        <v>11</v>
      </c>
      <c r="AJ8" s="11">
        <v>2018</v>
      </c>
      <c r="AK8" s="13" t="s">
        <v>1371</v>
      </c>
      <c r="AL8" s="11" t="s">
        <v>17</v>
      </c>
      <c r="AM8" s="13" t="s">
        <v>20</v>
      </c>
      <c r="AN8" s="11" t="s">
        <v>41</v>
      </c>
      <c r="AO8" s="11" t="s">
        <v>41</v>
      </c>
      <c r="AP8" s="11" t="s">
        <v>588</v>
      </c>
      <c r="AQ8" s="11" t="s">
        <v>588</v>
      </c>
      <c r="AR8" s="11" t="s">
        <v>588</v>
      </c>
      <c r="AS8" s="11" t="s">
        <v>588</v>
      </c>
      <c r="AT8" s="11" t="s">
        <v>588</v>
      </c>
      <c r="AU8" s="11" t="s">
        <v>588</v>
      </c>
      <c r="AV8" s="11" t="s">
        <v>588</v>
      </c>
      <c r="AW8" s="11" t="s">
        <v>588</v>
      </c>
      <c r="AX8" s="11" t="s">
        <v>588</v>
      </c>
      <c r="AY8" s="11" t="s">
        <v>588</v>
      </c>
      <c r="AZ8" s="11" t="s">
        <v>588</v>
      </c>
      <c r="BA8" s="11" t="s">
        <v>588</v>
      </c>
      <c r="BB8" s="11" t="s">
        <v>588</v>
      </c>
      <c r="BC8" s="11" t="s">
        <v>588</v>
      </c>
      <c r="BD8" s="11" t="s">
        <v>588</v>
      </c>
      <c r="BE8" s="11" t="s">
        <v>588</v>
      </c>
      <c r="BF8" s="11" t="s">
        <v>588</v>
      </c>
      <c r="BG8" s="11" t="s">
        <v>588</v>
      </c>
      <c r="BH8" s="11" t="s">
        <v>588</v>
      </c>
      <c r="BI8" s="11" t="s">
        <v>588</v>
      </c>
      <c r="BJ8" s="11" t="s">
        <v>588</v>
      </c>
      <c r="BK8" s="11" t="s">
        <v>588</v>
      </c>
      <c r="BL8" s="11" t="s">
        <v>588</v>
      </c>
      <c r="BM8" s="11" t="s">
        <v>588</v>
      </c>
      <c r="BN8" s="11" t="s">
        <v>588</v>
      </c>
      <c r="BO8" s="11" t="s">
        <v>588</v>
      </c>
      <c r="BP8" s="11" t="s">
        <v>588</v>
      </c>
      <c r="BQ8" s="11" t="s">
        <v>588</v>
      </c>
      <c r="BR8" s="11" t="s">
        <v>588</v>
      </c>
      <c r="BS8" s="11" t="s">
        <v>8</v>
      </c>
      <c r="BT8" s="11" t="s">
        <v>9</v>
      </c>
      <c r="BU8" s="11" t="s">
        <v>9</v>
      </c>
      <c r="BV8" s="11" t="s">
        <v>588</v>
      </c>
      <c r="BW8" s="11" t="s">
        <v>588</v>
      </c>
      <c r="BX8" s="11" t="s">
        <v>588</v>
      </c>
      <c r="BY8" s="11" t="s">
        <v>588</v>
      </c>
      <c r="BZ8" s="11" t="s">
        <v>588</v>
      </c>
    </row>
    <row r="9" spans="1:78" x14ac:dyDescent="0.25">
      <c r="A9" s="11">
        <v>201819</v>
      </c>
      <c r="B9" s="11" t="s">
        <v>23</v>
      </c>
      <c r="C9" s="11" t="s">
        <v>23</v>
      </c>
      <c r="D9" s="11" t="s">
        <v>61</v>
      </c>
      <c r="E9" s="11" t="s">
        <v>16</v>
      </c>
      <c r="F9" s="11">
        <v>2</v>
      </c>
      <c r="G9" s="11" t="s">
        <v>1314</v>
      </c>
      <c r="H9" s="11" t="s">
        <v>1314</v>
      </c>
      <c r="I9" s="13">
        <v>43431</v>
      </c>
      <c r="J9" s="11">
        <v>27</v>
      </c>
      <c r="K9" s="11">
        <v>11</v>
      </c>
      <c r="L9" s="11">
        <v>2018</v>
      </c>
      <c r="M9" s="11" t="s">
        <v>1409</v>
      </c>
      <c r="N9" s="11" t="s">
        <v>17</v>
      </c>
      <c r="O9" s="11" t="s">
        <v>19</v>
      </c>
      <c r="P9" s="23">
        <v>-38.673771000000002</v>
      </c>
      <c r="Q9" s="23">
        <v>145.62200899999999</v>
      </c>
      <c r="R9" s="11" t="s">
        <v>588</v>
      </c>
      <c r="S9" s="11" t="s">
        <v>588</v>
      </c>
      <c r="T9" s="11">
        <v>1</v>
      </c>
      <c r="U9" s="11">
        <v>3</v>
      </c>
      <c r="V9" s="11" t="s">
        <v>588</v>
      </c>
      <c r="W9" s="11" t="s">
        <v>588</v>
      </c>
      <c r="X9" s="11">
        <v>3</v>
      </c>
      <c r="Y9" s="11">
        <v>3</v>
      </c>
      <c r="Z9" s="11" t="s">
        <v>41</v>
      </c>
      <c r="AA9" s="13">
        <v>43437</v>
      </c>
      <c r="AB9" s="11">
        <v>3</v>
      </c>
      <c r="AC9" s="11">
        <v>12</v>
      </c>
      <c r="AD9" s="11">
        <v>2018</v>
      </c>
      <c r="AE9" s="13" t="s">
        <v>1410</v>
      </c>
      <c r="AF9" s="11" t="s">
        <v>7</v>
      </c>
      <c r="AG9" s="13">
        <v>43442</v>
      </c>
      <c r="AH9" s="11">
        <v>8</v>
      </c>
      <c r="AI9" s="11">
        <v>12</v>
      </c>
      <c r="AJ9" s="11">
        <v>2018</v>
      </c>
      <c r="AK9" s="13" t="s">
        <v>1372</v>
      </c>
      <c r="AL9" s="11" t="s">
        <v>7</v>
      </c>
      <c r="AM9" s="13" t="s">
        <v>20</v>
      </c>
      <c r="AN9" s="11" t="s">
        <v>41</v>
      </c>
      <c r="AO9" s="11" t="s">
        <v>41</v>
      </c>
      <c r="AP9" s="11" t="s">
        <v>588</v>
      </c>
      <c r="AQ9" s="11" t="s">
        <v>588</v>
      </c>
      <c r="AR9" s="11" t="s">
        <v>588</v>
      </c>
      <c r="AS9" s="11" t="s">
        <v>588</v>
      </c>
      <c r="AT9" s="11" t="s">
        <v>588</v>
      </c>
      <c r="AU9" s="13" t="s">
        <v>588</v>
      </c>
      <c r="AV9" s="13" t="s">
        <v>588</v>
      </c>
      <c r="AW9" s="11" t="s">
        <v>588</v>
      </c>
      <c r="AX9" s="11" t="s">
        <v>588</v>
      </c>
      <c r="AY9" s="11" t="s">
        <v>588</v>
      </c>
      <c r="AZ9" s="11" t="s">
        <v>588</v>
      </c>
      <c r="BA9" s="13" t="s">
        <v>588</v>
      </c>
      <c r="BB9" s="13" t="s">
        <v>588</v>
      </c>
      <c r="BC9" s="11" t="s">
        <v>588</v>
      </c>
      <c r="BD9" s="11" t="s">
        <v>588</v>
      </c>
      <c r="BE9" s="11" t="s">
        <v>588</v>
      </c>
      <c r="BF9" s="11" t="s">
        <v>588</v>
      </c>
      <c r="BG9" s="11" t="s">
        <v>588</v>
      </c>
      <c r="BH9" s="11" t="s">
        <v>588</v>
      </c>
      <c r="BI9" s="11" t="s">
        <v>588</v>
      </c>
      <c r="BJ9" s="11" t="s">
        <v>588</v>
      </c>
      <c r="BK9" s="11" t="s">
        <v>588</v>
      </c>
      <c r="BL9" s="11" t="s">
        <v>588</v>
      </c>
      <c r="BM9" s="11" t="s">
        <v>588</v>
      </c>
      <c r="BN9" s="11" t="s">
        <v>588</v>
      </c>
      <c r="BO9" s="11" t="s">
        <v>588</v>
      </c>
      <c r="BP9" s="11" t="s">
        <v>588</v>
      </c>
      <c r="BQ9" s="11" t="s">
        <v>588</v>
      </c>
      <c r="BR9" s="11" t="s">
        <v>588</v>
      </c>
      <c r="BS9" s="11" t="s">
        <v>8</v>
      </c>
      <c r="BT9" s="11" t="s">
        <v>9</v>
      </c>
      <c r="BU9" s="11" t="s">
        <v>9</v>
      </c>
      <c r="BV9" s="11" t="s">
        <v>588</v>
      </c>
      <c r="BW9" s="11" t="s">
        <v>588</v>
      </c>
      <c r="BX9" s="11" t="s">
        <v>588</v>
      </c>
      <c r="BY9" s="11" t="s">
        <v>588</v>
      </c>
      <c r="BZ9" s="11" t="s">
        <v>588</v>
      </c>
    </row>
    <row r="10" spans="1:78" x14ac:dyDescent="0.25">
      <c r="A10" s="11">
        <v>201819</v>
      </c>
      <c r="B10" s="11" t="s">
        <v>23</v>
      </c>
      <c r="C10" s="11" t="s">
        <v>23</v>
      </c>
      <c r="D10" s="11" t="s">
        <v>61</v>
      </c>
      <c r="E10" s="11" t="s">
        <v>16</v>
      </c>
      <c r="F10" s="11">
        <v>3</v>
      </c>
      <c r="G10" s="11" t="s">
        <v>1315</v>
      </c>
      <c r="H10" s="11" t="s">
        <v>1315</v>
      </c>
      <c r="I10" s="13">
        <v>43455</v>
      </c>
      <c r="J10" s="11">
        <v>21</v>
      </c>
      <c r="K10" s="11">
        <v>12</v>
      </c>
      <c r="L10" s="11">
        <v>2018</v>
      </c>
      <c r="M10" s="11" t="s">
        <v>1407</v>
      </c>
      <c r="N10" s="11" t="s">
        <v>7</v>
      </c>
      <c r="O10" s="11" t="s">
        <v>19</v>
      </c>
      <c r="P10" s="23">
        <v>-38.673771000000002</v>
      </c>
      <c r="Q10" s="23">
        <v>145.62200899999999</v>
      </c>
      <c r="R10" s="11" t="s">
        <v>588</v>
      </c>
      <c r="S10" s="11" t="s">
        <v>588</v>
      </c>
      <c r="T10" s="11">
        <v>2</v>
      </c>
      <c r="U10" s="11">
        <v>3</v>
      </c>
      <c r="V10" s="11" t="s">
        <v>588</v>
      </c>
      <c r="W10" s="11" t="s">
        <v>588</v>
      </c>
      <c r="X10" s="11">
        <v>4</v>
      </c>
      <c r="Y10" s="11">
        <v>4</v>
      </c>
      <c r="Z10" s="11" t="s">
        <v>41</v>
      </c>
      <c r="AA10" s="13">
        <v>43461</v>
      </c>
      <c r="AB10" s="11">
        <v>27</v>
      </c>
      <c r="AC10" s="11">
        <v>12</v>
      </c>
      <c r="AD10" s="11">
        <v>2018</v>
      </c>
      <c r="AE10" s="13" t="s">
        <v>1405</v>
      </c>
      <c r="AF10" s="11" t="s">
        <v>7</v>
      </c>
      <c r="AG10" s="13">
        <v>43467</v>
      </c>
      <c r="AH10" s="11">
        <v>2</v>
      </c>
      <c r="AI10" s="11">
        <v>1</v>
      </c>
      <c r="AJ10" s="11">
        <v>2019</v>
      </c>
      <c r="AK10" s="13" t="s">
        <v>1373</v>
      </c>
      <c r="AL10" s="11" t="s">
        <v>12</v>
      </c>
      <c r="AM10" s="13" t="s">
        <v>20</v>
      </c>
      <c r="AN10" s="11" t="s">
        <v>41</v>
      </c>
      <c r="AO10" s="11" t="s">
        <v>41</v>
      </c>
      <c r="AP10" s="11" t="s">
        <v>588</v>
      </c>
      <c r="AQ10" s="11" t="s">
        <v>588</v>
      </c>
      <c r="AR10" s="11" t="s">
        <v>588</v>
      </c>
      <c r="AS10" s="11" t="s">
        <v>588</v>
      </c>
      <c r="AT10" s="11" t="s">
        <v>588</v>
      </c>
      <c r="AU10" s="11" t="s">
        <v>588</v>
      </c>
      <c r="AV10" s="11" t="s">
        <v>588</v>
      </c>
      <c r="AW10" s="11" t="s">
        <v>588</v>
      </c>
      <c r="AX10" s="11" t="s">
        <v>588</v>
      </c>
      <c r="AY10" s="11" t="s">
        <v>588</v>
      </c>
      <c r="AZ10" s="11" t="s">
        <v>588</v>
      </c>
      <c r="BA10" s="11" t="s">
        <v>588</v>
      </c>
      <c r="BB10" s="11" t="s">
        <v>588</v>
      </c>
      <c r="BC10" s="11" t="s">
        <v>588</v>
      </c>
      <c r="BD10" s="11" t="s">
        <v>588</v>
      </c>
      <c r="BE10" s="11" t="s">
        <v>588</v>
      </c>
      <c r="BF10" s="11" t="s">
        <v>588</v>
      </c>
      <c r="BG10" s="11" t="s">
        <v>588</v>
      </c>
      <c r="BH10" s="11" t="s">
        <v>588</v>
      </c>
      <c r="BI10" s="11" t="s">
        <v>588</v>
      </c>
      <c r="BJ10" s="11" t="s">
        <v>588</v>
      </c>
      <c r="BK10" s="11" t="s">
        <v>588</v>
      </c>
      <c r="BL10" s="11" t="s">
        <v>588</v>
      </c>
      <c r="BM10" s="11" t="s">
        <v>588</v>
      </c>
      <c r="BN10" s="11" t="s">
        <v>588</v>
      </c>
      <c r="BO10" s="11" t="s">
        <v>588</v>
      </c>
      <c r="BP10" s="11" t="s">
        <v>588</v>
      </c>
      <c r="BQ10" s="11" t="s">
        <v>588</v>
      </c>
      <c r="BR10" s="11" t="s">
        <v>588</v>
      </c>
      <c r="BS10" s="11" t="s">
        <v>8</v>
      </c>
      <c r="BT10" s="11" t="s">
        <v>9</v>
      </c>
      <c r="BU10" s="11" t="s">
        <v>9</v>
      </c>
      <c r="BV10" s="11" t="s">
        <v>588</v>
      </c>
      <c r="BW10" s="11" t="s">
        <v>588</v>
      </c>
      <c r="BX10" s="11" t="s">
        <v>588</v>
      </c>
      <c r="BY10" s="11" t="s">
        <v>588</v>
      </c>
      <c r="BZ10" s="11" t="s">
        <v>588</v>
      </c>
    </row>
    <row r="11" spans="1:78" x14ac:dyDescent="0.25">
      <c r="A11" s="11">
        <v>201819</v>
      </c>
      <c r="B11" s="11" t="s">
        <v>23</v>
      </c>
      <c r="C11" s="11" t="s">
        <v>23</v>
      </c>
      <c r="D11" s="11" t="s">
        <v>61</v>
      </c>
      <c r="E11" s="11" t="s">
        <v>16</v>
      </c>
      <c r="F11" s="11">
        <v>4</v>
      </c>
      <c r="G11" s="11" t="s">
        <v>1316</v>
      </c>
      <c r="H11" s="11" t="s">
        <v>1316</v>
      </c>
      <c r="I11" s="13">
        <v>43477</v>
      </c>
      <c r="J11" s="11">
        <v>12</v>
      </c>
      <c r="K11" s="11">
        <v>1</v>
      </c>
      <c r="L11" s="11">
        <v>2019</v>
      </c>
      <c r="M11" s="11" t="s">
        <v>1411</v>
      </c>
      <c r="N11" s="11" t="s">
        <v>12</v>
      </c>
      <c r="O11" s="11" t="s">
        <v>19</v>
      </c>
      <c r="P11" s="23" t="s">
        <v>588</v>
      </c>
      <c r="Q11" s="23" t="s">
        <v>588</v>
      </c>
      <c r="R11" s="11" t="s">
        <v>588</v>
      </c>
      <c r="S11" s="11" t="s">
        <v>588</v>
      </c>
      <c r="T11" s="11">
        <v>3</v>
      </c>
      <c r="U11" s="11">
        <v>3</v>
      </c>
      <c r="V11" s="11" t="s">
        <v>588</v>
      </c>
      <c r="W11" s="11" t="s">
        <v>588</v>
      </c>
      <c r="X11" s="11">
        <v>4</v>
      </c>
      <c r="Y11" s="11">
        <v>4</v>
      </c>
      <c r="Z11" s="11" t="s">
        <v>41</v>
      </c>
      <c r="AA11" s="13">
        <v>43482</v>
      </c>
      <c r="AB11" s="11">
        <v>17</v>
      </c>
      <c r="AC11" s="11">
        <v>1</v>
      </c>
      <c r="AD11" s="11">
        <v>2019</v>
      </c>
      <c r="AE11" s="13" t="s">
        <v>1391</v>
      </c>
      <c r="AF11" s="11" t="s">
        <v>12</v>
      </c>
      <c r="AG11" s="13">
        <v>43484</v>
      </c>
      <c r="AH11" s="11">
        <v>19</v>
      </c>
      <c r="AI11" s="11">
        <v>1</v>
      </c>
      <c r="AJ11" s="11">
        <v>2019</v>
      </c>
      <c r="AK11" s="13" t="s">
        <v>1374</v>
      </c>
      <c r="AL11" s="11" t="s">
        <v>12</v>
      </c>
      <c r="AM11" s="13" t="s">
        <v>20</v>
      </c>
      <c r="AN11" s="11" t="s">
        <v>8</v>
      </c>
      <c r="AO11" s="11" t="s">
        <v>1025</v>
      </c>
      <c r="AP11" s="11" t="s">
        <v>588</v>
      </c>
      <c r="AQ11" s="11" t="s">
        <v>588</v>
      </c>
      <c r="AR11" s="11" t="s">
        <v>588</v>
      </c>
      <c r="AS11" s="11" t="s">
        <v>588</v>
      </c>
      <c r="AT11" s="11" t="s">
        <v>588</v>
      </c>
      <c r="AU11" s="13" t="s">
        <v>588</v>
      </c>
      <c r="AV11" s="13" t="s">
        <v>588</v>
      </c>
      <c r="AW11" s="11" t="s">
        <v>588</v>
      </c>
      <c r="AX11" s="11" t="s">
        <v>588</v>
      </c>
      <c r="AY11" s="11" t="s">
        <v>588</v>
      </c>
      <c r="AZ11" s="11" t="s">
        <v>588</v>
      </c>
      <c r="BA11" s="13" t="s">
        <v>588</v>
      </c>
      <c r="BB11" s="13" t="s">
        <v>588</v>
      </c>
      <c r="BC11" s="11" t="s">
        <v>588</v>
      </c>
      <c r="BD11" s="11" t="s">
        <v>588</v>
      </c>
      <c r="BE11" s="11" t="s">
        <v>588</v>
      </c>
      <c r="BF11" s="11" t="s">
        <v>588</v>
      </c>
      <c r="BG11" s="11" t="s">
        <v>588</v>
      </c>
      <c r="BH11" s="11" t="s">
        <v>588</v>
      </c>
      <c r="BI11" s="11" t="s">
        <v>588</v>
      </c>
      <c r="BJ11" s="11" t="s">
        <v>588</v>
      </c>
      <c r="BK11" s="11" t="s">
        <v>588</v>
      </c>
      <c r="BL11" s="11" t="s">
        <v>588</v>
      </c>
      <c r="BM11" s="11" t="s">
        <v>588</v>
      </c>
      <c r="BN11" s="11" t="s">
        <v>588</v>
      </c>
      <c r="BO11" s="11" t="s">
        <v>588</v>
      </c>
      <c r="BP11" s="11" t="s">
        <v>588</v>
      </c>
      <c r="BQ11" s="11" t="s">
        <v>588</v>
      </c>
      <c r="BR11" s="11" t="s">
        <v>588</v>
      </c>
      <c r="BS11" s="11" t="s">
        <v>8</v>
      </c>
      <c r="BT11" s="11" t="s">
        <v>9</v>
      </c>
      <c r="BU11" s="11" t="s">
        <v>9</v>
      </c>
      <c r="BV11" s="11" t="s">
        <v>588</v>
      </c>
      <c r="BW11" s="11" t="s">
        <v>588</v>
      </c>
      <c r="BX11" s="11" t="s">
        <v>588</v>
      </c>
      <c r="BY11" s="11" t="s">
        <v>588</v>
      </c>
      <c r="BZ11" s="11" t="s">
        <v>588</v>
      </c>
    </row>
    <row r="12" spans="1:78" x14ac:dyDescent="0.25">
      <c r="A12" s="11">
        <v>201819</v>
      </c>
      <c r="B12" s="11" t="s">
        <v>23</v>
      </c>
      <c r="C12" s="11" t="s">
        <v>23</v>
      </c>
      <c r="D12" s="11" t="s">
        <v>61</v>
      </c>
      <c r="E12" s="11" t="s">
        <v>16</v>
      </c>
      <c r="F12" s="11">
        <v>5</v>
      </c>
      <c r="G12" s="11" t="s">
        <v>1317</v>
      </c>
      <c r="H12" s="11" t="s">
        <v>1317</v>
      </c>
      <c r="I12" s="13">
        <v>43498</v>
      </c>
      <c r="J12" s="11">
        <v>2</v>
      </c>
      <c r="K12" s="11">
        <v>2</v>
      </c>
      <c r="L12" s="11">
        <v>2019</v>
      </c>
      <c r="M12" s="11" t="s">
        <v>1412</v>
      </c>
      <c r="N12" s="11" t="s">
        <v>21</v>
      </c>
      <c r="O12" s="11" t="s">
        <v>36</v>
      </c>
      <c r="P12" s="23">
        <v>-38.672427999999996</v>
      </c>
      <c r="Q12" s="23">
        <v>145.62466000000001</v>
      </c>
      <c r="R12" s="11" t="s">
        <v>588</v>
      </c>
      <c r="S12" s="11" t="s">
        <v>588</v>
      </c>
      <c r="T12" s="11">
        <v>2</v>
      </c>
      <c r="U12" s="11">
        <v>3</v>
      </c>
      <c r="V12" s="11" t="s">
        <v>588</v>
      </c>
      <c r="W12" s="11" t="s">
        <v>588</v>
      </c>
      <c r="X12" s="11">
        <v>7</v>
      </c>
      <c r="Y12" s="11">
        <v>7</v>
      </c>
      <c r="Z12" s="11" t="s">
        <v>41</v>
      </c>
      <c r="AA12" s="13">
        <v>43514</v>
      </c>
      <c r="AB12" s="11">
        <v>18</v>
      </c>
      <c r="AC12" s="11">
        <v>2</v>
      </c>
      <c r="AD12" s="11">
        <v>2019</v>
      </c>
      <c r="AE12" s="13" t="s">
        <v>1386</v>
      </c>
      <c r="AF12" s="11" t="s">
        <v>12</v>
      </c>
      <c r="AG12" s="13">
        <v>43518</v>
      </c>
      <c r="AH12" s="11">
        <v>22</v>
      </c>
      <c r="AI12" s="11">
        <v>2</v>
      </c>
      <c r="AJ12" s="11">
        <v>2019</v>
      </c>
      <c r="AK12" s="13" t="s">
        <v>1375</v>
      </c>
      <c r="AL12" s="11" t="s">
        <v>21</v>
      </c>
      <c r="AM12" s="13" t="s">
        <v>20</v>
      </c>
      <c r="AN12" s="11" t="s">
        <v>8</v>
      </c>
      <c r="AO12" s="11" t="s">
        <v>1021</v>
      </c>
      <c r="AP12" s="11" t="s">
        <v>588</v>
      </c>
      <c r="AQ12" s="11" t="s">
        <v>588</v>
      </c>
      <c r="AR12" s="11" t="s">
        <v>588</v>
      </c>
      <c r="AS12" s="11" t="s">
        <v>588</v>
      </c>
      <c r="AT12" s="11" t="s">
        <v>588</v>
      </c>
      <c r="AU12" s="11" t="s">
        <v>588</v>
      </c>
      <c r="AV12" s="11" t="s">
        <v>588</v>
      </c>
      <c r="AW12" s="11" t="s">
        <v>588</v>
      </c>
      <c r="AX12" s="11" t="s">
        <v>588</v>
      </c>
      <c r="AY12" s="11" t="s">
        <v>588</v>
      </c>
      <c r="AZ12" s="11" t="s">
        <v>588</v>
      </c>
      <c r="BA12" s="11" t="s">
        <v>588</v>
      </c>
      <c r="BB12" s="11" t="s">
        <v>588</v>
      </c>
      <c r="BC12" s="11" t="s">
        <v>588</v>
      </c>
      <c r="BD12" s="11" t="s">
        <v>588</v>
      </c>
      <c r="BE12" s="11" t="s">
        <v>588</v>
      </c>
      <c r="BF12" s="11" t="s">
        <v>588</v>
      </c>
      <c r="BG12" s="11" t="s">
        <v>588</v>
      </c>
      <c r="BH12" s="11" t="s">
        <v>588</v>
      </c>
      <c r="BI12" s="11" t="s">
        <v>588</v>
      </c>
      <c r="BJ12" s="11" t="s">
        <v>588</v>
      </c>
      <c r="BK12" s="11" t="s">
        <v>588</v>
      </c>
      <c r="BL12" s="11" t="s">
        <v>588</v>
      </c>
      <c r="BM12" s="11" t="s">
        <v>588</v>
      </c>
      <c r="BN12" s="11" t="s">
        <v>588</v>
      </c>
      <c r="BO12" s="11" t="s">
        <v>588</v>
      </c>
      <c r="BP12" s="11" t="s">
        <v>588</v>
      </c>
      <c r="BQ12" s="11" t="s">
        <v>588</v>
      </c>
      <c r="BR12" s="11" t="s">
        <v>588</v>
      </c>
      <c r="BS12" s="11" t="s">
        <v>8</v>
      </c>
      <c r="BT12" s="11" t="s">
        <v>9</v>
      </c>
      <c r="BU12" s="11" t="s">
        <v>9</v>
      </c>
      <c r="BV12" s="11" t="s">
        <v>588</v>
      </c>
      <c r="BW12" s="11" t="s">
        <v>588</v>
      </c>
      <c r="BX12" s="11" t="s">
        <v>588</v>
      </c>
      <c r="BY12" s="11" t="s">
        <v>588</v>
      </c>
      <c r="BZ12" s="11" t="s">
        <v>588</v>
      </c>
    </row>
    <row r="13" spans="1:78" x14ac:dyDescent="0.25">
      <c r="A13" s="11">
        <v>201819</v>
      </c>
      <c r="B13" s="11" t="s">
        <v>14</v>
      </c>
      <c r="C13" s="11" t="s">
        <v>14</v>
      </c>
      <c r="D13" s="11" t="s">
        <v>16</v>
      </c>
      <c r="E13" s="11" t="s">
        <v>16</v>
      </c>
      <c r="F13" s="11">
        <v>1</v>
      </c>
      <c r="G13" s="11" t="s">
        <v>1318</v>
      </c>
      <c r="H13" s="11" t="s">
        <v>1318</v>
      </c>
      <c r="I13" s="13">
        <v>43397</v>
      </c>
      <c r="J13" s="11">
        <v>24</v>
      </c>
      <c r="K13" s="11">
        <v>10</v>
      </c>
      <c r="L13" s="11">
        <v>2018</v>
      </c>
      <c r="M13" s="11" t="s">
        <v>1413</v>
      </c>
      <c r="N13" s="11" t="s">
        <v>29</v>
      </c>
      <c r="O13" s="11" t="s">
        <v>19</v>
      </c>
      <c r="P13" s="23">
        <v>-38.659320000000001</v>
      </c>
      <c r="Q13" s="23">
        <v>145.58116999999999</v>
      </c>
      <c r="R13" s="11" t="s">
        <v>588</v>
      </c>
      <c r="S13" s="11" t="s">
        <v>588</v>
      </c>
      <c r="T13" s="11">
        <v>3</v>
      </c>
      <c r="U13" s="11">
        <v>3</v>
      </c>
      <c r="V13" s="13">
        <v>43401</v>
      </c>
      <c r="W13" s="11" t="s">
        <v>223</v>
      </c>
      <c r="X13" s="11">
        <v>3</v>
      </c>
      <c r="Y13" s="11">
        <v>3</v>
      </c>
      <c r="Z13" s="11" t="s">
        <v>41</v>
      </c>
      <c r="AA13" s="13">
        <v>43402</v>
      </c>
      <c r="AB13" s="11">
        <v>29</v>
      </c>
      <c r="AC13" s="11">
        <v>10</v>
      </c>
      <c r="AD13" s="11">
        <v>2018</v>
      </c>
      <c r="AE13" s="13" t="s">
        <v>1414</v>
      </c>
      <c r="AF13" s="11" t="s">
        <v>29</v>
      </c>
      <c r="AG13" s="13">
        <v>43416</v>
      </c>
      <c r="AH13" s="11">
        <v>12</v>
      </c>
      <c r="AI13" s="11">
        <v>11</v>
      </c>
      <c r="AJ13" s="11">
        <v>2018</v>
      </c>
      <c r="AK13" s="13" t="s">
        <v>1376</v>
      </c>
      <c r="AL13" s="11" t="s">
        <v>17</v>
      </c>
      <c r="AM13" s="13" t="s">
        <v>20</v>
      </c>
      <c r="AN13" s="11" t="s">
        <v>8</v>
      </c>
      <c r="AO13" s="11" t="s">
        <v>1067</v>
      </c>
      <c r="AP13" s="11" t="s">
        <v>588</v>
      </c>
      <c r="AQ13" s="11" t="s">
        <v>588</v>
      </c>
      <c r="AR13" s="11" t="s">
        <v>588</v>
      </c>
      <c r="AS13" s="11" t="s">
        <v>588</v>
      </c>
      <c r="AT13" s="11" t="s">
        <v>588</v>
      </c>
      <c r="AU13" s="11" t="s">
        <v>588</v>
      </c>
      <c r="AV13" s="11" t="s">
        <v>588</v>
      </c>
      <c r="AW13" s="13" t="s">
        <v>588</v>
      </c>
      <c r="AX13" s="11" t="s">
        <v>588</v>
      </c>
      <c r="AY13" s="13" t="s">
        <v>588</v>
      </c>
      <c r="AZ13" s="13" t="s">
        <v>588</v>
      </c>
      <c r="BA13" s="13" t="s">
        <v>588</v>
      </c>
      <c r="BB13" s="13" t="s">
        <v>588</v>
      </c>
      <c r="BC13" s="13" t="s">
        <v>588</v>
      </c>
      <c r="BD13" s="13" t="s">
        <v>588</v>
      </c>
      <c r="BE13" s="13" t="s">
        <v>588</v>
      </c>
      <c r="BF13" s="13" t="s">
        <v>588</v>
      </c>
      <c r="BG13" s="13" t="s">
        <v>588</v>
      </c>
      <c r="BH13" s="13" t="s">
        <v>588</v>
      </c>
      <c r="BI13" s="13" t="s">
        <v>588</v>
      </c>
      <c r="BJ13" s="13" t="s">
        <v>588</v>
      </c>
      <c r="BK13" s="13" t="s">
        <v>588</v>
      </c>
      <c r="BL13" s="13" t="s">
        <v>588</v>
      </c>
      <c r="BM13" s="13" t="s">
        <v>588</v>
      </c>
      <c r="BN13" s="13" t="s">
        <v>588</v>
      </c>
      <c r="BO13" s="13" t="s">
        <v>588</v>
      </c>
      <c r="BP13" s="13" t="s">
        <v>588</v>
      </c>
      <c r="BQ13" s="13" t="s">
        <v>588</v>
      </c>
      <c r="BR13" s="13" t="s">
        <v>588</v>
      </c>
      <c r="BS13" s="11" t="s">
        <v>8</v>
      </c>
      <c r="BT13" s="11" t="s">
        <v>9</v>
      </c>
      <c r="BU13" s="11" t="s">
        <v>9</v>
      </c>
      <c r="BV13" s="13" t="s">
        <v>588</v>
      </c>
      <c r="BW13" s="13" t="s">
        <v>588</v>
      </c>
      <c r="BX13" s="13" t="s">
        <v>588</v>
      </c>
      <c r="BY13" s="13" t="s">
        <v>588</v>
      </c>
      <c r="BZ13" s="13" t="s">
        <v>588</v>
      </c>
    </row>
    <row r="14" spans="1:78" x14ac:dyDescent="0.25">
      <c r="A14" s="11">
        <v>201819</v>
      </c>
      <c r="B14" s="11" t="s">
        <v>14</v>
      </c>
      <c r="C14" s="11" t="s">
        <v>14</v>
      </c>
      <c r="D14" s="11" t="s">
        <v>16</v>
      </c>
      <c r="E14" s="11" t="s">
        <v>16</v>
      </c>
      <c r="F14" s="11">
        <v>2</v>
      </c>
      <c r="G14" s="11" t="s">
        <v>1319</v>
      </c>
      <c r="H14" s="11" t="s">
        <v>1319</v>
      </c>
      <c r="I14" s="13">
        <v>43436</v>
      </c>
      <c r="J14" s="11">
        <v>2</v>
      </c>
      <c r="K14" s="11">
        <v>12</v>
      </c>
      <c r="L14" s="11">
        <v>2018</v>
      </c>
      <c r="M14" s="11" t="s">
        <v>1402</v>
      </c>
      <c r="N14" s="11" t="s">
        <v>7</v>
      </c>
      <c r="O14" s="11" t="s">
        <v>19</v>
      </c>
      <c r="P14" s="23">
        <v>-38.659399999999998</v>
      </c>
      <c r="Q14" s="23">
        <v>145.58124000000001</v>
      </c>
      <c r="R14" s="11" t="s">
        <v>588</v>
      </c>
      <c r="S14" s="11" t="s">
        <v>588</v>
      </c>
      <c r="T14" s="11">
        <v>3</v>
      </c>
      <c r="U14" s="11">
        <v>3</v>
      </c>
      <c r="V14" s="11" t="s">
        <v>588</v>
      </c>
      <c r="W14" s="11" t="s">
        <v>588</v>
      </c>
      <c r="X14" s="11">
        <v>1</v>
      </c>
      <c r="Y14" s="11">
        <v>2</v>
      </c>
      <c r="Z14" s="11" t="s">
        <v>41</v>
      </c>
      <c r="AA14" s="13">
        <v>43436</v>
      </c>
      <c r="AB14" s="11">
        <v>2</v>
      </c>
      <c r="AC14" s="11">
        <v>12</v>
      </c>
      <c r="AD14" s="11">
        <v>2018</v>
      </c>
      <c r="AE14" s="13" t="s">
        <v>1402</v>
      </c>
      <c r="AF14" s="11" t="s">
        <v>7</v>
      </c>
      <c r="AG14" s="13">
        <v>43439</v>
      </c>
      <c r="AH14" s="11">
        <v>5</v>
      </c>
      <c r="AI14" s="11">
        <v>12</v>
      </c>
      <c r="AJ14" s="11">
        <v>2018</v>
      </c>
      <c r="AK14" s="13" t="s">
        <v>1377</v>
      </c>
      <c r="AL14" s="11" t="s">
        <v>7</v>
      </c>
      <c r="AM14" s="13" t="s">
        <v>20</v>
      </c>
      <c r="AN14" s="11" t="s">
        <v>8</v>
      </c>
      <c r="AO14" s="11" t="s">
        <v>32</v>
      </c>
      <c r="AP14" s="11" t="s">
        <v>588</v>
      </c>
      <c r="AQ14" s="13" t="s">
        <v>588</v>
      </c>
      <c r="AR14" s="11" t="s">
        <v>588</v>
      </c>
      <c r="AS14" s="11" t="s">
        <v>588</v>
      </c>
      <c r="AT14" s="11" t="s">
        <v>588</v>
      </c>
      <c r="AU14" s="13" t="s">
        <v>588</v>
      </c>
      <c r="AV14" s="13" t="s">
        <v>588</v>
      </c>
      <c r="AW14" s="13" t="s">
        <v>588</v>
      </c>
      <c r="AX14" s="13" t="s">
        <v>588</v>
      </c>
      <c r="AY14" s="13" t="s">
        <v>588</v>
      </c>
      <c r="AZ14" s="13" t="s">
        <v>588</v>
      </c>
      <c r="BA14" s="13" t="s">
        <v>588</v>
      </c>
      <c r="BB14" s="13" t="s">
        <v>588</v>
      </c>
      <c r="BC14" s="13" t="s">
        <v>588</v>
      </c>
      <c r="BD14" s="13" t="s">
        <v>588</v>
      </c>
      <c r="BE14" s="13" t="s">
        <v>588</v>
      </c>
      <c r="BF14" s="13" t="s">
        <v>588</v>
      </c>
      <c r="BG14" s="13" t="s">
        <v>588</v>
      </c>
      <c r="BH14" s="13" t="s">
        <v>588</v>
      </c>
      <c r="BI14" s="13" t="s">
        <v>588</v>
      </c>
      <c r="BJ14" s="13" t="s">
        <v>588</v>
      </c>
      <c r="BK14" s="13" t="s">
        <v>588</v>
      </c>
      <c r="BL14" s="13" t="s">
        <v>588</v>
      </c>
      <c r="BM14" s="13" t="s">
        <v>588</v>
      </c>
      <c r="BN14" s="13" t="s">
        <v>588</v>
      </c>
      <c r="BO14" s="13" t="s">
        <v>588</v>
      </c>
      <c r="BP14" s="13" t="s">
        <v>588</v>
      </c>
      <c r="BQ14" s="13" t="s">
        <v>588</v>
      </c>
      <c r="BR14" s="13" t="s">
        <v>588</v>
      </c>
      <c r="BS14" s="11" t="s">
        <v>8</v>
      </c>
      <c r="BT14" s="11" t="s">
        <v>18</v>
      </c>
      <c r="BU14" s="11" t="s">
        <v>18</v>
      </c>
      <c r="BV14" s="13" t="s">
        <v>588</v>
      </c>
      <c r="BW14" s="13" t="s">
        <v>588</v>
      </c>
      <c r="BX14" s="13" t="s">
        <v>588</v>
      </c>
      <c r="BY14" s="13" t="s">
        <v>588</v>
      </c>
      <c r="BZ14" s="13" t="s">
        <v>588</v>
      </c>
    </row>
    <row r="15" spans="1:78" x14ac:dyDescent="0.25">
      <c r="A15" s="11">
        <v>201819</v>
      </c>
      <c r="B15" s="11" t="s">
        <v>460</v>
      </c>
      <c r="C15" s="11" t="s">
        <v>460</v>
      </c>
      <c r="D15" s="11" t="s">
        <v>267</v>
      </c>
      <c r="E15" s="11" t="s">
        <v>16</v>
      </c>
      <c r="F15" s="11">
        <v>1</v>
      </c>
      <c r="G15" s="11" t="s">
        <v>1320</v>
      </c>
      <c r="H15" s="11" t="s">
        <v>1320</v>
      </c>
      <c r="I15" s="13">
        <v>43474</v>
      </c>
      <c r="J15" s="11">
        <v>9</v>
      </c>
      <c r="K15" s="11">
        <v>1</v>
      </c>
      <c r="L15" s="11">
        <v>2019</v>
      </c>
      <c r="M15" s="11" t="s">
        <v>1415</v>
      </c>
      <c r="N15" s="13" t="s">
        <v>12</v>
      </c>
      <c r="O15" s="11" t="s">
        <v>10</v>
      </c>
      <c r="P15" s="23" t="s">
        <v>588</v>
      </c>
      <c r="Q15" s="23" t="s">
        <v>588</v>
      </c>
      <c r="R15" s="11" t="s">
        <v>588</v>
      </c>
      <c r="S15" s="11" t="s">
        <v>588</v>
      </c>
      <c r="T15" s="11">
        <v>1</v>
      </c>
      <c r="U15" s="11">
        <v>3</v>
      </c>
      <c r="V15" s="11" t="s">
        <v>588</v>
      </c>
      <c r="W15" s="11" t="s">
        <v>588</v>
      </c>
      <c r="X15" s="11">
        <v>2</v>
      </c>
      <c r="Y15" s="11">
        <v>2</v>
      </c>
      <c r="Z15" s="11" t="s">
        <v>8</v>
      </c>
      <c r="AA15" s="13">
        <v>43475</v>
      </c>
      <c r="AB15" s="11">
        <v>10</v>
      </c>
      <c r="AC15" s="11">
        <v>1</v>
      </c>
      <c r="AD15" s="11">
        <v>2019</v>
      </c>
      <c r="AE15" s="13" t="s">
        <v>1378</v>
      </c>
      <c r="AF15" s="11" t="s">
        <v>12</v>
      </c>
      <c r="AG15" s="11" t="s">
        <v>588</v>
      </c>
      <c r="AH15" s="11" t="s">
        <v>588</v>
      </c>
      <c r="AI15" s="11" t="s">
        <v>588</v>
      </c>
      <c r="AJ15" s="11" t="s">
        <v>588</v>
      </c>
      <c r="AK15" s="13" t="s">
        <v>588</v>
      </c>
      <c r="AL15" s="11" t="s">
        <v>588</v>
      </c>
      <c r="AM15" s="13" t="s">
        <v>588</v>
      </c>
      <c r="AN15" s="11" t="s">
        <v>588</v>
      </c>
      <c r="AO15" s="13" t="s">
        <v>588</v>
      </c>
      <c r="AP15" s="13">
        <v>43513</v>
      </c>
      <c r="AQ15" s="13" t="s">
        <v>21</v>
      </c>
      <c r="AR15" s="11" t="s">
        <v>1214</v>
      </c>
      <c r="AS15" s="11">
        <v>1</v>
      </c>
      <c r="AT15" s="11">
        <v>1</v>
      </c>
      <c r="AU15" s="11" t="s">
        <v>588</v>
      </c>
      <c r="AV15" s="11" t="s">
        <v>588</v>
      </c>
      <c r="AW15" s="13" t="s">
        <v>588</v>
      </c>
      <c r="AX15" s="11" t="s">
        <v>588</v>
      </c>
      <c r="AY15" s="13" t="s">
        <v>588</v>
      </c>
      <c r="AZ15" s="13" t="s">
        <v>588</v>
      </c>
      <c r="BA15" s="13" t="s">
        <v>588</v>
      </c>
      <c r="BB15" s="13" t="s">
        <v>588</v>
      </c>
      <c r="BC15" s="13" t="s">
        <v>588</v>
      </c>
      <c r="BD15" s="13" t="s">
        <v>588</v>
      </c>
      <c r="BE15" s="13" t="s">
        <v>588</v>
      </c>
      <c r="BF15" s="13" t="s">
        <v>588</v>
      </c>
      <c r="BG15" s="13" t="s">
        <v>588</v>
      </c>
      <c r="BH15" s="13" t="s">
        <v>588</v>
      </c>
      <c r="BI15" s="13" t="s">
        <v>588</v>
      </c>
      <c r="BJ15" s="13" t="s">
        <v>588</v>
      </c>
      <c r="BK15" s="13" t="s">
        <v>588</v>
      </c>
      <c r="BL15" s="13" t="s">
        <v>588</v>
      </c>
      <c r="BM15" s="11">
        <v>2</v>
      </c>
      <c r="BN15" s="11">
        <v>2</v>
      </c>
      <c r="BO15" s="13" t="s">
        <v>588</v>
      </c>
      <c r="BP15" s="11">
        <v>1</v>
      </c>
      <c r="BQ15" s="13">
        <v>43515</v>
      </c>
      <c r="BR15" s="11" t="s">
        <v>21</v>
      </c>
      <c r="BS15" s="11" t="s">
        <v>8</v>
      </c>
      <c r="BT15" s="11" t="s">
        <v>47</v>
      </c>
      <c r="BU15" s="11" t="s">
        <v>47</v>
      </c>
      <c r="BV15" s="11" t="s">
        <v>8</v>
      </c>
      <c r="BW15" s="11" t="s">
        <v>47</v>
      </c>
      <c r="BX15" s="11" t="s">
        <v>47</v>
      </c>
      <c r="BY15" s="13" t="s">
        <v>588</v>
      </c>
      <c r="BZ15" s="13" t="s">
        <v>588</v>
      </c>
    </row>
    <row r="16" spans="1:78" x14ac:dyDescent="0.25">
      <c r="A16" s="11">
        <v>201819</v>
      </c>
      <c r="B16" s="11" t="s">
        <v>574</v>
      </c>
      <c r="C16" s="11" t="s">
        <v>574</v>
      </c>
      <c r="D16" s="11" t="s">
        <v>573</v>
      </c>
      <c r="E16" s="11" t="s">
        <v>275</v>
      </c>
      <c r="F16" s="11">
        <v>1</v>
      </c>
      <c r="G16" s="11" t="s">
        <v>1321</v>
      </c>
      <c r="H16" s="11" t="s">
        <v>1321</v>
      </c>
      <c r="I16" s="13">
        <v>43466</v>
      </c>
      <c r="J16" s="11">
        <v>1</v>
      </c>
      <c r="K16" s="11">
        <v>1</v>
      </c>
      <c r="L16" s="11">
        <v>2019</v>
      </c>
      <c r="M16" s="11" t="s">
        <v>1395</v>
      </c>
      <c r="N16" s="11" t="s">
        <v>12</v>
      </c>
      <c r="O16" s="11" t="s">
        <v>10</v>
      </c>
      <c r="P16" s="23">
        <v>-38.641649999999998</v>
      </c>
      <c r="Q16" s="23">
        <v>145.55632</v>
      </c>
      <c r="R16" s="11" t="s">
        <v>588</v>
      </c>
      <c r="S16" s="11" t="s">
        <v>588</v>
      </c>
      <c r="T16" s="11">
        <v>2</v>
      </c>
      <c r="U16" s="11">
        <v>3</v>
      </c>
      <c r="V16" s="11" t="s">
        <v>588</v>
      </c>
      <c r="W16" s="11" t="s">
        <v>588</v>
      </c>
      <c r="X16" s="11">
        <v>3</v>
      </c>
      <c r="Y16" s="11">
        <v>3</v>
      </c>
      <c r="Z16" s="11" t="s">
        <v>41</v>
      </c>
      <c r="AA16" s="13">
        <v>43474</v>
      </c>
      <c r="AB16" s="11">
        <v>9</v>
      </c>
      <c r="AC16" s="11">
        <v>1</v>
      </c>
      <c r="AD16" s="11">
        <v>2019</v>
      </c>
      <c r="AE16" s="13" t="s">
        <v>1415</v>
      </c>
      <c r="AF16" s="11" t="s">
        <v>12</v>
      </c>
      <c r="AG16" s="13">
        <v>43475</v>
      </c>
      <c r="AH16" s="11">
        <v>10</v>
      </c>
      <c r="AI16" s="11">
        <v>1</v>
      </c>
      <c r="AJ16" s="11">
        <v>2019</v>
      </c>
      <c r="AK16" s="13" t="s">
        <v>1378</v>
      </c>
      <c r="AL16" s="11" t="s">
        <v>12</v>
      </c>
      <c r="AM16" s="13" t="s">
        <v>20</v>
      </c>
      <c r="AN16" s="11" t="s">
        <v>41</v>
      </c>
      <c r="AO16" s="13" t="s">
        <v>41</v>
      </c>
      <c r="AP16" s="11" t="s">
        <v>588</v>
      </c>
      <c r="AQ16" s="13" t="s">
        <v>588</v>
      </c>
      <c r="AR16" s="11" t="s">
        <v>588</v>
      </c>
      <c r="AS16" s="13" t="s">
        <v>588</v>
      </c>
      <c r="AT16" s="11" t="s">
        <v>588</v>
      </c>
      <c r="AU16" s="13" t="s">
        <v>588</v>
      </c>
      <c r="AV16" s="13" t="s">
        <v>588</v>
      </c>
      <c r="AW16" s="13" t="s">
        <v>588</v>
      </c>
      <c r="AX16" s="13" t="s">
        <v>588</v>
      </c>
      <c r="AY16" s="13" t="s">
        <v>588</v>
      </c>
      <c r="AZ16" s="13" t="s">
        <v>588</v>
      </c>
      <c r="BA16" s="13" t="s">
        <v>588</v>
      </c>
      <c r="BB16" s="13" t="s">
        <v>588</v>
      </c>
      <c r="BC16" s="13" t="s">
        <v>588</v>
      </c>
      <c r="BD16" s="13" t="s">
        <v>588</v>
      </c>
      <c r="BE16" s="13" t="s">
        <v>588</v>
      </c>
      <c r="BF16" s="13" t="s">
        <v>588</v>
      </c>
      <c r="BG16" s="13" t="s">
        <v>588</v>
      </c>
      <c r="BH16" s="13" t="s">
        <v>588</v>
      </c>
      <c r="BI16" s="13" t="s">
        <v>588</v>
      </c>
      <c r="BJ16" s="13" t="s">
        <v>588</v>
      </c>
      <c r="BK16" s="13" t="s">
        <v>588</v>
      </c>
      <c r="BL16" s="13" t="s">
        <v>588</v>
      </c>
      <c r="BM16" s="13" t="s">
        <v>588</v>
      </c>
      <c r="BN16" s="13" t="s">
        <v>588</v>
      </c>
      <c r="BO16" s="13" t="s">
        <v>588</v>
      </c>
      <c r="BP16" s="13" t="s">
        <v>588</v>
      </c>
      <c r="BQ16" s="13" t="s">
        <v>588</v>
      </c>
      <c r="BR16" s="13" t="s">
        <v>588</v>
      </c>
      <c r="BS16" s="11" t="s">
        <v>41</v>
      </c>
      <c r="BT16" s="11" t="s">
        <v>42</v>
      </c>
      <c r="BU16" s="11" t="s">
        <v>42</v>
      </c>
      <c r="BV16" s="13" t="s">
        <v>588</v>
      </c>
      <c r="BW16" s="13" t="s">
        <v>588</v>
      </c>
      <c r="BX16" s="13" t="s">
        <v>588</v>
      </c>
      <c r="BY16" s="13" t="s">
        <v>588</v>
      </c>
      <c r="BZ16" s="13" t="s">
        <v>588</v>
      </c>
    </row>
    <row r="17" spans="1:78" x14ac:dyDescent="0.25">
      <c r="A17" s="11">
        <v>201819</v>
      </c>
      <c r="B17" s="11" t="s">
        <v>280</v>
      </c>
      <c r="C17" s="11" t="s">
        <v>280</v>
      </c>
      <c r="D17" s="11" t="s">
        <v>571</v>
      </c>
      <c r="E17" s="11" t="s">
        <v>572</v>
      </c>
      <c r="F17" s="11">
        <v>1</v>
      </c>
      <c r="G17" s="11" t="s">
        <v>1322</v>
      </c>
      <c r="H17" s="11" t="s">
        <v>1322</v>
      </c>
      <c r="I17" s="13">
        <v>43348</v>
      </c>
      <c r="J17" s="11">
        <v>5</v>
      </c>
      <c r="K17" s="11">
        <v>9</v>
      </c>
      <c r="L17" s="11">
        <v>2018</v>
      </c>
      <c r="M17" s="11" t="s">
        <v>1416</v>
      </c>
      <c r="N17" s="11" t="s">
        <v>28</v>
      </c>
      <c r="O17" s="11" t="s">
        <v>10</v>
      </c>
      <c r="P17" s="23">
        <v>-38.628999999999998</v>
      </c>
      <c r="Q17" s="23">
        <v>145.54928000000001</v>
      </c>
      <c r="R17" s="11" t="s">
        <v>588</v>
      </c>
      <c r="S17" s="11" t="s">
        <v>588</v>
      </c>
      <c r="T17" s="11">
        <v>2</v>
      </c>
      <c r="U17" s="11">
        <v>3</v>
      </c>
      <c r="V17" s="11" t="s">
        <v>588</v>
      </c>
      <c r="W17" s="11" t="s">
        <v>588</v>
      </c>
      <c r="X17" s="11">
        <v>2</v>
      </c>
      <c r="Y17" s="11">
        <v>2</v>
      </c>
      <c r="Z17" s="11" t="s">
        <v>41</v>
      </c>
      <c r="AA17" s="13">
        <v>43348</v>
      </c>
      <c r="AB17" s="11">
        <v>5</v>
      </c>
      <c r="AC17" s="11">
        <v>9</v>
      </c>
      <c r="AD17" s="11">
        <v>2018</v>
      </c>
      <c r="AE17" s="13" t="s">
        <v>1416</v>
      </c>
      <c r="AF17" s="11" t="s">
        <v>28</v>
      </c>
      <c r="AG17" s="13">
        <v>43353</v>
      </c>
      <c r="AH17" s="11">
        <v>10</v>
      </c>
      <c r="AI17" s="11">
        <v>9</v>
      </c>
      <c r="AJ17" s="11">
        <v>2018</v>
      </c>
      <c r="AK17" s="13" t="s">
        <v>1379</v>
      </c>
      <c r="AL17" s="11" t="s">
        <v>28</v>
      </c>
      <c r="AM17" s="13" t="s">
        <v>20</v>
      </c>
      <c r="AN17" s="11" t="s">
        <v>41</v>
      </c>
      <c r="AO17" s="13" t="s">
        <v>41</v>
      </c>
      <c r="AP17" s="11" t="s">
        <v>588</v>
      </c>
      <c r="AQ17" s="13" t="s">
        <v>588</v>
      </c>
      <c r="AR17" s="11" t="s">
        <v>588</v>
      </c>
      <c r="AS17" s="13" t="s">
        <v>588</v>
      </c>
      <c r="AT17" s="11" t="s">
        <v>588</v>
      </c>
      <c r="AU17" s="13" t="s">
        <v>588</v>
      </c>
      <c r="AV17" s="11" t="s">
        <v>588</v>
      </c>
      <c r="AW17" s="13" t="s">
        <v>588</v>
      </c>
      <c r="AX17" s="11" t="s">
        <v>588</v>
      </c>
      <c r="AY17" s="13" t="s">
        <v>588</v>
      </c>
      <c r="AZ17" s="13" t="s">
        <v>588</v>
      </c>
      <c r="BA17" s="13" t="s">
        <v>588</v>
      </c>
      <c r="BB17" s="13" t="s">
        <v>588</v>
      </c>
      <c r="BC17" s="13" t="s">
        <v>588</v>
      </c>
      <c r="BD17" s="13" t="s">
        <v>588</v>
      </c>
      <c r="BE17" s="13" t="s">
        <v>588</v>
      </c>
      <c r="BF17" s="13" t="s">
        <v>588</v>
      </c>
      <c r="BG17" s="13" t="s">
        <v>588</v>
      </c>
      <c r="BH17" s="13" t="s">
        <v>588</v>
      </c>
      <c r="BI17" s="13" t="s">
        <v>588</v>
      </c>
      <c r="BJ17" s="13" t="s">
        <v>588</v>
      </c>
      <c r="BK17" s="13" t="s">
        <v>588</v>
      </c>
      <c r="BL17" s="13" t="s">
        <v>588</v>
      </c>
      <c r="BM17" s="13" t="s">
        <v>588</v>
      </c>
      <c r="BN17" s="13" t="s">
        <v>588</v>
      </c>
      <c r="BO17" s="13" t="s">
        <v>588</v>
      </c>
      <c r="BP17" s="13" t="s">
        <v>588</v>
      </c>
      <c r="BQ17" s="13" t="s">
        <v>588</v>
      </c>
      <c r="BR17" s="13" t="s">
        <v>588</v>
      </c>
      <c r="BS17" s="11" t="s">
        <v>41</v>
      </c>
      <c r="BT17" s="11" t="s">
        <v>42</v>
      </c>
      <c r="BU17" s="11" t="s">
        <v>42</v>
      </c>
      <c r="BV17" s="13" t="s">
        <v>588</v>
      </c>
      <c r="BW17" s="13" t="s">
        <v>588</v>
      </c>
      <c r="BX17" s="13" t="s">
        <v>588</v>
      </c>
      <c r="BY17" s="13" t="s">
        <v>588</v>
      </c>
      <c r="BZ17" s="13" t="s">
        <v>588</v>
      </c>
    </row>
    <row r="18" spans="1:78" x14ac:dyDescent="0.25">
      <c r="A18" s="11">
        <v>201819</v>
      </c>
      <c r="B18" s="11" t="s">
        <v>280</v>
      </c>
      <c r="C18" s="11" t="s">
        <v>580</v>
      </c>
      <c r="D18" s="11" t="s">
        <v>571</v>
      </c>
      <c r="E18" s="11" t="s">
        <v>572</v>
      </c>
      <c r="F18" s="11">
        <v>2</v>
      </c>
      <c r="G18" s="11" t="s">
        <v>1323</v>
      </c>
      <c r="H18" s="11" t="s">
        <v>1607</v>
      </c>
      <c r="I18" s="13">
        <v>43466</v>
      </c>
      <c r="J18" s="11">
        <v>1</v>
      </c>
      <c r="K18" s="11">
        <v>1</v>
      </c>
      <c r="L18" s="11">
        <v>2019</v>
      </c>
      <c r="M18" s="11" t="s">
        <v>1395</v>
      </c>
      <c r="N18" s="11" t="s">
        <v>12</v>
      </c>
      <c r="O18" s="11" t="s">
        <v>10</v>
      </c>
      <c r="P18" s="23">
        <v>-38.631799999999998</v>
      </c>
      <c r="Q18" s="23">
        <v>145.55089000000001</v>
      </c>
      <c r="R18" s="11" t="s">
        <v>588</v>
      </c>
      <c r="S18" s="11" t="s">
        <v>588</v>
      </c>
      <c r="T18" s="11">
        <v>3</v>
      </c>
      <c r="U18" s="11">
        <v>3</v>
      </c>
      <c r="V18" s="13">
        <v>43470</v>
      </c>
      <c r="W18" s="11" t="s">
        <v>223</v>
      </c>
      <c r="X18" s="11">
        <v>2</v>
      </c>
      <c r="Y18" s="11">
        <v>2</v>
      </c>
      <c r="Z18" s="11" t="s">
        <v>8</v>
      </c>
      <c r="AA18" s="13">
        <v>43473</v>
      </c>
      <c r="AB18" s="11">
        <v>8</v>
      </c>
      <c r="AC18" s="11">
        <v>1</v>
      </c>
      <c r="AD18" s="11">
        <v>2019</v>
      </c>
      <c r="AE18" s="13" t="s">
        <v>1400</v>
      </c>
      <c r="AF18" s="11" t="s">
        <v>12</v>
      </c>
      <c r="AG18" s="11" t="s">
        <v>588</v>
      </c>
      <c r="AH18" s="11" t="s">
        <v>588</v>
      </c>
      <c r="AI18" s="11" t="s">
        <v>588</v>
      </c>
      <c r="AJ18" s="11" t="s">
        <v>588</v>
      </c>
      <c r="AK18" s="13" t="s">
        <v>588</v>
      </c>
      <c r="AL18" s="11" t="s">
        <v>588</v>
      </c>
      <c r="AM18" s="13" t="s">
        <v>588</v>
      </c>
      <c r="AN18" s="11" t="s">
        <v>588</v>
      </c>
      <c r="AO18" s="13" t="s">
        <v>588</v>
      </c>
      <c r="AP18" s="13">
        <v>43507</v>
      </c>
      <c r="AQ18" s="13" t="s">
        <v>21</v>
      </c>
      <c r="AR18" s="11" t="s">
        <v>195</v>
      </c>
      <c r="AS18" s="11">
        <v>2</v>
      </c>
      <c r="AT18" s="11">
        <v>3</v>
      </c>
      <c r="AU18" s="13">
        <v>43507</v>
      </c>
      <c r="AV18" s="13">
        <v>43515</v>
      </c>
      <c r="AW18" s="13" t="s">
        <v>21</v>
      </c>
      <c r="AX18" s="13" t="s">
        <v>20</v>
      </c>
      <c r="AY18" s="13" t="s">
        <v>41</v>
      </c>
      <c r="AZ18" s="13" t="s">
        <v>41</v>
      </c>
      <c r="BA18" s="13">
        <v>43507</v>
      </c>
      <c r="BB18" s="13">
        <v>43515</v>
      </c>
      <c r="BC18" s="13" t="s">
        <v>21</v>
      </c>
      <c r="BD18" s="13" t="s">
        <v>20</v>
      </c>
      <c r="BE18" s="13" t="s">
        <v>41</v>
      </c>
      <c r="BF18" s="13" t="s">
        <v>41</v>
      </c>
      <c r="BG18" s="13" t="s">
        <v>588</v>
      </c>
      <c r="BH18" s="13" t="s">
        <v>588</v>
      </c>
      <c r="BI18" s="13" t="s">
        <v>588</v>
      </c>
      <c r="BJ18" s="13" t="s">
        <v>588</v>
      </c>
      <c r="BK18" s="13" t="s">
        <v>588</v>
      </c>
      <c r="BL18" s="13" t="s">
        <v>588</v>
      </c>
      <c r="BM18" s="11">
        <v>1</v>
      </c>
      <c r="BN18" s="11">
        <v>1</v>
      </c>
      <c r="BO18" s="13" t="s">
        <v>41</v>
      </c>
      <c r="BP18" s="13" t="s">
        <v>588</v>
      </c>
      <c r="BQ18" s="13" t="s">
        <v>588</v>
      </c>
      <c r="BR18" s="13" t="s">
        <v>588</v>
      </c>
      <c r="BS18" s="11" t="s">
        <v>41</v>
      </c>
      <c r="BT18" s="11" t="s">
        <v>42</v>
      </c>
      <c r="BU18" s="11" t="s">
        <v>42</v>
      </c>
      <c r="BV18" s="11" t="s">
        <v>41</v>
      </c>
      <c r="BW18" s="11" t="s">
        <v>42</v>
      </c>
      <c r="BX18" s="11" t="s">
        <v>42</v>
      </c>
      <c r="BY18" s="13" t="s">
        <v>588</v>
      </c>
      <c r="BZ18" s="13" t="s">
        <v>588</v>
      </c>
    </row>
    <row r="19" spans="1:78" x14ac:dyDescent="0.25">
      <c r="A19" s="11">
        <v>201819</v>
      </c>
      <c r="B19" s="11" t="s">
        <v>284</v>
      </c>
      <c r="C19" s="11" t="s">
        <v>284</v>
      </c>
      <c r="D19" s="11" t="s">
        <v>569</v>
      </c>
      <c r="E19" s="11" t="s">
        <v>16</v>
      </c>
      <c r="F19" s="11">
        <v>1</v>
      </c>
      <c r="G19" s="11" t="s">
        <v>1324</v>
      </c>
      <c r="H19" s="11" t="s">
        <v>1324</v>
      </c>
      <c r="I19" s="13">
        <v>43470</v>
      </c>
      <c r="J19" s="11">
        <v>5</v>
      </c>
      <c r="K19" s="11">
        <v>1</v>
      </c>
      <c r="L19" s="11">
        <v>2019</v>
      </c>
      <c r="M19" s="11" t="s">
        <v>1385</v>
      </c>
      <c r="N19" s="11" t="s">
        <v>12</v>
      </c>
      <c r="O19" s="11" t="s">
        <v>10</v>
      </c>
      <c r="P19" s="23">
        <v>-38.587710000000001</v>
      </c>
      <c r="Q19" s="23">
        <v>145.51572999999999</v>
      </c>
      <c r="R19" s="11" t="s">
        <v>588</v>
      </c>
      <c r="S19" s="11" t="s">
        <v>588</v>
      </c>
      <c r="T19" s="11">
        <v>3</v>
      </c>
      <c r="U19" s="11">
        <v>3</v>
      </c>
      <c r="V19" s="11" t="s">
        <v>588</v>
      </c>
      <c r="W19" s="11" t="s">
        <v>588</v>
      </c>
      <c r="X19" s="11">
        <v>1</v>
      </c>
      <c r="Y19" s="11">
        <v>1</v>
      </c>
      <c r="Z19" s="11" t="s">
        <v>8</v>
      </c>
      <c r="AA19" s="13">
        <v>43470</v>
      </c>
      <c r="AB19" s="11">
        <v>5</v>
      </c>
      <c r="AC19" s="11">
        <v>1</v>
      </c>
      <c r="AD19" s="11">
        <v>2019</v>
      </c>
      <c r="AE19" s="13" t="s">
        <v>1385</v>
      </c>
      <c r="AF19" s="11" t="s">
        <v>12</v>
      </c>
      <c r="AG19" s="13" t="s">
        <v>588</v>
      </c>
      <c r="AH19" s="11" t="s">
        <v>588</v>
      </c>
      <c r="AI19" s="11" t="s">
        <v>588</v>
      </c>
      <c r="AJ19" s="11" t="s">
        <v>588</v>
      </c>
      <c r="AK19" s="13" t="s">
        <v>588</v>
      </c>
      <c r="AL19" s="11" t="s">
        <v>588</v>
      </c>
      <c r="AM19" s="13" t="s">
        <v>588</v>
      </c>
      <c r="AN19" s="11" t="s">
        <v>588</v>
      </c>
      <c r="AO19" s="13" t="s">
        <v>588</v>
      </c>
      <c r="AP19" s="13">
        <v>43487</v>
      </c>
      <c r="AQ19" s="13" t="s">
        <v>12</v>
      </c>
      <c r="AR19" s="11" t="s">
        <v>195</v>
      </c>
      <c r="AS19" s="11">
        <v>1</v>
      </c>
      <c r="AT19" s="11">
        <v>3</v>
      </c>
      <c r="AU19" s="13">
        <v>43500</v>
      </c>
      <c r="AV19" s="13">
        <v>43514</v>
      </c>
      <c r="AW19" s="13" t="s">
        <v>21</v>
      </c>
      <c r="AX19" s="11" t="s">
        <v>20</v>
      </c>
      <c r="AY19" s="13" t="s">
        <v>41</v>
      </c>
      <c r="AZ19" s="13" t="s">
        <v>41</v>
      </c>
      <c r="BA19" s="13" t="s">
        <v>588</v>
      </c>
      <c r="BB19" s="13" t="s">
        <v>588</v>
      </c>
      <c r="BC19" s="13" t="s">
        <v>588</v>
      </c>
      <c r="BD19" s="13" t="s">
        <v>588</v>
      </c>
      <c r="BE19" s="13" t="s">
        <v>588</v>
      </c>
      <c r="BF19" s="13" t="s">
        <v>588</v>
      </c>
      <c r="BG19" s="13" t="s">
        <v>588</v>
      </c>
      <c r="BH19" s="13" t="s">
        <v>588</v>
      </c>
      <c r="BI19" s="13" t="s">
        <v>588</v>
      </c>
      <c r="BJ19" s="13" t="s">
        <v>588</v>
      </c>
      <c r="BK19" s="13" t="s">
        <v>588</v>
      </c>
      <c r="BL19" s="13" t="s">
        <v>588</v>
      </c>
      <c r="BM19" s="11">
        <v>2</v>
      </c>
      <c r="BN19" s="11">
        <v>2</v>
      </c>
      <c r="BO19" s="13" t="s">
        <v>41</v>
      </c>
      <c r="BP19" s="13" t="s">
        <v>588</v>
      </c>
      <c r="BQ19" s="13" t="s">
        <v>588</v>
      </c>
      <c r="BR19" s="13" t="s">
        <v>588</v>
      </c>
      <c r="BS19" s="11" t="s">
        <v>8</v>
      </c>
      <c r="BT19" s="11" t="s">
        <v>13</v>
      </c>
      <c r="BU19" s="11" t="s">
        <v>13</v>
      </c>
      <c r="BV19" s="13" t="s">
        <v>8</v>
      </c>
      <c r="BW19" s="11" t="s">
        <v>13</v>
      </c>
      <c r="BX19" s="11" t="s">
        <v>13</v>
      </c>
      <c r="BY19" s="13" t="s">
        <v>588</v>
      </c>
      <c r="BZ19" s="13" t="s">
        <v>588</v>
      </c>
    </row>
    <row r="20" spans="1:78" x14ac:dyDescent="0.25">
      <c r="A20" s="11">
        <v>201819</v>
      </c>
      <c r="B20" s="11" t="s">
        <v>73</v>
      </c>
      <c r="C20" s="11" t="s">
        <v>73</v>
      </c>
      <c r="D20" s="11" t="s">
        <v>87</v>
      </c>
      <c r="E20" s="11" t="s">
        <v>16</v>
      </c>
      <c r="F20" s="11">
        <v>1</v>
      </c>
      <c r="G20" s="11" t="s">
        <v>1325</v>
      </c>
      <c r="H20" s="11" t="s">
        <v>1325</v>
      </c>
      <c r="I20" s="13">
        <v>43459</v>
      </c>
      <c r="J20" s="11">
        <v>25</v>
      </c>
      <c r="K20" s="11">
        <v>12</v>
      </c>
      <c r="L20" s="11">
        <v>2018</v>
      </c>
      <c r="M20" s="11" t="s">
        <v>1417</v>
      </c>
      <c r="N20" s="11" t="s">
        <v>7</v>
      </c>
      <c r="O20" s="11" t="s">
        <v>10</v>
      </c>
      <c r="P20" s="23">
        <v>-38.639896</v>
      </c>
      <c r="Q20" s="23">
        <v>145.718414</v>
      </c>
      <c r="R20" s="11" t="s">
        <v>588</v>
      </c>
      <c r="S20" s="11" t="s">
        <v>588</v>
      </c>
      <c r="T20" s="11">
        <v>2</v>
      </c>
      <c r="U20" s="11">
        <v>3</v>
      </c>
      <c r="V20" s="11" t="s">
        <v>588</v>
      </c>
      <c r="W20" s="11" t="s">
        <v>588</v>
      </c>
      <c r="X20" s="11">
        <v>8</v>
      </c>
      <c r="Y20" s="11">
        <v>7</v>
      </c>
      <c r="Z20" s="11" t="s">
        <v>41</v>
      </c>
      <c r="AA20" s="13">
        <v>43469</v>
      </c>
      <c r="AB20" s="11">
        <v>4</v>
      </c>
      <c r="AC20" s="11">
        <v>1</v>
      </c>
      <c r="AD20" s="11">
        <v>2019</v>
      </c>
      <c r="AE20" s="13" t="s">
        <v>1396</v>
      </c>
      <c r="AF20" s="11" t="s">
        <v>12</v>
      </c>
      <c r="AG20" s="13">
        <v>43476</v>
      </c>
      <c r="AH20" s="11">
        <v>11</v>
      </c>
      <c r="AI20" s="11">
        <v>1</v>
      </c>
      <c r="AJ20" s="11">
        <v>2019</v>
      </c>
      <c r="AK20" s="13" t="s">
        <v>1380</v>
      </c>
      <c r="AL20" s="11" t="s">
        <v>12</v>
      </c>
      <c r="AM20" s="13" t="s">
        <v>20</v>
      </c>
      <c r="AN20" s="11" t="s">
        <v>8</v>
      </c>
      <c r="AO20" s="11" t="s">
        <v>88</v>
      </c>
      <c r="AP20" s="11" t="s">
        <v>588</v>
      </c>
      <c r="AQ20" s="11" t="s">
        <v>588</v>
      </c>
      <c r="AR20" s="11" t="s">
        <v>588</v>
      </c>
      <c r="AS20" s="11" t="s">
        <v>588</v>
      </c>
      <c r="AT20" s="11" t="s">
        <v>588</v>
      </c>
      <c r="AU20" s="11" t="s">
        <v>588</v>
      </c>
      <c r="AV20" s="11" t="s">
        <v>588</v>
      </c>
      <c r="AW20" s="11" t="s">
        <v>588</v>
      </c>
      <c r="AX20" s="11" t="s">
        <v>588</v>
      </c>
      <c r="AY20" s="11" t="s">
        <v>588</v>
      </c>
      <c r="AZ20" s="11" t="s">
        <v>588</v>
      </c>
      <c r="BA20" s="11" t="s">
        <v>588</v>
      </c>
      <c r="BB20" s="11" t="s">
        <v>588</v>
      </c>
      <c r="BC20" s="11" t="s">
        <v>588</v>
      </c>
      <c r="BD20" s="11" t="s">
        <v>588</v>
      </c>
      <c r="BE20" s="11" t="s">
        <v>588</v>
      </c>
      <c r="BF20" s="11" t="s">
        <v>588</v>
      </c>
      <c r="BG20" s="11" t="s">
        <v>588</v>
      </c>
      <c r="BH20" s="11" t="s">
        <v>588</v>
      </c>
      <c r="BI20" s="11" t="s">
        <v>588</v>
      </c>
      <c r="BJ20" s="11" t="s">
        <v>588</v>
      </c>
      <c r="BK20" s="11" t="s">
        <v>588</v>
      </c>
      <c r="BL20" s="11" t="s">
        <v>588</v>
      </c>
      <c r="BM20" s="11" t="s">
        <v>588</v>
      </c>
      <c r="BN20" s="11" t="s">
        <v>588</v>
      </c>
      <c r="BO20" s="11" t="s">
        <v>588</v>
      </c>
      <c r="BP20" s="11" t="s">
        <v>588</v>
      </c>
      <c r="BQ20" s="11" t="s">
        <v>588</v>
      </c>
      <c r="BR20" s="11" t="s">
        <v>588</v>
      </c>
      <c r="BS20" s="11" t="s">
        <v>8</v>
      </c>
      <c r="BT20" s="11" t="s">
        <v>9</v>
      </c>
      <c r="BU20" s="11" t="s">
        <v>9</v>
      </c>
      <c r="BV20" s="11" t="s">
        <v>588</v>
      </c>
      <c r="BW20" s="11" t="s">
        <v>588</v>
      </c>
      <c r="BX20" s="11" t="s">
        <v>588</v>
      </c>
      <c r="BY20" s="11" t="s">
        <v>588</v>
      </c>
      <c r="BZ20" s="11" t="s">
        <v>588</v>
      </c>
    </row>
    <row r="21" spans="1:78" x14ac:dyDescent="0.25">
      <c r="A21" s="11">
        <v>201819</v>
      </c>
      <c r="B21" s="11" t="s">
        <v>60</v>
      </c>
      <c r="C21" s="11" t="s">
        <v>60</v>
      </c>
      <c r="D21" s="11" t="s">
        <v>49</v>
      </c>
      <c r="E21" s="11" t="s">
        <v>16</v>
      </c>
      <c r="F21" s="11">
        <v>1</v>
      </c>
      <c r="G21" s="11" t="s">
        <v>1326</v>
      </c>
      <c r="H21" s="11" t="s">
        <v>1326</v>
      </c>
      <c r="I21" s="13">
        <v>43396</v>
      </c>
      <c r="J21" s="11">
        <v>23</v>
      </c>
      <c r="K21" s="11">
        <v>10</v>
      </c>
      <c r="L21" s="11">
        <v>2018</v>
      </c>
      <c r="M21" s="11" t="s">
        <v>1418</v>
      </c>
      <c r="N21" s="11" t="s">
        <v>29</v>
      </c>
      <c r="O21" s="11" t="s">
        <v>10</v>
      </c>
      <c r="P21" s="23" t="s">
        <v>588</v>
      </c>
      <c r="Q21" s="23" t="s">
        <v>588</v>
      </c>
      <c r="R21" s="11" t="s">
        <v>588</v>
      </c>
      <c r="S21" s="11" t="s">
        <v>588</v>
      </c>
      <c r="T21" s="11">
        <v>2</v>
      </c>
      <c r="U21" s="11">
        <v>3</v>
      </c>
      <c r="V21" s="11" t="s">
        <v>588</v>
      </c>
      <c r="W21" s="11" t="s">
        <v>588</v>
      </c>
      <c r="X21" s="11">
        <v>7</v>
      </c>
      <c r="Y21" s="11">
        <v>7</v>
      </c>
      <c r="Z21" s="11" t="s">
        <v>8</v>
      </c>
      <c r="AA21" s="13">
        <v>43417</v>
      </c>
      <c r="AB21" s="11">
        <v>13</v>
      </c>
      <c r="AC21" s="11">
        <v>11</v>
      </c>
      <c r="AD21" s="11">
        <v>2018</v>
      </c>
      <c r="AE21" s="13" t="s">
        <v>1419</v>
      </c>
      <c r="AF21" s="11" t="s">
        <v>17</v>
      </c>
      <c r="AG21" s="11" t="s">
        <v>588</v>
      </c>
      <c r="AH21" s="11" t="s">
        <v>588</v>
      </c>
      <c r="AI21" s="11" t="s">
        <v>588</v>
      </c>
      <c r="AJ21" s="11" t="s">
        <v>588</v>
      </c>
      <c r="AK21" s="13" t="s">
        <v>588</v>
      </c>
      <c r="AL21" s="11" t="s">
        <v>588</v>
      </c>
      <c r="AM21" s="11" t="s">
        <v>588</v>
      </c>
      <c r="AN21" s="11" t="s">
        <v>588</v>
      </c>
      <c r="AO21" s="11" t="s">
        <v>588</v>
      </c>
      <c r="AP21" s="13">
        <v>43426</v>
      </c>
      <c r="AQ21" s="11" t="s">
        <v>17</v>
      </c>
      <c r="AR21" s="11" t="s">
        <v>588</v>
      </c>
      <c r="AS21" s="11">
        <v>2</v>
      </c>
      <c r="AT21" s="11">
        <v>2</v>
      </c>
      <c r="AU21" s="13">
        <v>43437</v>
      </c>
      <c r="AV21" s="13">
        <v>43443</v>
      </c>
      <c r="AW21" s="11" t="s">
        <v>7</v>
      </c>
      <c r="AX21" s="11" t="s">
        <v>20</v>
      </c>
      <c r="AY21" s="11" t="s">
        <v>41</v>
      </c>
      <c r="AZ21" s="11" t="s">
        <v>41</v>
      </c>
      <c r="BA21" s="13">
        <v>43437</v>
      </c>
      <c r="BB21" s="13">
        <v>43443</v>
      </c>
      <c r="BC21" s="11" t="s">
        <v>7</v>
      </c>
      <c r="BD21" s="11" t="s">
        <v>20</v>
      </c>
      <c r="BE21" s="11" t="s">
        <v>41</v>
      </c>
      <c r="BF21" s="11" t="s">
        <v>41</v>
      </c>
      <c r="BG21" s="11" t="s">
        <v>588</v>
      </c>
      <c r="BH21" s="11" t="s">
        <v>588</v>
      </c>
      <c r="BI21" s="11" t="s">
        <v>588</v>
      </c>
      <c r="BJ21" s="11" t="s">
        <v>588</v>
      </c>
      <c r="BK21" s="11" t="s">
        <v>588</v>
      </c>
      <c r="BL21" s="11" t="s">
        <v>588</v>
      </c>
      <c r="BM21" s="11">
        <v>9</v>
      </c>
      <c r="BN21" s="11">
        <v>9</v>
      </c>
      <c r="BO21" s="11" t="s">
        <v>41</v>
      </c>
      <c r="BP21" s="11" t="s">
        <v>588</v>
      </c>
      <c r="BQ21" s="11" t="s">
        <v>588</v>
      </c>
      <c r="BR21" s="11" t="s">
        <v>588</v>
      </c>
      <c r="BS21" s="11" t="s">
        <v>8</v>
      </c>
      <c r="BT21" s="11" t="s">
        <v>9</v>
      </c>
      <c r="BU21" s="11" t="s">
        <v>9</v>
      </c>
      <c r="BV21" s="11" t="s">
        <v>8</v>
      </c>
      <c r="BW21" s="11" t="s">
        <v>96</v>
      </c>
      <c r="BX21" s="11" t="s">
        <v>96</v>
      </c>
      <c r="BY21" s="11" t="s">
        <v>588</v>
      </c>
      <c r="BZ21" s="11" t="s">
        <v>588</v>
      </c>
    </row>
    <row r="22" spans="1:78" x14ac:dyDescent="0.25">
      <c r="A22" s="11">
        <v>201819</v>
      </c>
      <c r="B22" s="11" t="s">
        <v>60</v>
      </c>
      <c r="C22" s="11" t="s">
        <v>60</v>
      </c>
      <c r="D22" s="11" t="s">
        <v>49</v>
      </c>
      <c r="E22" s="11" t="s">
        <v>27</v>
      </c>
      <c r="F22" s="11">
        <v>2</v>
      </c>
      <c r="G22" s="11" t="s">
        <v>1327</v>
      </c>
      <c r="H22" s="11" t="s">
        <v>1327</v>
      </c>
      <c r="I22" s="13">
        <v>43452</v>
      </c>
      <c r="J22" s="11">
        <v>18</v>
      </c>
      <c r="K22" s="11">
        <v>12</v>
      </c>
      <c r="L22" s="11">
        <v>2018</v>
      </c>
      <c r="M22" s="11" t="s">
        <v>1370</v>
      </c>
      <c r="N22" s="11" t="s">
        <v>7</v>
      </c>
      <c r="O22" s="11" t="s">
        <v>10</v>
      </c>
      <c r="P22" s="23">
        <v>-38.639589999999998</v>
      </c>
      <c r="Q22" s="23">
        <v>145.72568000000001</v>
      </c>
      <c r="R22" s="11" t="s">
        <v>588</v>
      </c>
      <c r="S22" s="11" t="s">
        <v>588</v>
      </c>
      <c r="T22" s="11">
        <v>3</v>
      </c>
      <c r="U22" s="11">
        <v>3</v>
      </c>
      <c r="V22" s="11" t="s">
        <v>588</v>
      </c>
      <c r="W22" s="11" t="s">
        <v>588</v>
      </c>
      <c r="X22" s="11">
        <v>6</v>
      </c>
      <c r="Y22" s="11">
        <v>6</v>
      </c>
      <c r="Z22" s="11" t="s">
        <v>8</v>
      </c>
      <c r="AA22" s="13">
        <v>43479</v>
      </c>
      <c r="AB22" s="11">
        <v>14</v>
      </c>
      <c r="AC22" s="11">
        <v>1</v>
      </c>
      <c r="AD22" s="11">
        <v>2019</v>
      </c>
      <c r="AE22" s="13" t="s">
        <v>1420</v>
      </c>
      <c r="AF22" s="11" t="s">
        <v>12</v>
      </c>
      <c r="AG22" s="11" t="s">
        <v>588</v>
      </c>
      <c r="AH22" s="11" t="s">
        <v>588</v>
      </c>
      <c r="AI22" s="11" t="s">
        <v>588</v>
      </c>
      <c r="AJ22" s="11" t="s">
        <v>588</v>
      </c>
      <c r="AK22" s="13" t="s">
        <v>588</v>
      </c>
      <c r="AL22" s="11" t="s">
        <v>588</v>
      </c>
      <c r="AM22" s="11" t="s">
        <v>588</v>
      </c>
      <c r="AN22" s="11" t="s">
        <v>588</v>
      </c>
      <c r="AO22" s="11" t="s">
        <v>588</v>
      </c>
      <c r="AP22" s="13">
        <v>43486</v>
      </c>
      <c r="AQ22" s="13" t="s">
        <v>12</v>
      </c>
      <c r="AR22" s="11" t="s">
        <v>588</v>
      </c>
      <c r="AS22" s="11">
        <v>3</v>
      </c>
      <c r="AT22" s="11">
        <v>3</v>
      </c>
      <c r="AU22" s="13">
        <v>43486</v>
      </c>
      <c r="AV22" s="13">
        <v>43488</v>
      </c>
      <c r="AW22" s="11" t="s">
        <v>12</v>
      </c>
      <c r="AX22" s="11" t="s">
        <v>20</v>
      </c>
      <c r="AY22" s="11" t="s">
        <v>41</v>
      </c>
      <c r="AZ22" s="11" t="s">
        <v>41</v>
      </c>
      <c r="BA22" s="13">
        <v>43492</v>
      </c>
      <c r="BB22" s="13">
        <v>43493</v>
      </c>
      <c r="BC22" s="11" t="s">
        <v>12</v>
      </c>
      <c r="BD22" s="11" t="s">
        <v>20</v>
      </c>
      <c r="BE22" s="11" t="s">
        <v>8</v>
      </c>
      <c r="BF22" s="11" t="s">
        <v>32</v>
      </c>
      <c r="BG22" s="13">
        <v>43492</v>
      </c>
      <c r="BH22" s="13">
        <v>43493</v>
      </c>
      <c r="BI22" s="11" t="s">
        <v>12</v>
      </c>
      <c r="BJ22" s="11" t="s">
        <v>20</v>
      </c>
      <c r="BK22" s="11" t="s">
        <v>8</v>
      </c>
      <c r="BL22" s="11" t="s">
        <v>32</v>
      </c>
      <c r="BM22" s="11">
        <v>10</v>
      </c>
      <c r="BN22" s="11">
        <v>7</v>
      </c>
      <c r="BO22" s="11" t="s">
        <v>41</v>
      </c>
      <c r="BP22" s="11" t="s">
        <v>588</v>
      </c>
      <c r="BQ22" s="11" t="s">
        <v>588</v>
      </c>
      <c r="BR22" s="11" t="s">
        <v>588</v>
      </c>
      <c r="BS22" s="11" t="s">
        <v>8</v>
      </c>
      <c r="BT22" s="11" t="s">
        <v>9</v>
      </c>
      <c r="BU22" s="11" t="s">
        <v>9</v>
      </c>
      <c r="BV22" s="11" t="s">
        <v>8</v>
      </c>
      <c r="BW22" s="11" t="s">
        <v>96</v>
      </c>
      <c r="BX22" s="11" t="s">
        <v>96</v>
      </c>
      <c r="BY22" s="11" t="s">
        <v>588</v>
      </c>
      <c r="BZ22" s="11" t="s">
        <v>588</v>
      </c>
    </row>
    <row r="23" spans="1:78" x14ac:dyDescent="0.25">
      <c r="A23" s="11">
        <v>201819</v>
      </c>
      <c r="B23" s="11" t="s">
        <v>308</v>
      </c>
      <c r="C23" s="11" t="s">
        <v>308</v>
      </c>
      <c r="D23" s="11" t="s">
        <v>404</v>
      </c>
      <c r="E23" s="11" t="s">
        <v>16</v>
      </c>
      <c r="F23" s="11">
        <v>1</v>
      </c>
      <c r="G23" s="11" t="s">
        <v>1328</v>
      </c>
      <c r="H23" s="11" t="s">
        <v>1328</v>
      </c>
      <c r="I23" s="13">
        <v>43446</v>
      </c>
      <c r="J23" s="11">
        <v>12</v>
      </c>
      <c r="K23" s="11">
        <v>12</v>
      </c>
      <c r="L23" s="11">
        <v>2018</v>
      </c>
      <c r="M23" s="11" t="s">
        <v>1394</v>
      </c>
      <c r="N23" s="11" t="s">
        <v>7</v>
      </c>
      <c r="O23" s="11" t="s">
        <v>19</v>
      </c>
      <c r="P23" s="23">
        <v>-38.582769999999996</v>
      </c>
      <c r="Q23" s="23">
        <v>145.51177000000001</v>
      </c>
      <c r="R23" s="11" t="s">
        <v>588</v>
      </c>
      <c r="S23" s="11" t="s">
        <v>588</v>
      </c>
      <c r="T23" s="11">
        <v>1</v>
      </c>
      <c r="U23" s="11">
        <v>3</v>
      </c>
      <c r="V23" s="11" t="s">
        <v>588</v>
      </c>
      <c r="W23" s="11" t="s">
        <v>588</v>
      </c>
      <c r="X23" s="11">
        <v>2</v>
      </c>
      <c r="Y23" s="11">
        <v>2</v>
      </c>
      <c r="Z23" s="11" t="s">
        <v>41</v>
      </c>
      <c r="AA23" s="13">
        <v>43446</v>
      </c>
      <c r="AB23" s="11">
        <v>12</v>
      </c>
      <c r="AC23" s="11">
        <v>12</v>
      </c>
      <c r="AD23" s="11">
        <v>2018</v>
      </c>
      <c r="AE23" s="13" t="s">
        <v>1394</v>
      </c>
      <c r="AF23" s="11" t="s">
        <v>7</v>
      </c>
      <c r="AG23" s="13">
        <v>43451</v>
      </c>
      <c r="AH23" s="11">
        <v>17</v>
      </c>
      <c r="AI23" s="11">
        <v>12</v>
      </c>
      <c r="AJ23" s="11">
        <v>2018</v>
      </c>
      <c r="AK23" s="13" t="s">
        <v>1381</v>
      </c>
      <c r="AL23" s="11" t="s">
        <v>7</v>
      </c>
      <c r="AM23" s="13" t="s">
        <v>20</v>
      </c>
      <c r="AN23" s="11" t="s">
        <v>41</v>
      </c>
      <c r="AO23" s="13" t="s">
        <v>41</v>
      </c>
      <c r="AP23" s="11" t="s">
        <v>588</v>
      </c>
      <c r="AQ23" s="13" t="s">
        <v>588</v>
      </c>
      <c r="AR23" s="11" t="s">
        <v>588</v>
      </c>
      <c r="AS23" s="13" t="s">
        <v>588</v>
      </c>
      <c r="AT23" s="11" t="s">
        <v>588</v>
      </c>
      <c r="AU23" s="13" t="s">
        <v>588</v>
      </c>
      <c r="AV23" s="13" t="s">
        <v>588</v>
      </c>
      <c r="AW23" s="13" t="s">
        <v>588</v>
      </c>
      <c r="AX23" s="13" t="s">
        <v>588</v>
      </c>
      <c r="AY23" s="13" t="s">
        <v>588</v>
      </c>
      <c r="AZ23" s="13" t="s">
        <v>588</v>
      </c>
      <c r="BA23" s="13" t="s">
        <v>588</v>
      </c>
      <c r="BB23" s="13" t="s">
        <v>588</v>
      </c>
      <c r="BC23" s="13" t="s">
        <v>588</v>
      </c>
      <c r="BD23" s="13" t="s">
        <v>588</v>
      </c>
      <c r="BE23" s="13" t="s">
        <v>588</v>
      </c>
      <c r="BF23" s="13" t="s">
        <v>588</v>
      </c>
      <c r="BG23" s="13" t="s">
        <v>588</v>
      </c>
      <c r="BH23" s="13" t="s">
        <v>588</v>
      </c>
      <c r="BI23" s="13" t="s">
        <v>588</v>
      </c>
      <c r="BJ23" s="13" t="s">
        <v>588</v>
      </c>
      <c r="BK23" s="13" t="s">
        <v>588</v>
      </c>
      <c r="BL23" s="13" t="s">
        <v>588</v>
      </c>
      <c r="BM23" s="13" t="s">
        <v>588</v>
      </c>
      <c r="BN23" s="13" t="s">
        <v>588</v>
      </c>
      <c r="BO23" s="13" t="s">
        <v>588</v>
      </c>
      <c r="BP23" s="13" t="s">
        <v>588</v>
      </c>
      <c r="BQ23" s="13" t="s">
        <v>588</v>
      </c>
      <c r="BR23" s="13" t="s">
        <v>588</v>
      </c>
      <c r="BS23" s="11" t="s">
        <v>8</v>
      </c>
      <c r="BT23" s="11" t="s">
        <v>9</v>
      </c>
      <c r="BU23" s="11" t="s">
        <v>9</v>
      </c>
      <c r="BV23" s="13" t="s">
        <v>588</v>
      </c>
      <c r="BW23" s="13" t="s">
        <v>588</v>
      </c>
      <c r="BX23" s="13" t="s">
        <v>588</v>
      </c>
      <c r="BY23" s="13" t="s">
        <v>588</v>
      </c>
      <c r="BZ23" s="13" t="s">
        <v>588</v>
      </c>
    </row>
    <row r="24" spans="1:78" x14ac:dyDescent="0.25">
      <c r="A24" s="11">
        <v>201819</v>
      </c>
      <c r="B24" s="11" t="s">
        <v>308</v>
      </c>
      <c r="C24" s="11" t="s">
        <v>308</v>
      </c>
      <c r="D24" s="11" t="s">
        <v>404</v>
      </c>
      <c r="E24" s="11" t="s">
        <v>16</v>
      </c>
      <c r="F24" s="11">
        <v>2</v>
      </c>
      <c r="G24" s="11" t="s">
        <v>1329</v>
      </c>
      <c r="H24" s="11" t="s">
        <v>1329</v>
      </c>
      <c r="I24" s="13">
        <v>43451</v>
      </c>
      <c r="J24" s="11">
        <v>17</v>
      </c>
      <c r="K24" s="11">
        <v>12</v>
      </c>
      <c r="L24" s="11">
        <v>2018</v>
      </c>
      <c r="M24" s="11" t="s">
        <v>1381</v>
      </c>
      <c r="N24" s="11" t="s">
        <v>7</v>
      </c>
      <c r="O24" s="11" t="s">
        <v>19</v>
      </c>
      <c r="P24" s="23">
        <v>-38.582740000000001</v>
      </c>
      <c r="Q24" s="23">
        <v>145.51142999999999</v>
      </c>
      <c r="R24" s="11" t="s">
        <v>588</v>
      </c>
      <c r="S24" s="11" t="s">
        <v>588</v>
      </c>
      <c r="T24" s="11">
        <v>2</v>
      </c>
      <c r="U24" s="11">
        <v>3</v>
      </c>
      <c r="V24" s="11" t="s">
        <v>588</v>
      </c>
      <c r="W24" s="11" t="s">
        <v>588</v>
      </c>
      <c r="X24" s="11">
        <v>2</v>
      </c>
      <c r="Y24" s="11">
        <v>2</v>
      </c>
      <c r="Z24" s="11" t="s">
        <v>41</v>
      </c>
      <c r="AA24" s="13">
        <v>43451</v>
      </c>
      <c r="AB24" s="11">
        <v>17</v>
      </c>
      <c r="AC24" s="11">
        <v>12</v>
      </c>
      <c r="AD24" s="11">
        <v>2018</v>
      </c>
      <c r="AE24" s="13" t="s">
        <v>1381</v>
      </c>
      <c r="AF24" s="11" t="s">
        <v>7</v>
      </c>
      <c r="AG24" s="13">
        <v>43468</v>
      </c>
      <c r="AH24" s="11">
        <v>3</v>
      </c>
      <c r="AI24" s="11">
        <v>1</v>
      </c>
      <c r="AJ24" s="11">
        <v>2019</v>
      </c>
      <c r="AK24" s="13" t="s">
        <v>1382</v>
      </c>
      <c r="AL24" s="11" t="s">
        <v>12</v>
      </c>
      <c r="AM24" s="13" t="s">
        <v>20</v>
      </c>
      <c r="AN24" s="11" t="s">
        <v>41</v>
      </c>
      <c r="AO24" s="13" t="s">
        <v>41</v>
      </c>
      <c r="AP24" s="11" t="s">
        <v>588</v>
      </c>
      <c r="AQ24" s="13" t="s">
        <v>588</v>
      </c>
      <c r="AR24" s="11" t="s">
        <v>588</v>
      </c>
      <c r="AS24" s="13" t="s">
        <v>588</v>
      </c>
      <c r="AT24" s="11" t="s">
        <v>588</v>
      </c>
      <c r="AU24" s="13" t="s">
        <v>588</v>
      </c>
      <c r="AV24" s="11" t="s">
        <v>588</v>
      </c>
      <c r="AW24" s="13" t="s">
        <v>588</v>
      </c>
      <c r="AX24" s="11" t="s">
        <v>588</v>
      </c>
      <c r="AY24" s="13" t="s">
        <v>588</v>
      </c>
      <c r="AZ24" s="13" t="s">
        <v>588</v>
      </c>
      <c r="BA24" s="13" t="s">
        <v>588</v>
      </c>
      <c r="BB24" s="13" t="s">
        <v>588</v>
      </c>
      <c r="BC24" s="13" t="s">
        <v>588</v>
      </c>
      <c r="BD24" s="13" t="s">
        <v>588</v>
      </c>
      <c r="BE24" s="13" t="s">
        <v>588</v>
      </c>
      <c r="BF24" s="13" t="s">
        <v>588</v>
      </c>
      <c r="BG24" s="13" t="s">
        <v>588</v>
      </c>
      <c r="BH24" s="13" t="s">
        <v>588</v>
      </c>
      <c r="BI24" s="13" t="s">
        <v>588</v>
      </c>
      <c r="BJ24" s="13" t="s">
        <v>588</v>
      </c>
      <c r="BK24" s="13" t="s">
        <v>588</v>
      </c>
      <c r="BL24" s="13" t="s">
        <v>588</v>
      </c>
      <c r="BM24" s="13" t="s">
        <v>588</v>
      </c>
      <c r="BN24" s="13" t="s">
        <v>588</v>
      </c>
      <c r="BO24" s="13" t="s">
        <v>588</v>
      </c>
      <c r="BP24" s="13" t="s">
        <v>588</v>
      </c>
      <c r="BQ24" s="13" t="s">
        <v>588</v>
      </c>
      <c r="BR24" s="13" t="s">
        <v>588</v>
      </c>
      <c r="BS24" s="11" t="s">
        <v>8</v>
      </c>
      <c r="BT24" s="11" t="s">
        <v>9</v>
      </c>
      <c r="BU24" s="11" t="s">
        <v>9</v>
      </c>
      <c r="BV24" s="13" t="s">
        <v>588</v>
      </c>
      <c r="BW24" s="13" t="s">
        <v>588</v>
      </c>
      <c r="BX24" s="13" t="s">
        <v>588</v>
      </c>
      <c r="BY24" s="13" t="s">
        <v>588</v>
      </c>
      <c r="BZ24" s="13" t="s">
        <v>588</v>
      </c>
    </row>
    <row r="25" spans="1:78" x14ac:dyDescent="0.25">
      <c r="A25" s="11">
        <v>201819</v>
      </c>
      <c r="B25" s="11" t="s">
        <v>308</v>
      </c>
      <c r="C25" s="11" t="s">
        <v>308</v>
      </c>
      <c r="D25" s="11" t="s">
        <v>404</v>
      </c>
      <c r="E25" s="11" t="s">
        <v>16</v>
      </c>
      <c r="F25" s="11">
        <v>3</v>
      </c>
      <c r="G25" s="11" t="s">
        <v>1330</v>
      </c>
      <c r="H25" s="11" t="s">
        <v>1330</v>
      </c>
      <c r="I25" s="13">
        <v>43468</v>
      </c>
      <c r="J25" s="11">
        <v>3</v>
      </c>
      <c r="K25" s="11">
        <v>1</v>
      </c>
      <c r="L25" s="11">
        <v>2019</v>
      </c>
      <c r="M25" s="11" t="s">
        <v>1382</v>
      </c>
      <c r="N25" s="11" t="s">
        <v>12</v>
      </c>
      <c r="O25" s="11" t="s">
        <v>19</v>
      </c>
      <c r="P25" s="23">
        <v>-38.583106999999998</v>
      </c>
      <c r="Q25" s="23">
        <v>145.511551</v>
      </c>
      <c r="R25" s="11" t="s">
        <v>588</v>
      </c>
      <c r="S25" s="11" t="s">
        <v>588</v>
      </c>
      <c r="T25" s="11">
        <v>2</v>
      </c>
      <c r="U25" s="11">
        <v>3</v>
      </c>
      <c r="V25" s="11" t="s">
        <v>588</v>
      </c>
      <c r="W25" s="11" t="s">
        <v>588</v>
      </c>
      <c r="X25" s="11">
        <v>3</v>
      </c>
      <c r="Y25" s="11">
        <v>3</v>
      </c>
      <c r="Z25" s="11" t="s">
        <v>41</v>
      </c>
      <c r="AA25" s="13">
        <v>43487</v>
      </c>
      <c r="AB25" s="11">
        <v>22</v>
      </c>
      <c r="AC25" s="11">
        <v>1</v>
      </c>
      <c r="AD25" s="11">
        <v>2019</v>
      </c>
      <c r="AE25" s="13" t="s">
        <v>1421</v>
      </c>
      <c r="AF25" s="11" t="s">
        <v>12</v>
      </c>
      <c r="AG25" s="13">
        <v>43500</v>
      </c>
      <c r="AH25" s="11">
        <v>4</v>
      </c>
      <c r="AI25" s="11">
        <v>2</v>
      </c>
      <c r="AJ25" s="11">
        <v>2019</v>
      </c>
      <c r="AK25" s="13" t="s">
        <v>1383</v>
      </c>
      <c r="AL25" s="11" t="s">
        <v>72</v>
      </c>
      <c r="AM25" s="13" t="s">
        <v>20</v>
      </c>
      <c r="AN25" s="11" t="s">
        <v>8</v>
      </c>
      <c r="AO25" s="11" t="s">
        <v>1331</v>
      </c>
      <c r="AP25" s="11" t="s">
        <v>588</v>
      </c>
      <c r="AQ25" s="13" t="s">
        <v>588</v>
      </c>
      <c r="AR25" s="11" t="s">
        <v>588</v>
      </c>
      <c r="AS25" s="11" t="s">
        <v>588</v>
      </c>
      <c r="AT25" s="11" t="s">
        <v>588</v>
      </c>
      <c r="AU25" s="13" t="s">
        <v>588</v>
      </c>
      <c r="AV25" s="13" t="s">
        <v>588</v>
      </c>
      <c r="AW25" s="13" t="s">
        <v>588</v>
      </c>
      <c r="AX25" s="13" t="s">
        <v>588</v>
      </c>
      <c r="AY25" s="13" t="s">
        <v>588</v>
      </c>
      <c r="AZ25" s="13" t="s">
        <v>588</v>
      </c>
      <c r="BA25" s="13" t="s">
        <v>588</v>
      </c>
      <c r="BB25" s="13" t="s">
        <v>588</v>
      </c>
      <c r="BC25" s="13" t="s">
        <v>588</v>
      </c>
      <c r="BD25" s="13" t="s">
        <v>588</v>
      </c>
      <c r="BE25" s="13" t="s">
        <v>588</v>
      </c>
      <c r="BF25" s="13" t="s">
        <v>588</v>
      </c>
      <c r="BG25" s="13" t="s">
        <v>588</v>
      </c>
      <c r="BH25" s="13" t="s">
        <v>588</v>
      </c>
      <c r="BI25" s="13" t="s">
        <v>588</v>
      </c>
      <c r="BJ25" s="13" t="s">
        <v>588</v>
      </c>
      <c r="BK25" s="13" t="s">
        <v>588</v>
      </c>
      <c r="BL25" s="13" t="s">
        <v>588</v>
      </c>
      <c r="BM25" s="13" t="s">
        <v>588</v>
      </c>
      <c r="BN25" s="13" t="s">
        <v>588</v>
      </c>
      <c r="BO25" s="13" t="s">
        <v>588</v>
      </c>
      <c r="BP25" s="13" t="s">
        <v>588</v>
      </c>
      <c r="BQ25" s="13" t="s">
        <v>588</v>
      </c>
      <c r="BR25" s="13" t="s">
        <v>588</v>
      </c>
      <c r="BS25" s="11" t="s">
        <v>8</v>
      </c>
      <c r="BT25" s="11" t="s">
        <v>9</v>
      </c>
      <c r="BU25" s="11" t="s">
        <v>9</v>
      </c>
      <c r="BV25" s="13" t="s">
        <v>588</v>
      </c>
      <c r="BW25" s="13" t="s">
        <v>588</v>
      </c>
      <c r="BX25" s="13" t="s">
        <v>588</v>
      </c>
      <c r="BY25" s="13" t="s">
        <v>588</v>
      </c>
      <c r="BZ25" s="13" t="s">
        <v>588</v>
      </c>
    </row>
    <row r="26" spans="1:78" x14ac:dyDescent="0.25">
      <c r="A26" s="11">
        <v>201819</v>
      </c>
      <c r="B26" s="11" t="s">
        <v>553</v>
      </c>
      <c r="C26" s="11" t="s">
        <v>553</v>
      </c>
      <c r="D26" s="11" t="s">
        <v>482</v>
      </c>
      <c r="E26" s="11" t="s">
        <v>16</v>
      </c>
      <c r="F26" s="11">
        <v>1</v>
      </c>
      <c r="G26" s="11" t="s">
        <v>1332</v>
      </c>
      <c r="H26" s="11" t="s">
        <v>1332</v>
      </c>
      <c r="I26" s="13">
        <v>43374</v>
      </c>
      <c r="J26" s="11">
        <v>1</v>
      </c>
      <c r="K26" s="11">
        <v>10</v>
      </c>
      <c r="L26" s="11">
        <v>2018</v>
      </c>
      <c r="M26" s="11" t="s">
        <v>1422</v>
      </c>
      <c r="N26" s="11" t="s">
        <v>29</v>
      </c>
      <c r="O26" s="11" t="s">
        <v>10</v>
      </c>
      <c r="P26" s="23">
        <v>-38.57893</v>
      </c>
      <c r="Q26" s="23">
        <v>145.5078</v>
      </c>
      <c r="R26" s="11" t="s">
        <v>588</v>
      </c>
      <c r="S26" s="11" t="s">
        <v>588</v>
      </c>
      <c r="T26" s="11">
        <v>2</v>
      </c>
      <c r="U26" s="11">
        <v>3</v>
      </c>
      <c r="V26" s="11" t="s">
        <v>588</v>
      </c>
      <c r="W26" s="11" t="s">
        <v>588</v>
      </c>
      <c r="X26" s="11">
        <v>4</v>
      </c>
      <c r="Y26" s="11">
        <v>4</v>
      </c>
      <c r="Z26" s="11" t="s">
        <v>41</v>
      </c>
      <c r="AA26" s="13">
        <v>43397</v>
      </c>
      <c r="AB26" s="11">
        <v>24</v>
      </c>
      <c r="AC26" s="11">
        <v>10</v>
      </c>
      <c r="AD26" s="11">
        <v>2018</v>
      </c>
      <c r="AE26" s="13" t="s">
        <v>1413</v>
      </c>
      <c r="AF26" s="11" t="s">
        <v>29</v>
      </c>
      <c r="AG26" s="13">
        <v>43411</v>
      </c>
      <c r="AH26" s="11">
        <v>7</v>
      </c>
      <c r="AI26" s="11">
        <v>11</v>
      </c>
      <c r="AJ26" s="11">
        <v>2018</v>
      </c>
      <c r="AK26" s="13" t="s">
        <v>1384</v>
      </c>
      <c r="AL26" s="11" t="s">
        <v>17</v>
      </c>
      <c r="AM26" s="13" t="s">
        <v>20</v>
      </c>
      <c r="AN26" s="11" t="s">
        <v>41</v>
      </c>
      <c r="AO26" s="11" t="s">
        <v>41</v>
      </c>
      <c r="AP26" s="11" t="s">
        <v>588</v>
      </c>
      <c r="AQ26" s="13" t="s">
        <v>588</v>
      </c>
      <c r="AR26" s="11" t="s">
        <v>588</v>
      </c>
      <c r="AS26" s="11" t="s">
        <v>588</v>
      </c>
      <c r="AT26" s="11" t="s">
        <v>588</v>
      </c>
      <c r="AU26" s="13" t="s">
        <v>588</v>
      </c>
      <c r="AV26" s="13" t="s">
        <v>588</v>
      </c>
      <c r="AW26" s="13" t="s">
        <v>588</v>
      </c>
      <c r="AX26" s="13" t="s">
        <v>588</v>
      </c>
      <c r="AY26" s="13" t="s">
        <v>588</v>
      </c>
      <c r="AZ26" s="13" t="s">
        <v>588</v>
      </c>
      <c r="BA26" s="13" t="s">
        <v>588</v>
      </c>
      <c r="BB26" s="13" t="s">
        <v>588</v>
      </c>
      <c r="BC26" s="13" t="s">
        <v>588</v>
      </c>
      <c r="BD26" s="13" t="s">
        <v>588</v>
      </c>
      <c r="BE26" s="13" t="s">
        <v>588</v>
      </c>
      <c r="BF26" s="13" t="s">
        <v>588</v>
      </c>
      <c r="BG26" s="13" t="s">
        <v>588</v>
      </c>
      <c r="BH26" s="13" t="s">
        <v>588</v>
      </c>
      <c r="BI26" s="13" t="s">
        <v>588</v>
      </c>
      <c r="BJ26" s="13" t="s">
        <v>588</v>
      </c>
      <c r="BK26" s="13" t="s">
        <v>588</v>
      </c>
      <c r="BL26" s="13" t="s">
        <v>588</v>
      </c>
      <c r="BM26" s="13" t="s">
        <v>588</v>
      </c>
      <c r="BN26" s="13" t="s">
        <v>588</v>
      </c>
      <c r="BO26" s="13" t="s">
        <v>588</v>
      </c>
      <c r="BP26" s="13" t="s">
        <v>588</v>
      </c>
      <c r="BQ26" s="13" t="s">
        <v>588</v>
      </c>
      <c r="BR26" s="13" t="s">
        <v>588</v>
      </c>
      <c r="BS26" s="11" t="s">
        <v>41</v>
      </c>
      <c r="BT26" s="11" t="s">
        <v>42</v>
      </c>
      <c r="BU26" s="11" t="s">
        <v>42</v>
      </c>
      <c r="BV26" s="13" t="s">
        <v>588</v>
      </c>
      <c r="BW26" s="13" t="s">
        <v>588</v>
      </c>
      <c r="BX26" s="13" t="s">
        <v>588</v>
      </c>
      <c r="BY26" s="13" t="s">
        <v>588</v>
      </c>
      <c r="BZ26" s="13" t="s">
        <v>588</v>
      </c>
    </row>
    <row r="27" spans="1:78" x14ac:dyDescent="0.25">
      <c r="A27" s="11">
        <v>201819</v>
      </c>
      <c r="B27" s="11" t="s">
        <v>553</v>
      </c>
      <c r="C27" s="11" t="s">
        <v>553</v>
      </c>
      <c r="D27" s="11" t="s">
        <v>482</v>
      </c>
      <c r="E27" s="11" t="s">
        <v>16</v>
      </c>
      <c r="F27" s="11">
        <v>2</v>
      </c>
      <c r="G27" s="11" t="s">
        <v>1333</v>
      </c>
      <c r="H27" s="11" t="s">
        <v>1333</v>
      </c>
      <c r="I27" s="13">
        <v>43430</v>
      </c>
      <c r="J27" s="11">
        <v>26</v>
      </c>
      <c r="K27" s="11">
        <v>11</v>
      </c>
      <c r="L27" s="11">
        <v>2018</v>
      </c>
      <c r="M27" s="11" t="s">
        <v>1387</v>
      </c>
      <c r="N27" s="11" t="s">
        <v>17</v>
      </c>
      <c r="O27" s="11" t="s">
        <v>10</v>
      </c>
      <c r="P27" s="23">
        <v>-38.57864</v>
      </c>
      <c r="Q27" s="23">
        <v>145.50747999999999</v>
      </c>
      <c r="R27" s="11" t="s">
        <v>588</v>
      </c>
      <c r="S27" s="11" t="s">
        <v>588</v>
      </c>
      <c r="T27" s="11">
        <v>1</v>
      </c>
      <c r="U27" s="11">
        <v>3</v>
      </c>
      <c r="V27" s="11" t="s">
        <v>588</v>
      </c>
      <c r="W27" s="11" t="s">
        <v>588</v>
      </c>
      <c r="X27" s="11">
        <v>3</v>
      </c>
      <c r="Y27" s="11">
        <v>3</v>
      </c>
      <c r="Z27" s="11" t="s">
        <v>41</v>
      </c>
      <c r="AA27" s="13">
        <v>43436</v>
      </c>
      <c r="AB27" s="11">
        <v>2</v>
      </c>
      <c r="AC27" s="11">
        <v>12</v>
      </c>
      <c r="AD27" s="11">
        <v>2018</v>
      </c>
      <c r="AE27" s="13" t="s">
        <v>1402</v>
      </c>
      <c r="AF27" s="11" t="s">
        <v>7</v>
      </c>
      <c r="AG27" s="13">
        <v>43451</v>
      </c>
      <c r="AH27" s="11">
        <v>17</v>
      </c>
      <c r="AI27" s="11">
        <v>12</v>
      </c>
      <c r="AJ27" s="11">
        <v>2018</v>
      </c>
      <c r="AK27" s="13" t="s">
        <v>1381</v>
      </c>
      <c r="AL27" s="11" t="s">
        <v>7</v>
      </c>
      <c r="AM27" s="13" t="s">
        <v>20</v>
      </c>
      <c r="AN27" s="11" t="s">
        <v>41</v>
      </c>
      <c r="AO27" s="11" t="s">
        <v>41</v>
      </c>
      <c r="AP27" s="11" t="s">
        <v>588</v>
      </c>
      <c r="AQ27" s="13" t="s">
        <v>588</v>
      </c>
      <c r="AR27" s="11" t="s">
        <v>588</v>
      </c>
      <c r="AS27" s="11" t="s">
        <v>588</v>
      </c>
      <c r="AT27" s="11" t="s">
        <v>588</v>
      </c>
      <c r="AU27" s="13" t="s">
        <v>588</v>
      </c>
      <c r="AV27" s="13" t="s">
        <v>588</v>
      </c>
      <c r="AW27" s="13" t="s">
        <v>588</v>
      </c>
      <c r="AX27" s="13" t="s">
        <v>588</v>
      </c>
      <c r="AY27" s="13" t="s">
        <v>588</v>
      </c>
      <c r="AZ27" s="13" t="s">
        <v>588</v>
      </c>
      <c r="BA27" s="13" t="s">
        <v>588</v>
      </c>
      <c r="BB27" s="13" t="s">
        <v>588</v>
      </c>
      <c r="BC27" s="13" t="s">
        <v>588</v>
      </c>
      <c r="BD27" s="13" t="s">
        <v>588</v>
      </c>
      <c r="BE27" s="13" t="s">
        <v>588</v>
      </c>
      <c r="BF27" s="13" t="s">
        <v>588</v>
      </c>
      <c r="BG27" s="13" t="s">
        <v>588</v>
      </c>
      <c r="BH27" s="13" t="s">
        <v>588</v>
      </c>
      <c r="BI27" s="13" t="s">
        <v>588</v>
      </c>
      <c r="BJ27" s="13" t="s">
        <v>588</v>
      </c>
      <c r="BK27" s="13" t="s">
        <v>588</v>
      </c>
      <c r="BL27" s="13" t="s">
        <v>588</v>
      </c>
      <c r="BM27" s="13" t="s">
        <v>588</v>
      </c>
      <c r="BN27" s="13" t="s">
        <v>588</v>
      </c>
      <c r="BO27" s="13" t="s">
        <v>588</v>
      </c>
      <c r="BP27" s="13" t="s">
        <v>588</v>
      </c>
      <c r="BQ27" s="13" t="s">
        <v>588</v>
      </c>
      <c r="BR27" s="13" t="s">
        <v>588</v>
      </c>
      <c r="BS27" s="11" t="s">
        <v>8</v>
      </c>
      <c r="BT27" s="11" t="s">
        <v>13</v>
      </c>
      <c r="BU27" s="11" t="s">
        <v>13</v>
      </c>
      <c r="BV27" s="13" t="s">
        <v>588</v>
      </c>
      <c r="BW27" s="13" t="s">
        <v>588</v>
      </c>
      <c r="BX27" s="13" t="s">
        <v>588</v>
      </c>
      <c r="BY27" s="13" t="s">
        <v>588</v>
      </c>
      <c r="BZ27" s="13" t="s">
        <v>588</v>
      </c>
    </row>
    <row r="28" spans="1:78" x14ac:dyDescent="0.25">
      <c r="A28" s="11">
        <v>201819</v>
      </c>
      <c r="B28" s="11" t="s">
        <v>553</v>
      </c>
      <c r="C28" s="11" t="s">
        <v>553</v>
      </c>
      <c r="D28" s="11" t="s">
        <v>482</v>
      </c>
      <c r="E28" s="11" t="s">
        <v>16</v>
      </c>
      <c r="F28" s="11">
        <v>3</v>
      </c>
      <c r="G28" s="11" t="s">
        <v>1334</v>
      </c>
      <c r="H28" s="11" t="s">
        <v>1334</v>
      </c>
      <c r="I28" s="13">
        <v>43468</v>
      </c>
      <c r="J28" s="11">
        <v>3</v>
      </c>
      <c r="K28" s="11">
        <v>1</v>
      </c>
      <c r="L28" s="11">
        <v>2019</v>
      </c>
      <c r="M28" s="11" t="s">
        <v>1382</v>
      </c>
      <c r="N28" s="11" t="s">
        <v>12</v>
      </c>
      <c r="O28" s="11" t="s">
        <v>10</v>
      </c>
      <c r="P28" s="23">
        <v>-38.578409999999998</v>
      </c>
      <c r="Q28" s="23">
        <v>145.50729000000001</v>
      </c>
      <c r="R28" s="11" t="s">
        <v>588</v>
      </c>
      <c r="S28" s="11" t="s">
        <v>588</v>
      </c>
      <c r="T28" s="11">
        <v>3</v>
      </c>
      <c r="U28" s="11">
        <v>3</v>
      </c>
      <c r="V28" s="11" t="s">
        <v>588</v>
      </c>
      <c r="W28" s="11" t="s">
        <v>588</v>
      </c>
      <c r="X28" s="11">
        <v>2</v>
      </c>
      <c r="Y28" s="11">
        <v>2</v>
      </c>
      <c r="Z28" s="11" t="s">
        <v>41</v>
      </c>
      <c r="AA28" s="13">
        <v>43468</v>
      </c>
      <c r="AB28" s="11">
        <v>3</v>
      </c>
      <c r="AC28" s="11">
        <v>1</v>
      </c>
      <c r="AD28" s="11">
        <v>2019</v>
      </c>
      <c r="AE28" s="13" t="s">
        <v>1382</v>
      </c>
      <c r="AF28" s="11" t="s">
        <v>12</v>
      </c>
      <c r="AG28" s="13">
        <v>43470</v>
      </c>
      <c r="AH28" s="11">
        <v>5</v>
      </c>
      <c r="AI28" s="11">
        <v>1</v>
      </c>
      <c r="AJ28" s="11">
        <v>2019</v>
      </c>
      <c r="AK28" s="13" t="s">
        <v>1385</v>
      </c>
      <c r="AL28" s="11" t="s">
        <v>12</v>
      </c>
      <c r="AM28" s="13" t="s">
        <v>20</v>
      </c>
      <c r="AN28" s="11" t="s">
        <v>8</v>
      </c>
      <c r="AO28" s="11" t="s">
        <v>1067</v>
      </c>
      <c r="AP28" s="11" t="s">
        <v>588</v>
      </c>
      <c r="AQ28" s="13" t="s">
        <v>588</v>
      </c>
      <c r="AR28" s="11" t="s">
        <v>588</v>
      </c>
      <c r="AS28" s="11" t="s">
        <v>588</v>
      </c>
      <c r="AT28" s="11" t="s">
        <v>588</v>
      </c>
      <c r="AU28" s="13" t="s">
        <v>588</v>
      </c>
      <c r="AV28" s="13" t="s">
        <v>588</v>
      </c>
      <c r="AW28" s="13" t="s">
        <v>588</v>
      </c>
      <c r="AX28" s="13" t="s">
        <v>588</v>
      </c>
      <c r="AY28" s="13" t="s">
        <v>588</v>
      </c>
      <c r="AZ28" s="13" t="s">
        <v>588</v>
      </c>
      <c r="BA28" s="13" t="s">
        <v>588</v>
      </c>
      <c r="BB28" s="13" t="s">
        <v>588</v>
      </c>
      <c r="BC28" s="13" t="s">
        <v>588</v>
      </c>
      <c r="BD28" s="13" t="s">
        <v>588</v>
      </c>
      <c r="BE28" s="13" t="s">
        <v>588</v>
      </c>
      <c r="BF28" s="13" t="s">
        <v>588</v>
      </c>
      <c r="BG28" s="13" t="s">
        <v>588</v>
      </c>
      <c r="BH28" s="13" t="s">
        <v>588</v>
      </c>
      <c r="BI28" s="13" t="s">
        <v>588</v>
      </c>
      <c r="BJ28" s="13" t="s">
        <v>588</v>
      </c>
      <c r="BK28" s="13" t="s">
        <v>588</v>
      </c>
      <c r="BL28" s="13" t="s">
        <v>588</v>
      </c>
      <c r="BM28" s="13" t="s">
        <v>588</v>
      </c>
      <c r="BN28" s="13" t="s">
        <v>588</v>
      </c>
      <c r="BO28" s="13" t="s">
        <v>588</v>
      </c>
      <c r="BP28" s="13" t="s">
        <v>588</v>
      </c>
      <c r="BQ28" s="13" t="s">
        <v>588</v>
      </c>
      <c r="BR28" s="13" t="s">
        <v>588</v>
      </c>
      <c r="BS28" s="11" t="s">
        <v>8</v>
      </c>
      <c r="BT28" s="11" t="s">
        <v>13</v>
      </c>
      <c r="BU28" s="11" t="s">
        <v>13</v>
      </c>
      <c r="BV28" s="13" t="s">
        <v>588</v>
      </c>
      <c r="BW28" s="13" t="s">
        <v>588</v>
      </c>
      <c r="BX28" s="13" t="s">
        <v>588</v>
      </c>
      <c r="BY28" s="13" t="s">
        <v>588</v>
      </c>
      <c r="BZ28" s="13" t="s">
        <v>588</v>
      </c>
    </row>
    <row r="29" spans="1:78" x14ac:dyDescent="0.25">
      <c r="A29" s="11">
        <v>201819</v>
      </c>
      <c r="B29" s="11" t="s">
        <v>553</v>
      </c>
      <c r="C29" s="11" t="s">
        <v>553</v>
      </c>
      <c r="D29" s="11" t="s">
        <v>482</v>
      </c>
      <c r="E29" s="11" t="s">
        <v>16</v>
      </c>
      <c r="F29" s="11">
        <v>4</v>
      </c>
      <c r="G29" s="11" t="s">
        <v>1335</v>
      </c>
      <c r="H29" s="11" t="s">
        <v>1335</v>
      </c>
      <c r="I29" s="13">
        <v>43487</v>
      </c>
      <c r="J29" s="11">
        <v>22</v>
      </c>
      <c r="K29" s="11">
        <v>1</v>
      </c>
      <c r="L29" s="11">
        <v>2019</v>
      </c>
      <c r="M29" s="11" t="s">
        <v>1421</v>
      </c>
      <c r="N29" s="11" t="s">
        <v>12</v>
      </c>
      <c r="O29" s="11" t="s">
        <v>10</v>
      </c>
      <c r="P29" s="23">
        <v>-38.581719999999997</v>
      </c>
      <c r="Q29" s="23">
        <v>145.5103</v>
      </c>
      <c r="R29" s="11" t="s">
        <v>588</v>
      </c>
      <c r="S29" s="11" t="s">
        <v>588</v>
      </c>
      <c r="T29" s="11">
        <v>2</v>
      </c>
      <c r="U29" s="11">
        <v>3</v>
      </c>
      <c r="V29" s="11" t="s">
        <v>588</v>
      </c>
      <c r="W29" s="11" t="s">
        <v>588</v>
      </c>
      <c r="X29" s="11">
        <v>3</v>
      </c>
      <c r="Y29" s="11">
        <v>3</v>
      </c>
      <c r="Z29" s="11" t="s">
        <v>41</v>
      </c>
      <c r="AA29" s="13">
        <v>43500</v>
      </c>
      <c r="AB29" s="11">
        <v>4</v>
      </c>
      <c r="AC29" s="11">
        <v>2</v>
      </c>
      <c r="AD29" s="11">
        <v>2019</v>
      </c>
      <c r="AE29" s="13" t="s">
        <v>1383</v>
      </c>
      <c r="AF29" s="11" t="s">
        <v>21</v>
      </c>
      <c r="AG29" s="13">
        <v>43514</v>
      </c>
      <c r="AH29" s="11">
        <v>18</v>
      </c>
      <c r="AI29" s="11">
        <v>2</v>
      </c>
      <c r="AJ29" s="11">
        <v>2019</v>
      </c>
      <c r="AK29" s="13" t="s">
        <v>1386</v>
      </c>
      <c r="AL29" s="11" t="s">
        <v>21</v>
      </c>
      <c r="AM29" s="13" t="s">
        <v>20</v>
      </c>
      <c r="AN29" s="11" t="s">
        <v>8</v>
      </c>
      <c r="AO29" s="11" t="s">
        <v>11</v>
      </c>
      <c r="AP29" s="11" t="s">
        <v>588</v>
      </c>
      <c r="AQ29" s="13" t="s">
        <v>588</v>
      </c>
      <c r="AR29" s="11" t="s">
        <v>588</v>
      </c>
      <c r="AS29" s="11" t="s">
        <v>588</v>
      </c>
      <c r="AT29" s="11" t="s">
        <v>588</v>
      </c>
      <c r="AU29" s="13" t="s">
        <v>588</v>
      </c>
      <c r="AV29" s="13" t="s">
        <v>588</v>
      </c>
      <c r="AW29" s="13" t="s">
        <v>588</v>
      </c>
      <c r="AX29" s="13" t="s">
        <v>588</v>
      </c>
      <c r="AY29" s="13" t="s">
        <v>588</v>
      </c>
      <c r="AZ29" s="13" t="s">
        <v>588</v>
      </c>
      <c r="BA29" s="13" t="s">
        <v>588</v>
      </c>
      <c r="BB29" s="13" t="s">
        <v>588</v>
      </c>
      <c r="BC29" s="13" t="s">
        <v>588</v>
      </c>
      <c r="BD29" s="13" t="s">
        <v>588</v>
      </c>
      <c r="BE29" s="13" t="s">
        <v>588</v>
      </c>
      <c r="BF29" s="13" t="s">
        <v>588</v>
      </c>
      <c r="BG29" s="13" t="s">
        <v>588</v>
      </c>
      <c r="BH29" s="13" t="s">
        <v>588</v>
      </c>
      <c r="BI29" s="13" t="s">
        <v>588</v>
      </c>
      <c r="BJ29" s="13" t="s">
        <v>588</v>
      </c>
      <c r="BK29" s="13" t="s">
        <v>588</v>
      </c>
      <c r="BL29" s="13" t="s">
        <v>588</v>
      </c>
      <c r="BM29" s="13" t="s">
        <v>588</v>
      </c>
      <c r="BN29" s="13" t="s">
        <v>588</v>
      </c>
      <c r="BO29" s="13" t="s">
        <v>588</v>
      </c>
      <c r="BP29" s="13" t="s">
        <v>588</v>
      </c>
      <c r="BQ29" s="13" t="s">
        <v>588</v>
      </c>
      <c r="BR29" s="13" t="s">
        <v>588</v>
      </c>
      <c r="BS29" s="11" t="s">
        <v>8</v>
      </c>
      <c r="BT29" s="11" t="s">
        <v>9</v>
      </c>
      <c r="BU29" s="11" t="s">
        <v>9</v>
      </c>
      <c r="BV29" s="13" t="s">
        <v>588</v>
      </c>
      <c r="BW29" s="13" t="s">
        <v>588</v>
      </c>
      <c r="BX29" s="13" t="s">
        <v>588</v>
      </c>
      <c r="BY29" s="13" t="s">
        <v>588</v>
      </c>
      <c r="BZ29" s="13" t="s">
        <v>588</v>
      </c>
    </row>
    <row r="30" spans="1:78" x14ac:dyDescent="0.25">
      <c r="A30" s="11">
        <v>201819</v>
      </c>
      <c r="B30" s="11" t="s">
        <v>320</v>
      </c>
      <c r="C30" s="11" t="s">
        <v>320</v>
      </c>
      <c r="D30" s="11" t="s">
        <v>321</v>
      </c>
      <c r="E30" s="11" t="s">
        <v>16</v>
      </c>
      <c r="F30" s="11">
        <v>1</v>
      </c>
      <c r="G30" s="11" t="s">
        <v>1336</v>
      </c>
      <c r="H30" s="11" t="s">
        <v>1336</v>
      </c>
      <c r="I30" s="13">
        <v>43397</v>
      </c>
      <c r="J30" s="11">
        <v>24</v>
      </c>
      <c r="K30" s="11">
        <v>10</v>
      </c>
      <c r="L30" s="11">
        <v>2018</v>
      </c>
      <c r="M30" s="11" t="s">
        <v>1413</v>
      </c>
      <c r="N30" s="11" t="s">
        <v>29</v>
      </c>
      <c r="O30" s="11" t="s">
        <v>10</v>
      </c>
      <c r="P30" s="23">
        <v>-38.569609999999997</v>
      </c>
      <c r="Q30" s="23">
        <v>145.49923000000001</v>
      </c>
      <c r="R30" s="11" t="s">
        <v>588</v>
      </c>
      <c r="S30" s="11" t="s">
        <v>588</v>
      </c>
      <c r="T30" s="11">
        <v>1</v>
      </c>
      <c r="U30" s="11">
        <v>3</v>
      </c>
      <c r="V30" s="11" t="s">
        <v>588</v>
      </c>
      <c r="W30" s="11" t="s">
        <v>588</v>
      </c>
      <c r="X30" s="11">
        <v>2</v>
      </c>
      <c r="Y30" s="11">
        <v>2</v>
      </c>
      <c r="Z30" s="11" t="s">
        <v>41</v>
      </c>
      <c r="AA30" s="13">
        <v>43397</v>
      </c>
      <c r="AB30" s="11">
        <v>24</v>
      </c>
      <c r="AC30" s="11">
        <v>10</v>
      </c>
      <c r="AD30" s="11">
        <v>2018</v>
      </c>
      <c r="AE30" s="13" t="s">
        <v>1413</v>
      </c>
      <c r="AF30" s="11" t="s">
        <v>29</v>
      </c>
      <c r="AG30" s="13">
        <v>43411</v>
      </c>
      <c r="AH30" s="11">
        <v>7</v>
      </c>
      <c r="AI30" s="11">
        <v>11</v>
      </c>
      <c r="AJ30" s="11">
        <v>2018</v>
      </c>
      <c r="AK30" s="13" t="s">
        <v>1384</v>
      </c>
      <c r="AL30" s="11" t="s">
        <v>17</v>
      </c>
      <c r="AM30" s="13" t="s">
        <v>20</v>
      </c>
      <c r="AN30" s="11" t="s">
        <v>8</v>
      </c>
      <c r="AO30" s="11" t="s">
        <v>11</v>
      </c>
      <c r="AP30" s="11" t="s">
        <v>588</v>
      </c>
      <c r="AQ30" s="13" t="s">
        <v>588</v>
      </c>
      <c r="AR30" s="11" t="s">
        <v>588</v>
      </c>
      <c r="AS30" s="11" t="s">
        <v>588</v>
      </c>
      <c r="AT30" s="11" t="s">
        <v>588</v>
      </c>
      <c r="AU30" s="13" t="s">
        <v>588</v>
      </c>
      <c r="AV30" s="13" t="s">
        <v>588</v>
      </c>
      <c r="AW30" s="13" t="s">
        <v>588</v>
      </c>
      <c r="AX30" s="13" t="s">
        <v>588</v>
      </c>
      <c r="AY30" s="13" t="s">
        <v>588</v>
      </c>
      <c r="AZ30" s="13" t="s">
        <v>588</v>
      </c>
      <c r="BA30" s="13" t="s">
        <v>588</v>
      </c>
      <c r="BB30" s="13" t="s">
        <v>588</v>
      </c>
      <c r="BC30" s="13" t="s">
        <v>588</v>
      </c>
      <c r="BD30" s="13" t="s">
        <v>588</v>
      </c>
      <c r="BE30" s="13" t="s">
        <v>588</v>
      </c>
      <c r="BF30" s="13" t="s">
        <v>588</v>
      </c>
      <c r="BG30" s="13" t="s">
        <v>588</v>
      </c>
      <c r="BH30" s="13" t="s">
        <v>588</v>
      </c>
      <c r="BI30" s="13" t="s">
        <v>588</v>
      </c>
      <c r="BJ30" s="13" t="s">
        <v>588</v>
      </c>
      <c r="BK30" s="13" t="s">
        <v>588</v>
      </c>
      <c r="BL30" s="13" t="s">
        <v>588</v>
      </c>
      <c r="BM30" s="13" t="s">
        <v>588</v>
      </c>
      <c r="BN30" s="13" t="s">
        <v>588</v>
      </c>
      <c r="BO30" s="13" t="s">
        <v>588</v>
      </c>
      <c r="BP30" s="13" t="s">
        <v>588</v>
      </c>
      <c r="BQ30" s="13" t="s">
        <v>588</v>
      </c>
      <c r="BR30" s="13" t="s">
        <v>588</v>
      </c>
      <c r="BS30" s="11" t="s">
        <v>41</v>
      </c>
      <c r="BT30" s="11" t="s">
        <v>42</v>
      </c>
      <c r="BU30" s="11" t="s">
        <v>42</v>
      </c>
      <c r="BV30" s="13" t="s">
        <v>588</v>
      </c>
      <c r="BW30" s="13" t="s">
        <v>588</v>
      </c>
      <c r="BX30" s="13" t="s">
        <v>588</v>
      </c>
      <c r="BY30" s="13" t="s">
        <v>588</v>
      </c>
      <c r="BZ30" s="13" t="s">
        <v>588</v>
      </c>
    </row>
    <row r="31" spans="1:78" x14ac:dyDescent="0.25">
      <c r="A31" s="11">
        <v>201819</v>
      </c>
      <c r="B31" s="11" t="s">
        <v>320</v>
      </c>
      <c r="C31" s="11" t="s">
        <v>320</v>
      </c>
      <c r="D31" s="11" t="s">
        <v>321</v>
      </c>
      <c r="E31" s="11" t="s">
        <v>16</v>
      </c>
      <c r="F31" s="11">
        <v>2</v>
      </c>
      <c r="G31" s="11" t="s">
        <v>1337</v>
      </c>
      <c r="H31" s="11" t="s">
        <v>1337</v>
      </c>
      <c r="I31" s="13">
        <v>43420</v>
      </c>
      <c r="J31" s="11">
        <v>16</v>
      </c>
      <c r="K31" s="11">
        <v>11</v>
      </c>
      <c r="L31" s="11">
        <v>2018</v>
      </c>
      <c r="M31" s="11" t="s">
        <v>1423</v>
      </c>
      <c r="N31" s="11" t="s">
        <v>17</v>
      </c>
      <c r="O31" s="11" t="s">
        <v>36</v>
      </c>
      <c r="P31" s="23">
        <v>-38.571190000000001</v>
      </c>
      <c r="Q31" s="23">
        <v>145.50125</v>
      </c>
      <c r="R31" s="11" t="s">
        <v>588</v>
      </c>
      <c r="S31" s="11" t="s">
        <v>588</v>
      </c>
      <c r="T31" s="11">
        <v>2</v>
      </c>
      <c r="U31" s="11">
        <v>3</v>
      </c>
      <c r="V31" s="11" t="s">
        <v>588</v>
      </c>
      <c r="W31" s="11" t="s">
        <v>588</v>
      </c>
      <c r="X31" s="11">
        <v>2</v>
      </c>
      <c r="Y31" s="11">
        <v>2</v>
      </c>
      <c r="Z31" s="11" t="s">
        <v>41</v>
      </c>
      <c r="AA31" s="13">
        <v>43420</v>
      </c>
      <c r="AB31" s="11">
        <v>16</v>
      </c>
      <c r="AC31" s="11">
        <v>11</v>
      </c>
      <c r="AD31" s="11">
        <v>2018</v>
      </c>
      <c r="AE31" s="13" t="s">
        <v>1423</v>
      </c>
      <c r="AF31" s="11" t="s">
        <v>17</v>
      </c>
      <c r="AG31" s="13">
        <v>43430</v>
      </c>
      <c r="AH31" s="11">
        <v>26</v>
      </c>
      <c r="AI31" s="11">
        <v>11</v>
      </c>
      <c r="AJ31" s="11">
        <v>2018</v>
      </c>
      <c r="AK31" s="13" t="s">
        <v>1387</v>
      </c>
      <c r="AL31" s="11" t="s">
        <v>17</v>
      </c>
      <c r="AM31" s="13" t="s">
        <v>20</v>
      </c>
      <c r="AN31" s="11" t="s">
        <v>8</v>
      </c>
      <c r="AO31" s="11" t="s">
        <v>1021</v>
      </c>
      <c r="AP31" s="11" t="s">
        <v>588</v>
      </c>
      <c r="AQ31" s="13" t="s">
        <v>588</v>
      </c>
      <c r="AR31" s="11" t="s">
        <v>588</v>
      </c>
      <c r="AS31" s="11" t="s">
        <v>588</v>
      </c>
      <c r="AT31" s="11" t="s">
        <v>588</v>
      </c>
      <c r="AU31" s="13" t="s">
        <v>588</v>
      </c>
      <c r="AV31" s="13" t="s">
        <v>588</v>
      </c>
      <c r="AW31" s="13" t="s">
        <v>588</v>
      </c>
      <c r="AX31" s="13" t="s">
        <v>588</v>
      </c>
      <c r="AY31" s="13" t="s">
        <v>588</v>
      </c>
      <c r="AZ31" s="13" t="s">
        <v>588</v>
      </c>
      <c r="BA31" s="13" t="s">
        <v>588</v>
      </c>
      <c r="BB31" s="13" t="s">
        <v>588</v>
      </c>
      <c r="BC31" s="13" t="s">
        <v>588</v>
      </c>
      <c r="BD31" s="13" t="s">
        <v>588</v>
      </c>
      <c r="BE31" s="13" t="s">
        <v>588</v>
      </c>
      <c r="BF31" s="13" t="s">
        <v>588</v>
      </c>
      <c r="BG31" s="13" t="s">
        <v>588</v>
      </c>
      <c r="BH31" s="13" t="s">
        <v>588</v>
      </c>
      <c r="BI31" s="13" t="s">
        <v>588</v>
      </c>
      <c r="BJ31" s="13" t="s">
        <v>588</v>
      </c>
      <c r="BK31" s="13" t="s">
        <v>588</v>
      </c>
      <c r="BL31" s="13" t="s">
        <v>588</v>
      </c>
      <c r="BM31" s="13" t="s">
        <v>588</v>
      </c>
      <c r="BN31" s="13" t="s">
        <v>588</v>
      </c>
      <c r="BO31" s="13" t="s">
        <v>588</v>
      </c>
      <c r="BP31" s="13" t="s">
        <v>588</v>
      </c>
      <c r="BQ31" s="13" t="s">
        <v>588</v>
      </c>
      <c r="BR31" s="13" t="s">
        <v>588</v>
      </c>
      <c r="BS31" s="11" t="s">
        <v>41</v>
      </c>
      <c r="BT31" s="11" t="s">
        <v>42</v>
      </c>
      <c r="BU31" s="11" t="s">
        <v>42</v>
      </c>
      <c r="BV31" s="13" t="s">
        <v>588</v>
      </c>
      <c r="BW31" s="13" t="s">
        <v>588</v>
      </c>
      <c r="BX31" s="13" t="s">
        <v>588</v>
      </c>
      <c r="BY31" s="13" t="s">
        <v>588</v>
      </c>
      <c r="BZ31" s="13" t="s">
        <v>588</v>
      </c>
    </row>
    <row r="32" spans="1:78" x14ac:dyDescent="0.25">
      <c r="A32" s="11">
        <v>201819</v>
      </c>
      <c r="B32" s="11" t="s">
        <v>320</v>
      </c>
      <c r="C32" s="11" t="s">
        <v>320</v>
      </c>
      <c r="D32" s="11" t="s">
        <v>321</v>
      </c>
      <c r="E32" s="11" t="s">
        <v>16</v>
      </c>
      <c r="F32" s="11">
        <v>3</v>
      </c>
      <c r="G32" s="11" t="s">
        <v>1338</v>
      </c>
      <c r="H32" s="11" t="s">
        <v>1338</v>
      </c>
      <c r="I32" s="13">
        <v>43468</v>
      </c>
      <c r="J32" s="11">
        <v>3</v>
      </c>
      <c r="K32" s="11">
        <v>1</v>
      </c>
      <c r="L32" s="11">
        <v>2019</v>
      </c>
      <c r="M32" s="11" t="s">
        <v>1382</v>
      </c>
      <c r="N32" s="11" t="s">
        <v>12</v>
      </c>
      <c r="O32" s="11" t="s">
        <v>51</v>
      </c>
      <c r="P32" s="23">
        <v>-38.569890000000001</v>
      </c>
      <c r="Q32" s="23">
        <v>145.49970999999999</v>
      </c>
      <c r="R32" s="11" t="s">
        <v>588</v>
      </c>
      <c r="S32" s="11" t="s">
        <v>588</v>
      </c>
      <c r="T32" s="11">
        <v>3</v>
      </c>
      <c r="U32" s="11">
        <v>3</v>
      </c>
      <c r="V32" s="11" t="s">
        <v>588</v>
      </c>
      <c r="W32" s="11" t="s">
        <v>588</v>
      </c>
      <c r="X32" s="11">
        <v>3</v>
      </c>
      <c r="Y32" s="11">
        <v>3</v>
      </c>
      <c r="Z32" s="11" t="s">
        <v>8</v>
      </c>
      <c r="AA32" s="13">
        <v>43487</v>
      </c>
      <c r="AB32" s="11">
        <v>22</v>
      </c>
      <c r="AC32" s="11">
        <v>1</v>
      </c>
      <c r="AD32" s="11">
        <v>2019</v>
      </c>
      <c r="AE32" s="13" t="s">
        <v>1421</v>
      </c>
      <c r="AF32" s="11" t="s">
        <v>12</v>
      </c>
      <c r="AG32" s="13" t="s">
        <v>588</v>
      </c>
      <c r="AH32" s="11" t="s">
        <v>588</v>
      </c>
      <c r="AI32" s="11" t="s">
        <v>588</v>
      </c>
      <c r="AJ32" s="11" t="s">
        <v>588</v>
      </c>
      <c r="AK32" s="13" t="s">
        <v>588</v>
      </c>
      <c r="AL32" s="11" t="s">
        <v>588</v>
      </c>
      <c r="AM32" s="13" t="s">
        <v>588</v>
      </c>
      <c r="AN32" s="11" t="s">
        <v>588</v>
      </c>
      <c r="AO32" s="13" t="s">
        <v>588</v>
      </c>
      <c r="AP32" s="13">
        <v>43501</v>
      </c>
      <c r="AQ32" s="13" t="s">
        <v>21</v>
      </c>
      <c r="AR32" s="11" t="s">
        <v>195</v>
      </c>
      <c r="AS32" s="11">
        <v>1</v>
      </c>
      <c r="AT32" s="11">
        <v>3</v>
      </c>
      <c r="AU32" s="13" t="s">
        <v>588</v>
      </c>
      <c r="AV32" s="13" t="s">
        <v>588</v>
      </c>
      <c r="AW32" s="13" t="s">
        <v>588</v>
      </c>
      <c r="AX32" s="13" t="s">
        <v>588</v>
      </c>
      <c r="AY32" s="13" t="s">
        <v>588</v>
      </c>
      <c r="AZ32" s="13" t="s">
        <v>588</v>
      </c>
      <c r="BA32" s="13" t="s">
        <v>588</v>
      </c>
      <c r="BB32" s="13" t="s">
        <v>588</v>
      </c>
      <c r="BC32" s="13" t="s">
        <v>588</v>
      </c>
      <c r="BD32" s="13" t="s">
        <v>588</v>
      </c>
      <c r="BE32" s="13" t="s">
        <v>588</v>
      </c>
      <c r="BF32" s="13" t="s">
        <v>588</v>
      </c>
      <c r="BG32" s="13" t="s">
        <v>588</v>
      </c>
      <c r="BH32" s="13" t="s">
        <v>588</v>
      </c>
      <c r="BI32" s="13" t="s">
        <v>588</v>
      </c>
      <c r="BJ32" s="13" t="s">
        <v>588</v>
      </c>
      <c r="BK32" s="13" t="s">
        <v>588</v>
      </c>
      <c r="BL32" s="13" t="s">
        <v>588</v>
      </c>
      <c r="BM32" s="11">
        <v>3</v>
      </c>
      <c r="BN32" s="11">
        <v>3</v>
      </c>
      <c r="BO32" s="13" t="s">
        <v>8</v>
      </c>
      <c r="BP32" s="11">
        <v>1</v>
      </c>
      <c r="BQ32" s="13">
        <v>43528</v>
      </c>
      <c r="BR32" s="13" t="s">
        <v>22</v>
      </c>
      <c r="BS32" s="11" t="s">
        <v>8</v>
      </c>
      <c r="BT32" s="11" t="s">
        <v>13</v>
      </c>
      <c r="BU32" s="11" t="s">
        <v>13</v>
      </c>
      <c r="BV32" s="11" t="s">
        <v>8</v>
      </c>
      <c r="BW32" s="11" t="s">
        <v>13</v>
      </c>
      <c r="BX32" s="11" t="s">
        <v>13</v>
      </c>
      <c r="BY32" s="13" t="s">
        <v>588</v>
      </c>
      <c r="BZ32" s="13" t="s">
        <v>588</v>
      </c>
    </row>
    <row r="33" spans="1:78" x14ac:dyDescent="0.25">
      <c r="A33" s="11">
        <v>201819</v>
      </c>
      <c r="B33" s="11" t="s">
        <v>324</v>
      </c>
      <c r="C33" s="11" t="s">
        <v>324</v>
      </c>
      <c r="D33" s="11" t="s">
        <v>326</v>
      </c>
      <c r="E33" s="11" t="s">
        <v>16</v>
      </c>
      <c r="F33" s="11">
        <v>1</v>
      </c>
      <c r="G33" s="11" t="s">
        <v>1339</v>
      </c>
      <c r="H33" s="11" t="s">
        <v>1339</v>
      </c>
      <c r="I33" s="13" t="s">
        <v>71</v>
      </c>
      <c r="J33" s="13" t="s">
        <v>71</v>
      </c>
      <c r="K33" s="13" t="s">
        <v>71</v>
      </c>
      <c r="L33" s="13" t="s">
        <v>71</v>
      </c>
      <c r="M33" s="13" t="s">
        <v>71</v>
      </c>
      <c r="N33" s="11" t="s">
        <v>12</v>
      </c>
      <c r="O33" s="13" t="s">
        <v>71</v>
      </c>
      <c r="P33" s="23" t="s">
        <v>588</v>
      </c>
      <c r="Q33" s="23" t="s">
        <v>588</v>
      </c>
      <c r="R33" s="11" t="s">
        <v>588</v>
      </c>
      <c r="S33" s="11" t="s">
        <v>588</v>
      </c>
      <c r="T33" s="11">
        <v>3</v>
      </c>
      <c r="U33" s="11">
        <v>3</v>
      </c>
      <c r="V33" s="11" t="s">
        <v>588</v>
      </c>
      <c r="W33" s="11" t="s">
        <v>588</v>
      </c>
      <c r="X33" s="13" t="s">
        <v>71</v>
      </c>
      <c r="Y33" s="13" t="s">
        <v>71</v>
      </c>
      <c r="Z33" s="11" t="s">
        <v>8</v>
      </c>
      <c r="AA33" s="13" t="s">
        <v>71</v>
      </c>
      <c r="AB33" s="13" t="s">
        <v>71</v>
      </c>
      <c r="AC33" s="13" t="s">
        <v>71</v>
      </c>
      <c r="AD33" s="13" t="s">
        <v>71</v>
      </c>
      <c r="AE33" s="13" t="s">
        <v>71</v>
      </c>
      <c r="AF33" s="13" t="s">
        <v>71</v>
      </c>
      <c r="AG33" s="13" t="s">
        <v>71</v>
      </c>
      <c r="AH33" s="11" t="s">
        <v>588</v>
      </c>
      <c r="AI33" s="11" t="s">
        <v>588</v>
      </c>
      <c r="AJ33" s="11" t="s">
        <v>588</v>
      </c>
      <c r="AK33" s="13" t="s">
        <v>588</v>
      </c>
      <c r="AL33" s="11" t="s">
        <v>588</v>
      </c>
      <c r="AM33" s="13" t="s">
        <v>588</v>
      </c>
      <c r="AN33" s="11" t="s">
        <v>588</v>
      </c>
      <c r="AO33" s="13" t="s">
        <v>588</v>
      </c>
      <c r="AP33" s="13">
        <v>43494</v>
      </c>
      <c r="AQ33" s="13" t="s">
        <v>12</v>
      </c>
      <c r="AR33" s="11" t="s">
        <v>195</v>
      </c>
      <c r="AS33" s="11">
        <v>3</v>
      </c>
      <c r="AT33" s="11">
        <v>3</v>
      </c>
      <c r="AU33" s="13">
        <v>43494</v>
      </c>
      <c r="AV33" s="13">
        <v>43515</v>
      </c>
      <c r="AW33" s="13" t="s">
        <v>21</v>
      </c>
      <c r="AX33" s="13" t="s">
        <v>20</v>
      </c>
      <c r="AY33" s="13" t="s">
        <v>41</v>
      </c>
      <c r="AZ33" s="13" t="s">
        <v>41</v>
      </c>
      <c r="BA33" s="13">
        <v>43494</v>
      </c>
      <c r="BB33" s="13">
        <v>43515</v>
      </c>
      <c r="BC33" s="13" t="s">
        <v>21</v>
      </c>
      <c r="BD33" s="13" t="s">
        <v>20</v>
      </c>
      <c r="BE33" s="13" t="s">
        <v>41</v>
      </c>
      <c r="BF33" s="13" t="s">
        <v>41</v>
      </c>
      <c r="BG33" s="13" t="s">
        <v>588</v>
      </c>
      <c r="BH33" s="13" t="s">
        <v>588</v>
      </c>
      <c r="BI33" s="13" t="s">
        <v>588</v>
      </c>
      <c r="BJ33" s="13" t="s">
        <v>588</v>
      </c>
      <c r="BK33" s="13" t="s">
        <v>588</v>
      </c>
      <c r="BL33" s="13" t="s">
        <v>588</v>
      </c>
      <c r="BM33" s="11">
        <v>3</v>
      </c>
      <c r="BN33" s="11">
        <v>3</v>
      </c>
      <c r="BO33" s="13" t="s">
        <v>8</v>
      </c>
      <c r="BP33" s="11">
        <v>1</v>
      </c>
      <c r="BQ33" s="13">
        <v>43528</v>
      </c>
      <c r="BR33" s="13" t="s">
        <v>22</v>
      </c>
      <c r="BS33" s="11" t="s">
        <v>41</v>
      </c>
      <c r="BT33" s="11" t="s">
        <v>42</v>
      </c>
      <c r="BU33" s="11" t="s">
        <v>42</v>
      </c>
      <c r="BV33" s="11" t="s">
        <v>41</v>
      </c>
      <c r="BW33" s="11" t="s">
        <v>42</v>
      </c>
      <c r="BX33" s="11" t="s">
        <v>42</v>
      </c>
      <c r="BY33" s="13" t="s">
        <v>588</v>
      </c>
      <c r="BZ33" s="13" t="s">
        <v>588</v>
      </c>
    </row>
    <row r="34" spans="1:78" x14ac:dyDescent="0.25">
      <c r="A34" s="11">
        <v>201819</v>
      </c>
      <c r="B34" s="11" t="s">
        <v>556</v>
      </c>
      <c r="C34" s="11" t="s">
        <v>556</v>
      </c>
      <c r="D34" s="11" t="s">
        <v>557</v>
      </c>
      <c r="E34" s="11" t="s">
        <v>543</v>
      </c>
      <c r="F34" s="11">
        <v>1</v>
      </c>
      <c r="G34" s="11" t="s">
        <v>1340</v>
      </c>
      <c r="H34" s="11" t="s">
        <v>1340</v>
      </c>
      <c r="I34" s="13">
        <v>43387</v>
      </c>
      <c r="J34" s="11">
        <v>14</v>
      </c>
      <c r="K34" s="11">
        <v>10</v>
      </c>
      <c r="L34" s="11">
        <v>2018</v>
      </c>
      <c r="M34" s="11" t="s">
        <v>1424</v>
      </c>
      <c r="N34" s="11" t="s">
        <v>29</v>
      </c>
      <c r="O34" s="11" t="s">
        <v>51</v>
      </c>
      <c r="P34" s="23" t="s">
        <v>588</v>
      </c>
      <c r="Q34" s="23" t="s">
        <v>588</v>
      </c>
      <c r="R34" s="11" t="s">
        <v>588</v>
      </c>
      <c r="S34" s="11" t="s">
        <v>588</v>
      </c>
      <c r="T34" s="11">
        <v>3</v>
      </c>
      <c r="U34" s="11">
        <v>3</v>
      </c>
      <c r="V34" s="11" t="s">
        <v>588</v>
      </c>
      <c r="W34" s="11" t="s">
        <v>588</v>
      </c>
      <c r="X34" s="11">
        <v>3</v>
      </c>
      <c r="Y34" s="11">
        <v>3</v>
      </c>
      <c r="Z34" s="11" t="s">
        <v>41</v>
      </c>
      <c r="AA34" s="13">
        <v>43392</v>
      </c>
      <c r="AB34" s="11">
        <v>19</v>
      </c>
      <c r="AC34" s="11">
        <v>10</v>
      </c>
      <c r="AD34" s="11">
        <v>2018</v>
      </c>
      <c r="AE34" s="13" t="s">
        <v>1425</v>
      </c>
      <c r="AF34" s="11" t="s">
        <v>29</v>
      </c>
      <c r="AG34" s="13">
        <v>43413</v>
      </c>
      <c r="AH34" s="11">
        <v>9</v>
      </c>
      <c r="AI34" s="11">
        <v>11</v>
      </c>
      <c r="AJ34" s="11">
        <v>2018</v>
      </c>
      <c r="AK34" s="13" t="s">
        <v>1388</v>
      </c>
      <c r="AL34" s="11" t="s">
        <v>17</v>
      </c>
      <c r="AM34" s="13" t="s">
        <v>20</v>
      </c>
      <c r="AN34" s="11" t="s">
        <v>41</v>
      </c>
      <c r="AO34" s="13" t="s">
        <v>41</v>
      </c>
      <c r="AP34" s="11" t="s">
        <v>588</v>
      </c>
      <c r="AQ34" s="13" t="s">
        <v>588</v>
      </c>
      <c r="AR34" s="11" t="s">
        <v>588</v>
      </c>
      <c r="AS34" s="13" t="s">
        <v>588</v>
      </c>
      <c r="AT34" s="11" t="s">
        <v>588</v>
      </c>
      <c r="AU34" s="13" t="s">
        <v>588</v>
      </c>
      <c r="AV34" s="13" t="s">
        <v>588</v>
      </c>
      <c r="AW34" s="13" t="s">
        <v>588</v>
      </c>
      <c r="AX34" s="13" t="s">
        <v>588</v>
      </c>
      <c r="AY34" s="13" t="s">
        <v>588</v>
      </c>
      <c r="AZ34" s="13" t="s">
        <v>588</v>
      </c>
      <c r="BA34" s="13" t="s">
        <v>588</v>
      </c>
      <c r="BB34" s="13" t="s">
        <v>588</v>
      </c>
      <c r="BC34" s="13" t="s">
        <v>588</v>
      </c>
      <c r="BD34" s="13" t="s">
        <v>588</v>
      </c>
      <c r="BE34" s="13" t="s">
        <v>588</v>
      </c>
      <c r="BF34" s="13" t="s">
        <v>588</v>
      </c>
      <c r="BG34" s="13" t="s">
        <v>588</v>
      </c>
      <c r="BH34" s="13" t="s">
        <v>588</v>
      </c>
      <c r="BI34" s="13" t="s">
        <v>588</v>
      </c>
      <c r="BJ34" s="13" t="s">
        <v>588</v>
      </c>
      <c r="BK34" s="13" t="s">
        <v>588</v>
      </c>
      <c r="BL34" s="13" t="s">
        <v>588</v>
      </c>
      <c r="BM34" s="13" t="s">
        <v>588</v>
      </c>
      <c r="BN34" s="13" t="s">
        <v>588</v>
      </c>
      <c r="BO34" s="13" t="s">
        <v>588</v>
      </c>
      <c r="BP34" s="13" t="s">
        <v>588</v>
      </c>
      <c r="BQ34" s="13" t="s">
        <v>588</v>
      </c>
      <c r="BR34" s="13" t="s">
        <v>588</v>
      </c>
      <c r="BS34" s="11" t="s">
        <v>41</v>
      </c>
      <c r="BT34" s="11" t="s">
        <v>42</v>
      </c>
      <c r="BU34" s="11" t="s">
        <v>42</v>
      </c>
      <c r="BV34" s="13" t="s">
        <v>588</v>
      </c>
      <c r="BW34" s="13" t="s">
        <v>588</v>
      </c>
      <c r="BX34" s="13" t="s">
        <v>588</v>
      </c>
      <c r="BY34" s="13" t="s">
        <v>588</v>
      </c>
      <c r="BZ34" s="13" t="s">
        <v>588</v>
      </c>
    </row>
    <row r="35" spans="1:78" x14ac:dyDescent="0.25">
      <c r="A35" s="11">
        <v>201819</v>
      </c>
      <c r="B35" s="11" t="s">
        <v>556</v>
      </c>
      <c r="C35" s="11" t="s">
        <v>556</v>
      </c>
      <c r="D35" s="11" t="s">
        <v>557</v>
      </c>
      <c r="E35" s="11" t="s">
        <v>543</v>
      </c>
      <c r="F35" s="11">
        <v>2</v>
      </c>
      <c r="G35" s="11" t="s">
        <v>1341</v>
      </c>
      <c r="H35" s="11" t="s">
        <v>1426</v>
      </c>
      <c r="I35" s="13">
        <v>43484</v>
      </c>
      <c r="J35" s="11">
        <v>19</v>
      </c>
      <c r="K35" s="11">
        <v>1</v>
      </c>
      <c r="L35" s="11">
        <v>2019</v>
      </c>
      <c r="M35" s="11" t="s">
        <v>1374</v>
      </c>
      <c r="N35" s="11" t="s">
        <v>12</v>
      </c>
      <c r="O35" s="11" t="s">
        <v>10</v>
      </c>
      <c r="P35" s="23">
        <v>-38.535809999999998</v>
      </c>
      <c r="Q35" s="23">
        <v>145.39453</v>
      </c>
      <c r="R35" s="11" t="s">
        <v>588</v>
      </c>
      <c r="S35" s="11" t="s">
        <v>588</v>
      </c>
      <c r="T35" s="11">
        <v>1</v>
      </c>
      <c r="U35" s="11">
        <v>1</v>
      </c>
      <c r="V35" s="11" t="s">
        <v>588</v>
      </c>
      <c r="W35" s="11" t="s">
        <v>588</v>
      </c>
      <c r="X35" s="11">
        <v>3</v>
      </c>
      <c r="Y35" s="11">
        <v>3</v>
      </c>
      <c r="Z35" s="11" t="s">
        <v>41</v>
      </c>
      <c r="AA35" s="13">
        <v>43487</v>
      </c>
      <c r="AB35" s="11">
        <v>22</v>
      </c>
      <c r="AC35" s="11">
        <v>1</v>
      </c>
      <c r="AD35" s="11">
        <v>2019</v>
      </c>
      <c r="AE35" s="13" t="s">
        <v>1421</v>
      </c>
      <c r="AF35" s="11" t="s">
        <v>12</v>
      </c>
      <c r="AG35" s="13">
        <v>43501</v>
      </c>
      <c r="AH35" s="11">
        <v>5</v>
      </c>
      <c r="AI35" s="11">
        <v>2</v>
      </c>
      <c r="AJ35" s="11">
        <v>2019</v>
      </c>
      <c r="AK35" s="13" t="s">
        <v>1389</v>
      </c>
      <c r="AL35" s="11" t="s">
        <v>21</v>
      </c>
      <c r="AM35" s="13" t="s">
        <v>20</v>
      </c>
      <c r="AN35" s="11" t="s">
        <v>41</v>
      </c>
      <c r="AO35" s="13" t="s">
        <v>41</v>
      </c>
      <c r="AP35" s="11" t="s">
        <v>588</v>
      </c>
      <c r="AQ35" s="13" t="s">
        <v>588</v>
      </c>
      <c r="AR35" s="11" t="s">
        <v>588</v>
      </c>
      <c r="AS35" s="13" t="s">
        <v>588</v>
      </c>
      <c r="AT35" s="11" t="s">
        <v>588</v>
      </c>
      <c r="AU35" s="13" t="s">
        <v>588</v>
      </c>
      <c r="AV35" s="13" t="s">
        <v>588</v>
      </c>
      <c r="AW35" s="13" t="s">
        <v>588</v>
      </c>
      <c r="AX35" s="13" t="s">
        <v>588</v>
      </c>
      <c r="AY35" s="13" t="s">
        <v>588</v>
      </c>
      <c r="AZ35" s="13" t="s">
        <v>588</v>
      </c>
      <c r="BA35" s="13" t="s">
        <v>588</v>
      </c>
      <c r="BB35" s="13" t="s">
        <v>588</v>
      </c>
      <c r="BC35" s="13" t="s">
        <v>588</v>
      </c>
      <c r="BD35" s="13" t="s">
        <v>588</v>
      </c>
      <c r="BE35" s="13" t="s">
        <v>588</v>
      </c>
      <c r="BF35" s="13" t="s">
        <v>588</v>
      </c>
      <c r="BG35" s="13" t="s">
        <v>588</v>
      </c>
      <c r="BH35" s="13" t="s">
        <v>588</v>
      </c>
      <c r="BI35" s="13" t="s">
        <v>588</v>
      </c>
      <c r="BJ35" s="13" t="s">
        <v>588</v>
      </c>
      <c r="BK35" s="13" t="s">
        <v>588</v>
      </c>
      <c r="BL35" s="13" t="s">
        <v>588</v>
      </c>
      <c r="BM35" s="13" t="s">
        <v>588</v>
      </c>
      <c r="BN35" s="13" t="s">
        <v>588</v>
      </c>
      <c r="BO35" s="13" t="s">
        <v>588</v>
      </c>
      <c r="BP35" s="13" t="s">
        <v>588</v>
      </c>
      <c r="BQ35" s="13" t="s">
        <v>588</v>
      </c>
      <c r="BR35" s="13" t="s">
        <v>588</v>
      </c>
      <c r="BS35" s="11" t="s">
        <v>41</v>
      </c>
      <c r="BT35" s="11" t="s">
        <v>42</v>
      </c>
      <c r="BU35" s="11" t="s">
        <v>42</v>
      </c>
      <c r="BV35" s="13" t="s">
        <v>588</v>
      </c>
      <c r="BW35" s="13" t="s">
        <v>588</v>
      </c>
      <c r="BX35" s="13" t="s">
        <v>588</v>
      </c>
      <c r="BY35" s="13" t="s">
        <v>588</v>
      </c>
      <c r="BZ35" s="13" t="s">
        <v>588</v>
      </c>
    </row>
    <row r="36" spans="1:78" x14ac:dyDescent="0.25">
      <c r="A36" s="11">
        <v>201819</v>
      </c>
      <c r="B36" s="11" t="s">
        <v>35</v>
      </c>
      <c r="C36" s="11" t="s">
        <v>35</v>
      </c>
      <c r="D36" s="11" t="s">
        <v>85</v>
      </c>
      <c r="E36" s="11" t="s">
        <v>86</v>
      </c>
      <c r="F36" s="11">
        <v>1</v>
      </c>
      <c r="G36" s="11" t="s">
        <v>1342</v>
      </c>
      <c r="H36" s="11" t="s">
        <v>1342</v>
      </c>
      <c r="I36" s="13">
        <v>43413</v>
      </c>
      <c r="J36" s="11">
        <v>9</v>
      </c>
      <c r="K36" s="11">
        <v>11</v>
      </c>
      <c r="L36" s="11">
        <v>2018</v>
      </c>
      <c r="M36" s="11" t="s">
        <v>1388</v>
      </c>
      <c r="N36" s="11" t="s">
        <v>17</v>
      </c>
      <c r="O36" s="11" t="s">
        <v>10</v>
      </c>
      <c r="P36" s="23">
        <v>-38.672297999999998</v>
      </c>
      <c r="Q36" s="23">
        <v>145.63986199999999</v>
      </c>
      <c r="R36" s="11" t="s">
        <v>588</v>
      </c>
      <c r="S36" s="11" t="s">
        <v>588</v>
      </c>
      <c r="T36" s="11">
        <v>3</v>
      </c>
      <c r="U36" s="11">
        <v>3</v>
      </c>
      <c r="V36" s="11" t="s">
        <v>588</v>
      </c>
      <c r="W36" s="11" t="s">
        <v>588</v>
      </c>
      <c r="X36" s="11">
        <v>3</v>
      </c>
      <c r="Y36" s="11">
        <v>3</v>
      </c>
      <c r="Z36" s="11" t="s">
        <v>8</v>
      </c>
      <c r="AA36" s="13">
        <v>43417</v>
      </c>
      <c r="AB36" s="11">
        <v>13</v>
      </c>
      <c r="AC36" s="11">
        <v>11</v>
      </c>
      <c r="AD36" s="11">
        <v>2018</v>
      </c>
      <c r="AE36" s="26">
        <v>13112018</v>
      </c>
      <c r="AF36" s="11" t="s">
        <v>17</v>
      </c>
      <c r="AG36" s="11" t="s">
        <v>588</v>
      </c>
      <c r="AH36" s="11" t="s">
        <v>588</v>
      </c>
      <c r="AI36" s="11" t="s">
        <v>588</v>
      </c>
      <c r="AJ36" s="11" t="s">
        <v>588</v>
      </c>
      <c r="AK36" s="13" t="s">
        <v>588</v>
      </c>
      <c r="AL36" s="11" t="s">
        <v>588</v>
      </c>
      <c r="AM36" s="13" t="s">
        <v>588</v>
      </c>
      <c r="AN36" s="11" t="s">
        <v>588</v>
      </c>
      <c r="AO36" s="13" t="s">
        <v>588</v>
      </c>
      <c r="AP36" s="13">
        <v>43437</v>
      </c>
      <c r="AQ36" s="11" t="s">
        <v>7</v>
      </c>
      <c r="AR36" s="11" t="s">
        <v>195</v>
      </c>
      <c r="AS36" s="11">
        <v>1</v>
      </c>
      <c r="AT36" s="11">
        <v>2</v>
      </c>
      <c r="AU36" s="13">
        <v>43445</v>
      </c>
      <c r="AV36" s="13">
        <v>43451</v>
      </c>
      <c r="AW36" s="13" t="s">
        <v>7</v>
      </c>
      <c r="AX36" s="13" t="s">
        <v>20</v>
      </c>
      <c r="AY36" s="13" t="s">
        <v>41</v>
      </c>
      <c r="AZ36" s="13" t="s">
        <v>41</v>
      </c>
      <c r="BA36" s="13" t="s">
        <v>588</v>
      </c>
      <c r="BB36" s="13" t="s">
        <v>588</v>
      </c>
      <c r="BC36" s="13" t="s">
        <v>588</v>
      </c>
      <c r="BD36" s="13" t="s">
        <v>588</v>
      </c>
      <c r="BE36" s="13" t="s">
        <v>588</v>
      </c>
      <c r="BF36" s="13" t="s">
        <v>588</v>
      </c>
      <c r="BG36" s="13" t="s">
        <v>588</v>
      </c>
      <c r="BH36" s="13" t="s">
        <v>588</v>
      </c>
      <c r="BI36" s="13" t="s">
        <v>588</v>
      </c>
      <c r="BJ36" s="13" t="s">
        <v>588</v>
      </c>
      <c r="BK36" s="13" t="s">
        <v>588</v>
      </c>
      <c r="BL36" s="13" t="s">
        <v>588</v>
      </c>
      <c r="BM36" s="13" t="s">
        <v>588</v>
      </c>
      <c r="BN36" s="13" t="s">
        <v>588</v>
      </c>
      <c r="BO36" s="13" t="s">
        <v>41</v>
      </c>
      <c r="BP36" s="13" t="s">
        <v>588</v>
      </c>
      <c r="BQ36" s="13" t="s">
        <v>588</v>
      </c>
      <c r="BR36" s="13" t="s">
        <v>588</v>
      </c>
      <c r="BS36" s="11" t="s">
        <v>8</v>
      </c>
      <c r="BT36" s="11" t="s">
        <v>9</v>
      </c>
      <c r="BU36" s="11" t="s">
        <v>9</v>
      </c>
      <c r="BV36" s="13" t="s">
        <v>8</v>
      </c>
      <c r="BW36" s="11" t="s">
        <v>9</v>
      </c>
      <c r="BX36" s="11" t="s">
        <v>9</v>
      </c>
      <c r="BY36" s="13" t="s">
        <v>588</v>
      </c>
      <c r="BZ36" s="13" t="s">
        <v>588</v>
      </c>
    </row>
    <row r="37" spans="1:78" x14ac:dyDescent="0.25">
      <c r="A37" s="11">
        <v>201819</v>
      </c>
      <c r="B37" s="11" t="s">
        <v>35</v>
      </c>
      <c r="C37" s="11" t="s">
        <v>35</v>
      </c>
      <c r="D37" s="11" t="s">
        <v>85</v>
      </c>
      <c r="E37" s="11" t="s">
        <v>86</v>
      </c>
      <c r="F37" s="11">
        <v>2</v>
      </c>
      <c r="G37" s="11" t="s">
        <v>1343</v>
      </c>
      <c r="H37" s="11" t="s">
        <v>1343</v>
      </c>
      <c r="I37" s="13">
        <v>43469</v>
      </c>
      <c r="J37" s="11">
        <v>4</v>
      </c>
      <c r="K37" s="11">
        <v>1</v>
      </c>
      <c r="L37" s="11">
        <v>2019</v>
      </c>
      <c r="M37" s="11" t="s">
        <v>1396</v>
      </c>
      <c r="N37" s="11" t="s">
        <v>12</v>
      </c>
      <c r="O37" s="11" t="s">
        <v>10</v>
      </c>
      <c r="P37" s="23">
        <v>-38.671970000000002</v>
      </c>
      <c r="Q37" s="23">
        <v>145.63855000000001</v>
      </c>
      <c r="R37" s="11" t="s">
        <v>588</v>
      </c>
      <c r="S37" s="11" t="s">
        <v>588</v>
      </c>
      <c r="T37" s="11">
        <v>1</v>
      </c>
      <c r="U37" s="11">
        <v>3</v>
      </c>
      <c r="V37" s="11" t="s">
        <v>588</v>
      </c>
      <c r="W37" s="11" t="s">
        <v>588</v>
      </c>
      <c r="X37" s="11">
        <v>5</v>
      </c>
      <c r="Y37" s="11">
        <v>5</v>
      </c>
      <c r="Z37" s="11" t="s">
        <v>8</v>
      </c>
      <c r="AA37" s="13">
        <v>43493</v>
      </c>
      <c r="AB37" s="11">
        <v>28</v>
      </c>
      <c r="AC37" s="11">
        <v>1</v>
      </c>
      <c r="AD37" s="11">
        <v>2019</v>
      </c>
      <c r="AE37" s="13" t="s">
        <v>1427</v>
      </c>
      <c r="AF37" s="11" t="s">
        <v>12</v>
      </c>
      <c r="AG37" s="13" t="s">
        <v>588</v>
      </c>
      <c r="AH37" s="11" t="s">
        <v>588</v>
      </c>
      <c r="AI37" s="11" t="s">
        <v>588</v>
      </c>
      <c r="AJ37" s="11" t="s">
        <v>588</v>
      </c>
      <c r="AK37" s="13" t="s">
        <v>588</v>
      </c>
      <c r="AL37" s="11" t="s">
        <v>588</v>
      </c>
      <c r="AM37" s="13" t="s">
        <v>588</v>
      </c>
      <c r="AN37" s="11" t="s">
        <v>588</v>
      </c>
      <c r="AO37" s="13" t="s">
        <v>588</v>
      </c>
      <c r="AP37" s="13">
        <v>43500</v>
      </c>
      <c r="AQ37" s="13" t="s">
        <v>21</v>
      </c>
      <c r="AR37" s="11" t="s">
        <v>195</v>
      </c>
      <c r="AS37" s="11">
        <v>1</v>
      </c>
      <c r="AT37" s="11">
        <v>1</v>
      </c>
      <c r="AU37" s="13">
        <v>43504</v>
      </c>
      <c r="AV37" s="13">
        <v>43508</v>
      </c>
      <c r="AW37" s="13" t="s">
        <v>21</v>
      </c>
      <c r="AX37" s="13" t="s">
        <v>20</v>
      </c>
      <c r="AY37" s="13" t="s">
        <v>41</v>
      </c>
      <c r="AZ37" s="13" t="s">
        <v>41</v>
      </c>
      <c r="BA37" s="13" t="s">
        <v>588</v>
      </c>
      <c r="BB37" s="13" t="s">
        <v>588</v>
      </c>
      <c r="BC37" s="13" t="s">
        <v>588</v>
      </c>
      <c r="BD37" s="13" t="s">
        <v>588</v>
      </c>
      <c r="BE37" s="13" t="s">
        <v>588</v>
      </c>
      <c r="BF37" s="13" t="s">
        <v>588</v>
      </c>
      <c r="BG37" s="13" t="s">
        <v>588</v>
      </c>
      <c r="BH37" s="13" t="s">
        <v>588</v>
      </c>
      <c r="BI37" s="13" t="s">
        <v>588</v>
      </c>
      <c r="BJ37" s="13" t="s">
        <v>588</v>
      </c>
      <c r="BK37" s="13" t="s">
        <v>588</v>
      </c>
      <c r="BL37" s="13" t="s">
        <v>588</v>
      </c>
      <c r="BM37" s="13" t="s">
        <v>588</v>
      </c>
      <c r="BN37" s="13" t="s">
        <v>588</v>
      </c>
      <c r="BO37" s="13" t="s">
        <v>41</v>
      </c>
      <c r="BP37" s="13" t="s">
        <v>588</v>
      </c>
      <c r="BQ37" s="13" t="s">
        <v>588</v>
      </c>
      <c r="BR37" s="13" t="s">
        <v>588</v>
      </c>
      <c r="BS37" s="11" t="s">
        <v>8</v>
      </c>
      <c r="BT37" s="11" t="s">
        <v>9</v>
      </c>
      <c r="BU37" s="11" t="s">
        <v>9</v>
      </c>
      <c r="BV37" s="11" t="s">
        <v>8</v>
      </c>
      <c r="BW37" s="11" t="s">
        <v>9</v>
      </c>
      <c r="BX37" s="11" t="s">
        <v>9</v>
      </c>
      <c r="BY37" s="13" t="s">
        <v>588</v>
      </c>
      <c r="BZ37" s="13" t="s">
        <v>588</v>
      </c>
    </row>
    <row r="38" spans="1:78" x14ac:dyDescent="0.25">
      <c r="A38" s="11">
        <v>201819</v>
      </c>
      <c r="B38" s="11" t="s">
        <v>566</v>
      </c>
      <c r="C38" t="s">
        <v>402</v>
      </c>
      <c r="D38" s="11" t="s">
        <v>567</v>
      </c>
      <c r="E38" s="11" t="s">
        <v>568</v>
      </c>
      <c r="F38" s="11">
        <v>1</v>
      </c>
      <c r="G38" s="11" t="s">
        <v>1344</v>
      </c>
      <c r="H38" s="11" t="s">
        <v>1344</v>
      </c>
      <c r="I38" s="13">
        <v>43405</v>
      </c>
      <c r="J38" s="11">
        <v>1</v>
      </c>
      <c r="K38" s="11">
        <v>11</v>
      </c>
      <c r="L38" s="11">
        <v>2018</v>
      </c>
      <c r="M38" s="11" t="s">
        <v>1428</v>
      </c>
      <c r="N38" s="11" t="s">
        <v>17</v>
      </c>
      <c r="O38" s="11" t="s">
        <v>19</v>
      </c>
      <c r="P38" s="23" t="s">
        <v>588</v>
      </c>
      <c r="Q38" s="23" t="s">
        <v>588</v>
      </c>
      <c r="R38" s="11" t="s">
        <v>588</v>
      </c>
      <c r="S38" s="11" t="s">
        <v>588</v>
      </c>
      <c r="T38" s="11">
        <v>3</v>
      </c>
      <c r="U38" s="11">
        <v>3</v>
      </c>
      <c r="V38" s="13">
        <v>43409</v>
      </c>
      <c r="W38" s="11" t="s">
        <v>223</v>
      </c>
      <c r="X38" s="11">
        <v>5</v>
      </c>
      <c r="Y38" s="11">
        <v>5</v>
      </c>
      <c r="Z38" s="11" t="s">
        <v>8</v>
      </c>
      <c r="AA38" s="13">
        <v>43434</v>
      </c>
      <c r="AB38" s="11">
        <v>30</v>
      </c>
      <c r="AC38" s="11">
        <v>11</v>
      </c>
      <c r="AD38" s="11">
        <v>2018</v>
      </c>
      <c r="AE38" s="13" t="s">
        <v>1429</v>
      </c>
      <c r="AF38" s="11" t="s">
        <v>17</v>
      </c>
      <c r="AG38" s="13" t="s">
        <v>588</v>
      </c>
      <c r="AH38" s="11" t="s">
        <v>588</v>
      </c>
      <c r="AI38" s="11" t="s">
        <v>588</v>
      </c>
      <c r="AJ38" s="11" t="s">
        <v>588</v>
      </c>
      <c r="AK38" s="13" t="s">
        <v>588</v>
      </c>
      <c r="AL38" s="11" t="s">
        <v>588</v>
      </c>
      <c r="AM38" s="13" t="s">
        <v>588</v>
      </c>
      <c r="AN38" s="11" t="s">
        <v>588</v>
      </c>
      <c r="AO38" s="13" t="s">
        <v>588</v>
      </c>
      <c r="AP38" s="13">
        <v>43436</v>
      </c>
      <c r="AQ38" s="13" t="s">
        <v>7</v>
      </c>
      <c r="AR38" s="11" t="s">
        <v>195</v>
      </c>
      <c r="AS38" s="11">
        <v>3</v>
      </c>
      <c r="AT38" s="11">
        <v>3</v>
      </c>
      <c r="AU38" s="13">
        <v>43436</v>
      </c>
      <c r="AV38" s="13">
        <v>43444</v>
      </c>
      <c r="AW38" s="13" t="s">
        <v>7</v>
      </c>
      <c r="AX38" s="13" t="s">
        <v>20</v>
      </c>
      <c r="AY38" s="13" t="s">
        <v>41</v>
      </c>
      <c r="AZ38" s="13" t="s">
        <v>41</v>
      </c>
      <c r="BA38" s="13">
        <v>43436</v>
      </c>
      <c r="BB38" s="13">
        <v>43444</v>
      </c>
      <c r="BC38" s="13" t="s">
        <v>7</v>
      </c>
      <c r="BD38" s="13" t="s">
        <v>20</v>
      </c>
      <c r="BE38" s="13" t="s">
        <v>41</v>
      </c>
      <c r="BF38" s="13" t="s">
        <v>41</v>
      </c>
      <c r="BG38" s="13">
        <v>43444</v>
      </c>
      <c r="BH38" s="13">
        <v>43453</v>
      </c>
      <c r="BI38" s="13" t="s">
        <v>7</v>
      </c>
      <c r="BJ38" s="13" t="s">
        <v>20</v>
      </c>
      <c r="BK38" s="13" t="s">
        <v>41</v>
      </c>
      <c r="BL38" s="13" t="s">
        <v>41</v>
      </c>
      <c r="BM38" s="11">
        <v>2</v>
      </c>
      <c r="BN38" s="11">
        <v>2</v>
      </c>
      <c r="BO38" s="13" t="s">
        <v>41</v>
      </c>
      <c r="BP38" s="13" t="s">
        <v>588</v>
      </c>
      <c r="BQ38" s="13" t="s">
        <v>588</v>
      </c>
      <c r="BR38" s="13" t="s">
        <v>588</v>
      </c>
      <c r="BS38" s="11" t="s">
        <v>8</v>
      </c>
      <c r="BT38" s="11" t="s">
        <v>9</v>
      </c>
      <c r="BU38" s="11" t="s">
        <v>9</v>
      </c>
      <c r="BV38" s="13" t="s">
        <v>8</v>
      </c>
      <c r="BW38" s="11" t="s">
        <v>9</v>
      </c>
      <c r="BX38" s="11" t="s">
        <v>9</v>
      </c>
      <c r="BY38" s="13" t="s">
        <v>588</v>
      </c>
      <c r="BZ38" s="13" t="s">
        <v>588</v>
      </c>
    </row>
    <row r="39" spans="1:78" x14ac:dyDescent="0.25">
      <c r="A39" s="11">
        <v>201819</v>
      </c>
      <c r="B39" s="11" t="s">
        <v>566</v>
      </c>
      <c r="C39" t="s">
        <v>402</v>
      </c>
      <c r="D39" s="11" t="s">
        <v>567</v>
      </c>
      <c r="E39" s="11" t="s">
        <v>302</v>
      </c>
      <c r="F39" s="11">
        <v>2</v>
      </c>
      <c r="G39" s="11" t="s">
        <v>1345</v>
      </c>
      <c r="H39" s="11" t="s">
        <v>1345</v>
      </c>
      <c r="I39" s="13">
        <v>43461</v>
      </c>
      <c r="J39" s="11">
        <v>27</v>
      </c>
      <c r="K39" s="11">
        <v>12</v>
      </c>
      <c r="L39" s="11">
        <v>2018</v>
      </c>
      <c r="M39" s="11" t="s">
        <v>1405</v>
      </c>
      <c r="N39" s="11" t="s">
        <v>7</v>
      </c>
      <c r="O39" s="11" t="s">
        <v>19</v>
      </c>
      <c r="P39" s="23">
        <v>-38.555591999999997</v>
      </c>
      <c r="Q39" s="23">
        <v>145.48374899999999</v>
      </c>
      <c r="R39" s="11" t="s">
        <v>588</v>
      </c>
      <c r="S39" s="11" t="s">
        <v>588</v>
      </c>
      <c r="T39" s="11">
        <v>3</v>
      </c>
      <c r="U39" s="11">
        <v>3</v>
      </c>
      <c r="V39" s="13">
        <v>43464</v>
      </c>
      <c r="W39" s="11" t="s">
        <v>223</v>
      </c>
      <c r="X39" s="11">
        <v>6</v>
      </c>
      <c r="Y39" s="11">
        <v>6</v>
      </c>
      <c r="Z39" s="11" t="s">
        <v>8</v>
      </c>
      <c r="AA39" s="13">
        <v>43487</v>
      </c>
      <c r="AB39" s="11">
        <v>22</v>
      </c>
      <c r="AC39" s="11">
        <v>1</v>
      </c>
      <c r="AD39" s="11">
        <v>2019</v>
      </c>
      <c r="AE39" s="13" t="s">
        <v>1421</v>
      </c>
      <c r="AF39" s="11" t="s">
        <v>12</v>
      </c>
      <c r="AG39" s="13" t="s">
        <v>588</v>
      </c>
      <c r="AH39" s="11" t="s">
        <v>588</v>
      </c>
      <c r="AI39" s="11" t="s">
        <v>588</v>
      </c>
      <c r="AJ39" s="11" t="s">
        <v>588</v>
      </c>
      <c r="AK39" s="13" t="s">
        <v>588</v>
      </c>
      <c r="AL39" s="11" t="s">
        <v>588</v>
      </c>
      <c r="AM39" s="13" t="s">
        <v>588</v>
      </c>
      <c r="AN39" s="11" t="s">
        <v>588</v>
      </c>
      <c r="AO39" s="13" t="s">
        <v>588</v>
      </c>
      <c r="AP39" s="13">
        <v>43492</v>
      </c>
      <c r="AQ39" s="13" t="s">
        <v>12</v>
      </c>
      <c r="AR39" s="11" t="s">
        <v>195</v>
      </c>
      <c r="AS39" s="11">
        <v>2</v>
      </c>
      <c r="AT39" s="11">
        <v>3</v>
      </c>
      <c r="AU39" s="13">
        <v>43504</v>
      </c>
      <c r="AV39" s="13">
        <v>43515</v>
      </c>
      <c r="AW39" s="13" t="s">
        <v>21</v>
      </c>
      <c r="AX39" s="13" t="s">
        <v>20</v>
      </c>
      <c r="AY39" s="13" t="s">
        <v>41</v>
      </c>
      <c r="AZ39" s="13" t="s">
        <v>41</v>
      </c>
      <c r="BA39" s="13">
        <v>43504</v>
      </c>
      <c r="BB39" s="13">
        <v>43515</v>
      </c>
      <c r="BC39" s="13" t="s">
        <v>21</v>
      </c>
      <c r="BD39" s="13" t="s">
        <v>20</v>
      </c>
      <c r="BE39" s="13" t="s">
        <v>41</v>
      </c>
      <c r="BF39" s="13" t="s">
        <v>41</v>
      </c>
      <c r="BG39" s="13" t="s">
        <v>588</v>
      </c>
      <c r="BH39" s="13" t="s">
        <v>588</v>
      </c>
      <c r="BI39" s="13" t="s">
        <v>588</v>
      </c>
      <c r="BJ39" s="13" t="s">
        <v>588</v>
      </c>
      <c r="BK39" s="13" t="s">
        <v>588</v>
      </c>
      <c r="BL39" s="13" t="s">
        <v>588</v>
      </c>
      <c r="BM39" s="11">
        <v>3</v>
      </c>
      <c r="BN39" s="11">
        <v>3</v>
      </c>
      <c r="BO39" s="13" t="s">
        <v>41</v>
      </c>
      <c r="BP39" s="13" t="s">
        <v>588</v>
      </c>
      <c r="BQ39" s="13" t="s">
        <v>588</v>
      </c>
      <c r="BR39" s="13" t="s">
        <v>588</v>
      </c>
      <c r="BS39" s="11" t="s">
        <v>8</v>
      </c>
      <c r="BT39" s="11" t="s">
        <v>96</v>
      </c>
      <c r="BU39" s="11" t="s">
        <v>96</v>
      </c>
      <c r="BV39" s="13" t="s">
        <v>8</v>
      </c>
      <c r="BW39" s="11" t="s">
        <v>96</v>
      </c>
      <c r="BX39" s="11" t="s">
        <v>96</v>
      </c>
      <c r="BY39" s="13" t="s">
        <v>588</v>
      </c>
      <c r="BZ39" s="13" t="s">
        <v>588</v>
      </c>
    </row>
    <row r="40" spans="1:78" x14ac:dyDescent="0.25">
      <c r="A40" s="11">
        <v>201819</v>
      </c>
      <c r="B40" s="11" t="s">
        <v>76</v>
      </c>
      <c r="C40" s="11" t="s">
        <v>76</v>
      </c>
      <c r="D40" s="11" t="s">
        <v>30</v>
      </c>
      <c r="E40" s="11" t="s">
        <v>16</v>
      </c>
      <c r="F40" s="11">
        <v>1</v>
      </c>
      <c r="G40" s="11" t="s">
        <v>1346</v>
      </c>
      <c r="H40" s="11" t="s">
        <v>1346</v>
      </c>
      <c r="I40" s="13">
        <v>43424</v>
      </c>
      <c r="J40" s="11">
        <v>20</v>
      </c>
      <c r="K40" s="11">
        <v>11</v>
      </c>
      <c r="L40" s="11">
        <v>2018</v>
      </c>
      <c r="M40" s="11" t="s">
        <v>1430</v>
      </c>
      <c r="N40" s="11" t="s">
        <v>17</v>
      </c>
      <c r="O40" s="11" t="s">
        <v>10</v>
      </c>
      <c r="P40" s="23" t="s">
        <v>588</v>
      </c>
      <c r="Q40" s="23" t="s">
        <v>588</v>
      </c>
      <c r="R40" s="11" t="s">
        <v>588</v>
      </c>
      <c r="S40" s="11" t="s">
        <v>588</v>
      </c>
      <c r="T40" s="11">
        <v>2</v>
      </c>
      <c r="U40" s="11">
        <v>3</v>
      </c>
      <c r="V40" s="13">
        <v>43428</v>
      </c>
      <c r="W40" s="11" t="s">
        <v>223</v>
      </c>
      <c r="X40" s="11">
        <v>5</v>
      </c>
      <c r="Y40" s="11">
        <v>5</v>
      </c>
      <c r="Z40" s="11" t="s">
        <v>41</v>
      </c>
      <c r="AA40" s="13">
        <v>43427</v>
      </c>
      <c r="AB40" s="11">
        <v>23</v>
      </c>
      <c r="AC40" s="11">
        <v>11</v>
      </c>
      <c r="AD40" s="11">
        <v>2018</v>
      </c>
      <c r="AE40" s="27">
        <v>23112018</v>
      </c>
      <c r="AF40" s="11" t="s">
        <v>7</v>
      </c>
      <c r="AG40" s="13">
        <v>43437</v>
      </c>
      <c r="AH40" s="11">
        <v>3</v>
      </c>
      <c r="AI40" s="11">
        <v>12</v>
      </c>
      <c r="AJ40" s="11">
        <v>2018</v>
      </c>
      <c r="AK40" s="11" t="s">
        <v>1410</v>
      </c>
      <c r="AL40" s="11" t="s">
        <v>7</v>
      </c>
      <c r="AM40" s="11" t="s">
        <v>11</v>
      </c>
      <c r="AN40" s="11" t="s">
        <v>8</v>
      </c>
      <c r="AO40" s="13" t="s">
        <v>41</v>
      </c>
      <c r="AP40" s="11" t="s">
        <v>588</v>
      </c>
      <c r="AQ40" s="13" t="s">
        <v>588</v>
      </c>
      <c r="AR40" s="11" t="s">
        <v>588</v>
      </c>
      <c r="AS40" s="13" t="s">
        <v>588</v>
      </c>
      <c r="AT40" s="11" t="s">
        <v>588</v>
      </c>
      <c r="AU40" s="13" t="s">
        <v>588</v>
      </c>
      <c r="AV40" s="11" t="s">
        <v>588</v>
      </c>
      <c r="AW40" s="13" t="s">
        <v>588</v>
      </c>
      <c r="AX40" s="13" t="s">
        <v>588</v>
      </c>
      <c r="AY40" s="13" t="s">
        <v>588</v>
      </c>
      <c r="AZ40" s="13" t="s">
        <v>588</v>
      </c>
      <c r="BA40" s="13" t="s">
        <v>588</v>
      </c>
      <c r="BB40" s="13" t="s">
        <v>588</v>
      </c>
      <c r="BC40" s="13" t="s">
        <v>588</v>
      </c>
      <c r="BD40" s="13" t="s">
        <v>588</v>
      </c>
      <c r="BE40" s="13" t="s">
        <v>588</v>
      </c>
      <c r="BF40" s="13" t="s">
        <v>588</v>
      </c>
      <c r="BG40" s="13" t="s">
        <v>588</v>
      </c>
      <c r="BH40" s="13" t="s">
        <v>588</v>
      </c>
      <c r="BI40" s="13" t="s">
        <v>588</v>
      </c>
      <c r="BJ40" s="13" t="s">
        <v>588</v>
      </c>
      <c r="BK40" s="13" t="s">
        <v>588</v>
      </c>
      <c r="BL40" s="13" t="s">
        <v>588</v>
      </c>
      <c r="BM40" s="13" t="s">
        <v>588</v>
      </c>
      <c r="BN40" s="13" t="s">
        <v>588</v>
      </c>
      <c r="BO40" s="13" t="s">
        <v>588</v>
      </c>
      <c r="BP40" s="13" t="s">
        <v>588</v>
      </c>
      <c r="BQ40" s="13" t="s">
        <v>588</v>
      </c>
      <c r="BR40" s="13" t="s">
        <v>588</v>
      </c>
      <c r="BS40" s="11" t="s">
        <v>8</v>
      </c>
      <c r="BT40" s="11" t="s">
        <v>9</v>
      </c>
      <c r="BU40" s="11" t="s">
        <v>9</v>
      </c>
      <c r="BV40" s="13" t="s">
        <v>588</v>
      </c>
      <c r="BW40" s="13" t="s">
        <v>588</v>
      </c>
      <c r="BX40" s="13" t="s">
        <v>588</v>
      </c>
      <c r="BY40" s="13" t="s">
        <v>588</v>
      </c>
      <c r="BZ40" s="13" t="s">
        <v>588</v>
      </c>
    </row>
    <row r="41" spans="1:78" x14ac:dyDescent="0.25">
      <c r="A41" s="11">
        <v>201820</v>
      </c>
      <c r="B41" s="11" t="s">
        <v>76</v>
      </c>
      <c r="C41" s="11" t="s">
        <v>76</v>
      </c>
      <c r="D41" s="11" t="s">
        <v>30</v>
      </c>
      <c r="E41" s="11" t="s">
        <v>16</v>
      </c>
      <c r="F41" s="11">
        <v>2</v>
      </c>
      <c r="G41" s="11" t="s">
        <v>1346</v>
      </c>
      <c r="H41" s="11" t="s">
        <v>1347</v>
      </c>
      <c r="I41" s="1">
        <v>43437</v>
      </c>
      <c r="J41" s="11">
        <v>3</v>
      </c>
      <c r="K41" s="11">
        <v>12</v>
      </c>
      <c r="L41" s="11">
        <v>2018</v>
      </c>
      <c r="M41" s="11" t="s">
        <v>1410</v>
      </c>
      <c r="N41" s="11" t="s">
        <v>7</v>
      </c>
      <c r="O41" s="11" t="s">
        <v>10</v>
      </c>
      <c r="P41" s="23" t="s">
        <v>588</v>
      </c>
      <c r="Q41" s="23" t="s">
        <v>588</v>
      </c>
      <c r="R41" s="11" t="s">
        <v>588</v>
      </c>
      <c r="S41" s="11" t="s">
        <v>588</v>
      </c>
      <c r="T41" s="11">
        <v>1</v>
      </c>
      <c r="U41" s="11">
        <v>3</v>
      </c>
      <c r="V41" s="11" t="s">
        <v>588</v>
      </c>
      <c r="W41" s="11" t="s">
        <v>588</v>
      </c>
      <c r="X41" s="11">
        <v>2</v>
      </c>
      <c r="Y41" s="11">
        <v>2</v>
      </c>
      <c r="Z41" s="11" t="s">
        <v>41</v>
      </c>
      <c r="AA41" s="13">
        <v>43437</v>
      </c>
      <c r="AB41" s="11">
        <v>3</v>
      </c>
      <c r="AC41" s="11">
        <v>12</v>
      </c>
      <c r="AD41" s="11">
        <v>2018</v>
      </c>
      <c r="AE41" s="11" t="s">
        <v>1410</v>
      </c>
      <c r="AF41" s="11" t="s">
        <v>7</v>
      </c>
      <c r="AG41" s="13">
        <v>43450</v>
      </c>
      <c r="AH41" s="11">
        <v>16</v>
      </c>
      <c r="AI41" s="11">
        <v>12</v>
      </c>
      <c r="AJ41" s="11">
        <v>2018</v>
      </c>
      <c r="AK41" s="13" t="s">
        <v>1390</v>
      </c>
      <c r="AL41" s="11" t="s">
        <v>7</v>
      </c>
      <c r="AM41" s="11" t="s">
        <v>25</v>
      </c>
      <c r="AN41" s="11" t="s">
        <v>8</v>
      </c>
      <c r="AO41" s="13" t="s">
        <v>41</v>
      </c>
      <c r="AP41" s="11" t="s">
        <v>588</v>
      </c>
      <c r="AQ41" s="13" t="s">
        <v>588</v>
      </c>
      <c r="AR41" s="11" t="s">
        <v>588</v>
      </c>
      <c r="AS41" s="13" t="s">
        <v>588</v>
      </c>
      <c r="AT41" s="11" t="s">
        <v>588</v>
      </c>
      <c r="AU41" s="13" t="s">
        <v>588</v>
      </c>
      <c r="AV41" s="11" t="s">
        <v>588</v>
      </c>
      <c r="AW41" s="13" t="s">
        <v>588</v>
      </c>
      <c r="AX41" s="13" t="s">
        <v>588</v>
      </c>
      <c r="AY41" s="13" t="s">
        <v>588</v>
      </c>
      <c r="AZ41" s="13" t="s">
        <v>588</v>
      </c>
      <c r="BA41" s="13" t="s">
        <v>588</v>
      </c>
      <c r="BB41" s="13" t="s">
        <v>588</v>
      </c>
      <c r="BC41" s="13" t="s">
        <v>588</v>
      </c>
      <c r="BD41" s="13" t="s">
        <v>588</v>
      </c>
      <c r="BE41" s="13" t="s">
        <v>588</v>
      </c>
      <c r="BF41" s="13" t="s">
        <v>588</v>
      </c>
      <c r="BG41" s="13" t="s">
        <v>588</v>
      </c>
      <c r="BH41" s="13" t="s">
        <v>588</v>
      </c>
      <c r="BI41" s="13" t="s">
        <v>588</v>
      </c>
      <c r="BJ41" s="13" t="s">
        <v>588</v>
      </c>
      <c r="BK41" s="13" t="s">
        <v>588</v>
      </c>
      <c r="BL41" s="13" t="s">
        <v>588</v>
      </c>
      <c r="BM41" s="13" t="s">
        <v>588</v>
      </c>
      <c r="BN41" s="13" t="s">
        <v>588</v>
      </c>
      <c r="BO41" s="13" t="s">
        <v>588</v>
      </c>
      <c r="BP41" s="13" t="s">
        <v>588</v>
      </c>
      <c r="BQ41" s="13" t="s">
        <v>588</v>
      </c>
      <c r="BR41" s="13" t="s">
        <v>588</v>
      </c>
      <c r="BS41" t="s">
        <v>8</v>
      </c>
      <c r="BT41" t="s">
        <v>9</v>
      </c>
      <c r="BU41" t="s">
        <v>9</v>
      </c>
      <c r="BV41" s="13" t="s">
        <v>588</v>
      </c>
      <c r="BW41" s="13" t="s">
        <v>588</v>
      </c>
      <c r="BX41" s="13" t="s">
        <v>588</v>
      </c>
      <c r="BY41" s="13" t="s">
        <v>588</v>
      </c>
      <c r="BZ41" s="13" t="s">
        <v>588</v>
      </c>
    </row>
    <row r="42" spans="1:78" x14ac:dyDescent="0.25">
      <c r="A42" s="11">
        <v>201819</v>
      </c>
      <c r="B42" s="11" t="s">
        <v>76</v>
      </c>
      <c r="C42" s="11" t="s">
        <v>76</v>
      </c>
      <c r="D42" s="11" t="s">
        <v>30</v>
      </c>
      <c r="E42" s="11" t="s">
        <v>16</v>
      </c>
      <c r="F42" s="11">
        <v>3</v>
      </c>
      <c r="G42" s="11" t="s">
        <v>1347</v>
      </c>
      <c r="H42" s="11" t="s">
        <v>1622</v>
      </c>
      <c r="I42" s="13">
        <v>43450</v>
      </c>
      <c r="J42" s="11">
        <v>16</v>
      </c>
      <c r="K42" s="11">
        <v>12</v>
      </c>
      <c r="L42" s="11">
        <v>2018</v>
      </c>
      <c r="M42" s="11" t="s">
        <v>1390</v>
      </c>
      <c r="N42" s="11" t="s">
        <v>7</v>
      </c>
      <c r="O42" s="11" t="s">
        <v>10</v>
      </c>
      <c r="P42" s="23" t="s">
        <v>588</v>
      </c>
      <c r="Q42" s="23" t="s">
        <v>588</v>
      </c>
      <c r="R42" s="11" t="s">
        <v>588</v>
      </c>
      <c r="S42" s="11" t="s">
        <v>588</v>
      </c>
      <c r="T42" s="11">
        <v>2</v>
      </c>
      <c r="U42" s="11">
        <v>3</v>
      </c>
      <c r="V42" s="11" t="s">
        <v>588</v>
      </c>
      <c r="W42" s="11" t="s">
        <v>588</v>
      </c>
      <c r="X42" s="11">
        <v>5</v>
      </c>
      <c r="Y42" s="11">
        <v>5</v>
      </c>
      <c r="Z42" s="11" t="s">
        <v>8</v>
      </c>
      <c r="AA42" s="13">
        <v>43473</v>
      </c>
      <c r="AB42" s="11">
        <v>8</v>
      </c>
      <c r="AC42" s="11">
        <v>1</v>
      </c>
      <c r="AD42" s="11">
        <v>2019</v>
      </c>
      <c r="AE42" s="13" t="s">
        <v>1400</v>
      </c>
      <c r="AF42" s="11" t="s">
        <v>12</v>
      </c>
      <c r="AG42" s="13" t="s">
        <v>588</v>
      </c>
      <c r="AH42" s="11" t="s">
        <v>588</v>
      </c>
      <c r="AI42" s="11" t="s">
        <v>588</v>
      </c>
      <c r="AJ42" s="11" t="s">
        <v>588</v>
      </c>
      <c r="AK42" s="13" t="s">
        <v>588</v>
      </c>
      <c r="AL42" s="11" t="s">
        <v>588</v>
      </c>
      <c r="AM42" s="13" t="s">
        <v>588</v>
      </c>
      <c r="AN42" s="11" t="s">
        <v>588</v>
      </c>
      <c r="AO42" s="13" t="s">
        <v>588</v>
      </c>
      <c r="AP42" s="13">
        <v>43481</v>
      </c>
      <c r="AQ42" s="13" t="s">
        <v>12</v>
      </c>
      <c r="AR42" s="11" t="s">
        <v>194</v>
      </c>
      <c r="AS42" s="11">
        <v>1</v>
      </c>
      <c r="AT42" s="11">
        <v>1</v>
      </c>
      <c r="AU42" s="13">
        <v>43493</v>
      </c>
      <c r="AV42" s="13">
        <v>43497</v>
      </c>
      <c r="AW42" s="13" t="s">
        <v>21</v>
      </c>
      <c r="AX42" s="13" t="s">
        <v>20</v>
      </c>
      <c r="AY42" s="13" t="s">
        <v>41</v>
      </c>
      <c r="AZ42" s="13" t="s">
        <v>41</v>
      </c>
      <c r="BA42" s="13" t="s">
        <v>588</v>
      </c>
      <c r="BB42" s="13" t="s">
        <v>588</v>
      </c>
      <c r="BC42" s="13" t="s">
        <v>588</v>
      </c>
      <c r="BD42" s="13" t="s">
        <v>588</v>
      </c>
      <c r="BE42" s="13" t="s">
        <v>588</v>
      </c>
      <c r="BF42" s="13" t="s">
        <v>588</v>
      </c>
      <c r="BG42" s="13" t="s">
        <v>588</v>
      </c>
      <c r="BH42" s="13" t="s">
        <v>588</v>
      </c>
      <c r="BI42" s="13" t="s">
        <v>588</v>
      </c>
      <c r="BJ42" s="13" t="s">
        <v>588</v>
      </c>
      <c r="BK42" s="13" t="s">
        <v>588</v>
      </c>
      <c r="BL42" s="13" t="s">
        <v>588</v>
      </c>
      <c r="BM42" s="11">
        <v>4</v>
      </c>
      <c r="BN42" s="11">
        <v>4</v>
      </c>
      <c r="BO42" s="13" t="s">
        <v>41</v>
      </c>
      <c r="BP42" s="13" t="s">
        <v>588</v>
      </c>
      <c r="BQ42" s="13" t="s">
        <v>588</v>
      </c>
      <c r="BR42" s="13" t="s">
        <v>588</v>
      </c>
      <c r="BS42" s="11" t="s">
        <v>8</v>
      </c>
      <c r="BT42" s="11" t="s">
        <v>9</v>
      </c>
      <c r="BU42" s="11" t="s">
        <v>9</v>
      </c>
      <c r="BV42" s="13" t="s">
        <v>8</v>
      </c>
      <c r="BW42" s="11" t="s">
        <v>9</v>
      </c>
      <c r="BX42" s="11" t="s">
        <v>9</v>
      </c>
      <c r="BY42" s="13" t="s">
        <v>1348</v>
      </c>
      <c r="BZ42" s="13" t="s">
        <v>588</v>
      </c>
    </row>
    <row r="43" spans="1:78" x14ac:dyDescent="0.25">
      <c r="A43" s="11">
        <v>201819</v>
      </c>
      <c r="B43" s="11" t="s">
        <v>37</v>
      </c>
      <c r="C43" s="11" t="s">
        <v>37</v>
      </c>
      <c r="D43" s="11" t="s">
        <v>38</v>
      </c>
      <c r="E43" s="11" t="s">
        <v>16</v>
      </c>
      <c r="F43" s="11">
        <v>1</v>
      </c>
      <c r="G43" s="11" t="s">
        <v>1349</v>
      </c>
      <c r="H43" s="11" t="s">
        <v>1349</v>
      </c>
      <c r="I43" s="13">
        <v>43468</v>
      </c>
      <c r="J43" s="11">
        <v>3</v>
      </c>
      <c r="K43" s="11">
        <v>1</v>
      </c>
      <c r="L43" s="11">
        <v>2019</v>
      </c>
      <c r="M43" s="11" t="s">
        <v>1382</v>
      </c>
      <c r="N43" s="11" t="s">
        <v>12</v>
      </c>
      <c r="O43" s="11" t="s">
        <v>10</v>
      </c>
      <c r="P43" s="23">
        <v>-38.656111000000003</v>
      </c>
      <c r="Q43" s="23">
        <v>-145.57416599999999</v>
      </c>
      <c r="R43" s="11" t="s">
        <v>588</v>
      </c>
      <c r="S43" s="11" t="s">
        <v>588</v>
      </c>
      <c r="T43" s="11">
        <v>2</v>
      </c>
      <c r="U43" s="11">
        <v>2</v>
      </c>
      <c r="V43" s="13">
        <v>43470</v>
      </c>
      <c r="W43" s="11" t="s">
        <v>223</v>
      </c>
      <c r="X43" s="11">
        <v>5</v>
      </c>
      <c r="Y43" s="11">
        <v>5</v>
      </c>
      <c r="Z43" s="11" t="s">
        <v>41</v>
      </c>
      <c r="AA43" s="13">
        <v>43475</v>
      </c>
      <c r="AB43" s="11">
        <v>10</v>
      </c>
      <c r="AC43" s="11">
        <v>1</v>
      </c>
      <c r="AD43" s="11">
        <v>2019</v>
      </c>
      <c r="AE43" s="13" t="s">
        <v>1378</v>
      </c>
      <c r="AF43" s="11" t="s">
        <v>12</v>
      </c>
      <c r="AG43" s="13">
        <v>43482</v>
      </c>
      <c r="AH43" s="11">
        <v>17</v>
      </c>
      <c r="AI43" s="11">
        <v>1</v>
      </c>
      <c r="AJ43" s="11">
        <v>2019</v>
      </c>
      <c r="AK43" s="13" t="s">
        <v>1391</v>
      </c>
      <c r="AL43" s="11" t="s">
        <v>12</v>
      </c>
      <c r="AM43" s="13" t="s">
        <v>20</v>
      </c>
      <c r="AN43" s="11" t="s">
        <v>8</v>
      </c>
      <c r="AO43" s="11" t="s">
        <v>11</v>
      </c>
      <c r="AP43" s="11" t="s">
        <v>588</v>
      </c>
      <c r="AQ43" s="13" t="s">
        <v>588</v>
      </c>
      <c r="AR43" s="11" t="s">
        <v>588</v>
      </c>
      <c r="AS43" s="13" t="s">
        <v>588</v>
      </c>
      <c r="AT43" s="11" t="s">
        <v>588</v>
      </c>
      <c r="AU43" s="13" t="s">
        <v>588</v>
      </c>
      <c r="AV43" s="11" t="s">
        <v>588</v>
      </c>
      <c r="AW43" s="13" t="s">
        <v>588</v>
      </c>
      <c r="AX43" s="13" t="s">
        <v>588</v>
      </c>
      <c r="AY43" s="13" t="s">
        <v>588</v>
      </c>
      <c r="AZ43" s="13" t="s">
        <v>588</v>
      </c>
      <c r="BA43" s="13" t="s">
        <v>588</v>
      </c>
      <c r="BB43" s="13" t="s">
        <v>588</v>
      </c>
      <c r="BC43" s="13" t="s">
        <v>588</v>
      </c>
      <c r="BD43" s="13" t="s">
        <v>588</v>
      </c>
      <c r="BE43" s="13" t="s">
        <v>588</v>
      </c>
      <c r="BF43" s="13" t="s">
        <v>588</v>
      </c>
      <c r="BG43" s="13" t="s">
        <v>588</v>
      </c>
      <c r="BH43" s="13" t="s">
        <v>588</v>
      </c>
      <c r="BI43" s="13" t="s">
        <v>588</v>
      </c>
      <c r="BJ43" s="13" t="s">
        <v>588</v>
      </c>
      <c r="BK43" s="13" t="s">
        <v>588</v>
      </c>
      <c r="BL43" s="13" t="s">
        <v>588</v>
      </c>
      <c r="BM43" s="13" t="s">
        <v>588</v>
      </c>
      <c r="BN43" s="13" t="s">
        <v>588</v>
      </c>
      <c r="BO43" s="13" t="s">
        <v>588</v>
      </c>
      <c r="BP43" s="13" t="s">
        <v>588</v>
      </c>
      <c r="BQ43" s="13" t="s">
        <v>588</v>
      </c>
      <c r="BR43" s="13" t="s">
        <v>588</v>
      </c>
      <c r="BS43" s="11" t="s">
        <v>8</v>
      </c>
      <c r="BT43" s="11" t="s">
        <v>13</v>
      </c>
      <c r="BU43" s="11" t="s">
        <v>13</v>
      </c>
      <c r="BV43" s="13" t="s">
        <v>588</v>
      </c>
      <c r="BW43" s="13" t="s">
        <v>588</v>
      </c>
      <c r="BX43" s="13" t="s">
        <v>588</v>
      </c>
      <c r="BY43" s="13" t="s">
        <v>588</v>
      </c>
      <c r="BZ43" s="13" t="s">
        <v>588</v>
      </c>
    </row>
    <row r="44" spans="1:78" x14ac:dyDescent="0.25">
      <c r="A44" s="11">
        <v>201819</v>
      </c>
      <c r="B44" s="11" t="s">
        <v>37</v>
      </c>
      <c r="C44" s="11" t="s">
        <v>37</v>
      </c>
      <c r="D44" s="11" t="s">
        <v>38</v>
      </c>
      <c r="E44" s="11" t="s">
        <v>16</v>
      </c>
      <c r="F44" s="11">
        <v>2</v>
      </c>
      <c r="G44" s="11" t="s">
        <v>1350</v>
      </c>
      <c r="H44" s="11" t="s">
        <v>1350</v>
      </c>
      <c r="I44" s="13">
        <v>43486</v>
      </c>
      <c r="J44" s="11">
        <v>21</v>
      </c>
      <c r="K44" s="11">
        <v>1</v>
      </c>
      <c r="L44" s="11">
        <v>2019</v>
      </c>
      <c r="M44" s="11" t="s">
        <v>1406</v>
      </c>
      <c r="N44" s="11" t="s">
        <v>12</v>
      </c>
      <c r="O44" s="11" t="s">
        <v>10</v>
      </c>
      <c r="P44" s="23">
        <v>-38.656666000000001</v>
      </c>
      <c r="Q44" s="23">
        <v>-145.57472200000001</v>
      </c>
      <c r="R44" s="11" t="s">
        <v>588</v>
      </c>
      <c r="S44" s="11" t="s">
        <v>588</v>
      </c>
      <c r="T44" s="11">
        <v>2</v>
      </c>
      <c r="U44" s="11">
        <v>3</v>
      </c>
      <c r="V44" s="11" t="s">
        <v>588</v>
      </c>
      <c r="W44" s="11" t="s">
        <v>588</v>
      </c>
      <c r="X44" s="11">
        <v>2</v>
      </c>
      <c r="Y44" s="11">
        <v>2</v>
      </c>
      <c r="Z44" s="11" t="s">
        <v>41</v>
      </c>
      <c r="AA44" s="13">
        <v>43486</v>
      </c>
      <c r="AB44" s="11">
        <v>21</v>
      </c>
      <c r="AC44" s="11">
        <v>1</v>
      </c>
      <c r="AD44" s="11">
        <v>2019</v>
      </c>
      <c r="AE44" s="13" t="s">
        <v>1406</v>
      </c>
      <c r="AF44" s="11" t="s">
        <v>12</v>
      </c>
      <c r="AG44" s="13">
        <v>43512</v>
      </c>
      <c r="AH44" s="11">
        <v>16</v>
      </c>
      <c r="AI44" s="11">
        <v>2</v>
      </c>
      <c r="AJ44" s="11">
        <v>2019</v>
      </c>
      <c r="AK44" s="13" t="s">
        <v>1392</v>
      </c>
      <c r="AL44" s="11" t="s">
        <v>21</v>
      </c>
      <c r="AM44" s="13" t="s">
        <v>20</v>
      </c>
      <c r="AN44" s="11" t="s">
        <v>41</v>
      </c>
      <c r="AO44" s="13" t="s">
        <v>41</v>
      </c>
      <c r="AP44" s="11" t="s">
        <v>588</v>
      </c>
      <c r="AQ44" s="13" t="s">
        <v>588</v>
      </c>
      <c r="AR44" s="13" t="s">
        <v>588</v>
      </c>
      <c r="AS44" s="13" t="s">
        <v>588</v>
      </c>
      <c r="AT44" s="13" t="s">
        <v>588</v>
      </c>
      <c r="AU44" s="13" t="s">
        <v>588</v>
      </c>
      <c r="AV44" s="13" t="s">
        <v>588</v>
      </c>
      <c r="AW44" s="13" t="s">
        <v>588</v>
      </c>
      <c r="AX44" s="13" t="s">
        <v>588</v>
      </c>
      <c r="AY44" s="13" t="s">
        <v>588</v>
      </c>
      <c r="AZ44" s="13" t="s">
        <v>588</v>
      </c>
      <c r="BA44" s="13" t="s">
        <v>588</v>
      </c>
      <c r="BB44" s="13" t="s">
        <v>588</v>
      </c>
      <c r="BC44" s="13" t="s">
        <v>588</v>
      </c>
      <c r="BD44" s="13" t="s">
        <v>588</v>
      </c>
      <c r="BE44" s="13" t="s">
        <v>588</v>
      </c>
      <c r="BF44" s="13" t="s">
        <v>588</v>
      </c>
      <c r="BG44" s="13" t="s">
        <v>588</v>
      </c>
      <c r="BH44" s="13" t="s">
        <v>588</v>
      </c>
      <c r="BI44" s="13" t="s">
        <v>588</v>
      </c>
      <c r="BJ44" s="13" t="s">
        <v>588</v>
      </c>
      <c r="BK44" s="13" t="s">
        <v>588</v>
      </c>
      <c r="BL44" s="13" t="s">
        <v>588</v>
      </c>
      <c r="BM44" s="13" t="s">
        <v>588</v>
      </c>
      <c r="BN44" s="13" t="s">
        <v>588</v>
      </c>
      <c r="BO44" s="13" t="s">
        <v>588</v>
      </c>
      <c r="BP44" s="13" t="s">
        <v>588</v>
      </c>
      <c r="BQ44" s="13" t="s">
        <v>588</v>
      </c>
      <c r="BR44" s="13" t="s">
        <v>588</v>
      </c>
      <c r="BS44" s="11" t="s">
        <v>8</v>
      </c>
      <c r="BT44" s="11" t="s">
        <v>13</v>
      </c>
      <c r="BU44" s="11" t="s">
        <v>13</v>
      </c>
      <c r="BV44" s="13" t="s">
        <v>588</v>
      </c>
      <c r="BW44" s="13" t="s">
        <v>588</v>
      </c>
      <c r="BX44" s="13" t="s">
        <v>588</v>
      </c>
      <c r="BY44" s="13" t="s">
        <v>588</v>
      </c>
      <c r="BZ44" s="13" t="s">
        <v>588</v>
      </c>
    </row>
    <row r="45" spans="1:78" x14ac:dyDescent="0.25">
      <c r="A45" s="11">
        <v>201819</v>
      </c>
      <c r="B45" s="11" t="s">
        <v>563</v>
      </c>
      <c r="C45" s="11" t="s">
        <v>563</v>
      </c>
      <c r="D45" s="11" t="s">
        <v>248</v>
      </c>
      <c r="E45" s="11" t="s">
        <v>353</v>
      </c>
      <c r="F45" s="11">
        <v>1</v>
      </c>
      <c r="G45" s="11" t="s">
        <v>1351</v>
      </c>
      <c r="H45" s="11" t="s">
        <v>1351</v>
      </c>
      <c r="I45" s="13">
        <v>43439</v>
      </c>
      <c r="J45" s="11">
        <v>5</v>
      </c>
      <c r="K45" s="11">
        <v>12</v>
      </c>
      <c r="L45" s="11">
        <v>2018</v>
      </c>
      <c r="M45" s="11" t="s">
        <v>1377</v>
      </c>
      <c r="N45" s="11" t="s">
        <v>7</v>
      </c>
      <c r="O45" s="11" t="s">
        <v>10</v>
      </c>
      <c r="P45" s="23">
        <v>-38.600209999999997</v>
      </c>
      <c r="Q45" s="23">
        <v>145.52829</v>
      </c>
      <c r="R45" s="11" t="s">
        <v>588</v>
      </c>
      <c r="S45" s="11" t="s">
        <v>588</v>
      </c>
      <c r="T45" s="11">
        <v>1</v>
      </c>
      <c r="U45" s="11">
        <v>3</v>
      </c>
      <c r="V45" s="11" t="s">
        <v>588</v>
      </c>
      <c r="W45" s="11" t="s">
        <v>588</v>
      </c>
      <c r="X45" s="11">
        <v>2</v>
      </c>
      <c r="Y45" s="11">
        <v>2</v>
      </c>
      <c r="Z45" s="11" t="s">
        <v>41</v>
      </c>
      <c r="AA45" s="13">
        <v>43439</v>
      </c>
      <c r="AB45" s="11">
        <v>5</v>
      </c>
      <c r="AC45" s="11">
        <v>12</v>
      </c>
      <c r="AD45" s="11">
        <v>2018</v>
      </c>
      <c r="AE45" s="13" t="s">
        <v>1377</v>
      </c>
      <c r="AF45" s="11" t="s">
        <v>7</v>
      </c>
      <c r="AG45" s="13">
        <v>43451</v>
      </c>
      <c r="AH45" s="11">
        <v>17</v>
      </c>
      <c r="AI45" s="11">
        <v>12</v>
      </c>
      <c r="AJ45" s="11">
        <v>2018</v>
      </c>
      <c r="AK45" s="13" t="s">
        <v>1381</v>
      </c>
      <c r="AL45" s="11" t="s">
        <v>7</v>
      </c>
      <c r="AM45" s="13" t="s">
        <v>20</v>
      </c>
      <c r="AN45" s="11" t="s">
        <v>41</v>
      </c>
      <c r="AO45" s="13" t="s">
        <v>41</v>
      </c>
      <c r="AP45" s="11" t="s">
        <v>588</v>
      </c>
      <c r="AQ45" s="13" t="s">
        <v>588</v>
      </c>
      <c r="AR45" s="11" t="s">
        <v>588</v>
      </c>
      <c r="AS45" s="13" t="s">
        <v>588</v>
      </c>
      <c r="AT45" s="11" t="s">
        <v>588</v>
      </c>
      <c r="AU45" s="13" t="s">
        <v>588</v>
      </c>
      <c r="AV45" s="11" t="s">
        <v>588</v>
      </c>
      <c r="AW45" s="13" t="s">
        <v>588</v>
      </c>
      <c r="AX45" s="13" t="s">
        <v>588</v>
      </c>
      <c r="AY45" s="13" t="s">
        <v>588</v>
      </c>
      <c r="AZ45" s="13" t="s">
        <v>588</v>
      </c>
      <c r="BA45" s="13" t="s">
        <v>588</v>
      </c>
      <c r="BB45" s="13" t="s">
        <v>588</v>
      </c>
      <c r="BC45" s="13" t="s">
        <v>588</v>
      </c>
      <c r="BD45" s="13" t="s">
        <v>588</v>
      </c>
      <c r="BE45" s="13" t="s">
        <v>588</v>
      </c>
      <c r="BF45" s="13" t="s">
        <v>588</v>
      </c>
      <c r="BG45" s="13" t="s">
        <v>588</v>
      </c>
      <c r="BH45" s="13" t="s">
        <v>588</v>
      </c>
      <c r="BI45" s="13" t="s">
        <v>588</v>
      </c>
      <c r="BJ45" s="13" t="s">
        <v>588</v>
      </c>
      <c r="BK45" s="13" t="s">
        <v>588</v>
      </c>
      <c r="BL45" s="13" t="s">
        <v>588</v>
      </c>
      <c r="BM45" s="13" t="s">
        <v>588</v>
      </c>
      <c r="BN45" s="13" t="s">
        <v>588</v>
      </c>
      <c r="BO45" s="13" t="s">
        <v>588</v>
      </c>
      <c r="BP45" s="13" t="s">
        <v>588</v>
      </c>
      <c r="BQ45" s="13" t="s">
        <v>588</v>
      </c>
      <c r="BR45" s="13" t="s">
        <v>588</v>
      </c>
      <c r="BS45" s="11" t="s">
        <v>8</v>
      </c>
      <c r="BT45" s="11" t="s">
        <v>13</v>
      </c>
      <c r="BU45" s="11" t="s">
        <v>13</v>
      </c>
      <c r="BV45" s="13" t="s">
        <v>588</v>
      </c>
      <c r="BW45" s="13" t="s">
        <v>588</v>
      </c>
      <c r="BX45" s="13" t="s">
        <v>588</v>
      </c>
      <c r="BY45" s="13" t="s">
        <v>588</v>
      </c>
      <c r="BZ45" s="13" t="s">
        <v>588</v>
      </c>
    </row>
    <row r="46" spans="1:78" x14ac:dyDescent="0.25">
      <c r="A46" s="11">
        <v>201819</v>
      </c>
      <c r="B46" s="11" t="s">
        <v>563</v>
      </c>
      <c r="C46" s="11" t="s">
        <v>563</v>
      </c>
      <c r="D46" s="11" t="s">
        <v>248</v>
      </c>
      <c r="E46" s="11" t="s">
        <v>353</v>
      </c>
      <c r="F46" s="11">
        <v>2</v>
      </c>
      <c r="G46" s="11" t="s">
        <v>1352</v>
      </c>
      <c r="H46" s="11" t="s">
        <v>1352</v>
      </c>
      <c r="I46" s="13">
        <v>43473</v>
      </c>
      <c r="J46" s="11">
        <v>8</v>
      </c>
      <c r="K46" s="11">
        <v>1</v>
      </c>
      <c r="L46" s="11">
        <v>2019</v>
      </c>
      <c r="M46" s="11" t="s">
        <v>1400</v>
      </c>
      <c r="N46" s="11" t="s">
        <v>12</v>
      </c>
      <c r="O46" s="11" t="s">
        <v>10</v>
      </c>
      <c r="P46" s="23">
        <v>-38.599339999999998</v>
      </c>
      <c r="Q46" s="23">
        <v>145.52736999999999</v>
      </c>
      <c r="R46" s="11" t="s">
        <v>588</v>
      </c>
      <c r="S46" s="11" t="s">
        <v>588</v>
      </c>
      <c r="T46" s="11">
        <v>2</v>
      </c>
      <c r="U46" s="11">
        <v>3</v>
      </c>
      <c r="V46" s="11" t="s">
        <v>588</v>
      </c>
      <c r="W46" s="11" t="s">
        <v>588</v>
      </c>
      <c r="X46" s="11">
        <v>1</v>
      </c>
      <c r="Y46" s="11">
        <v>1</v>
      </c>
      <c r="Z46" s="11" t="s">
        <v>8</v>
      </c>
      <c r="AA46" s="13">
        <v>43473</v>
      </c>
      <c r="AB46" s="11">
        <v>8</v>
      </c>
      <c r="AC46" s="11">
        <v>1</v>
      </c>
      <c r="AD46" s="11">
        <v>2019</v>
      </c>
      <c r="AE46" s="13" t="s">
        <v>1400</v>
      </c>
      <c r="AF46" s="11" t="s">
        <v>12</v>
      </c>
      <c r="AG46" s="13" t="s">
        <v>588</v>
      </c>
      <c r="AH46" s="11" t="s">
        <v>588</v>
      </c>
      <c r="AI46" s="11" t="s">
        <v>588</v>
      </c>
      <c r="AJ46" s="11" t="s">
        <v>588</v>
      </c>
      <c r="AK46" s="13" t="s">
        <v>588</v>
      </c>
      <c r="AL46" s="11" t="s">
        <v>588</v>
      </c>
      <c r="AM46" s="13" t="s">
        <v>588</v>
      </c>
      <c r="AN46" s="11" t="s">
        <v>588</v>
      </c>
      <c r="AO46" s="13" t="s">
        <v>588</v>
      </c>
      <c r="AP46" s="13">
        <v>43494</v>
      </c>
      <c r="AQ46" s="13" t="s">
        <v>12</v>
      </c>
      <c r="AR46" s="11" t="s">
        <v>195</v>
      </c>
      <c r="AS46" s="11">
        <v>2</v>
      </c>
      <c r="AT46" s="11">
        <v>2</v>
      </c>
      <c r="AU46" s="13">
        <v>43500</v>
      </c>
      <c r="AV46" s="13">
        <v>43507</v>
      </c>
      <c r="AW46" s="13" t="s">
        <v>21</v>
      </c>
      <c r="AX46" s="13" t="s">
        <v>20</v>
      </c>
      <c r="AY46" s="13" t="s">
        <v>41</v>
      </c>
      <c r="AZ46" s="13" t="s">
        <v>41</v>
      </c>
      <c r="BA46" s="13">
        <v>43500</v>
      </c>
      <c r="BB46" s="13">
        <v>43507</v>
      </c>
      <c r="BC46" s="13" t="s">
        <v>21</v>
      </c>
      <c r="BD46" s="13" t="s">
        <v>20</v>
      </c>
      <c r="BE46" s="13" t="s">
        <v>41</v>
      </c>
      <c r="BF46" s="13" t="s">
        <v>41</v>
      </c>
      <c r="BG46" s="13" t="s">
        <v>588</v>
      </c>
      <c r="BH46" s="13" t="s">
        <v>588</v>
      </c>
      <c r="BI46" s="13" t="s">
        <v>588</v>
      </c>
      <c r="BJ46" s="13" t="s">
        <v>588</v>
      </c>
      <c r="BK46" s="13" t="s">
        <v>588</v>
      </c>
      <c r="BL46" s="13" t="s">
        <v>588</v>
      </c>
      <c r="BM46" s="11">
        <v>2</v>
      </c>
      <c r="BN46" s="11">
        <v>2</v>
      </c>
      <c r="BO46" s="13" t="s">
        <v>41</v>
      </c>
      <c r="BP46" s="13" t="s">
        <v>588</v>
      </c>
      <c r="BQ46" s="13" t="s">
        <v>588</v>
      </c>
      <c r="BR46" s="13" t="s">
        <v>588</v>
      </c>
      <c r="BS46" s="11" t="s">
        <v>8</v>
      </c>
      <c r="BT46" s="11" t="s">
        <v>52</v>
      </c>
      <c r="BU46" s="11" t="s">
        <v>52</v>
      </c>
      <c r="BV46" s="13" t="s">
        <v>8</v>
      </c>
      <c r="BW46" s="11" t="s">
        <v>52</v>
      </c>
      <c r="BX46" s="11" t="s">
        <v>52</v>
      </c>
      <c r="BY46" s="13" t="s">
        <v>588</v>
      </c>
      <c r="BZ46" s="13" t="s">
        <v>588</v>
      </c>
    </row>
    <row r="47" spans="1:78" x14ac:dyDescent="0.25">
      <c r="A47" s="11">
        <v>201819</v>
      </c>
      <c r="B47" s="11" t="s">
        <v>359</v>
      </c>
      <c r="C47" s="11" t="s">
        <v>359</v>
      </c>
      <c r="D47" s="11" t="s">
        <v>360</v>
      </c>
      <c r="E47" s="11" t="s">
        <v>440</v>
      </c>
      <c r="F47" s="11">
        <v>1</v>
      </c>
      <c r="G47" s="11" t="s">
        <v>1353</v>
      </c>
      <c r="H47" s="11" t="s">
        <v>1353</v>
      </c>
      <c r="I47" s="13">
        <v>43451</v>
      </c>
      <c r="J47" s="11">
        <v>17</v>
      </c>
      <c r="K47" s="11">
        <v>12</v>
      </c>
      <c r="L47" s="11">
        <v>2018</v>
      </c>
      <c r="M47" s="11" t="s">
        <v>1381</v>
      </c>
      <c r="N47" s="11" t="s">
        <v>7</v>
      </c>
      <c r="O47" s="11" t="s">
        <v>10</v>
      </c>
      <c r="P47" s="23">
        <v>-38.592440000000003</v>
      </c>
      <c r="Q47" s="23">
        <v>145.52029999999999</v>
      </c>
      <c r="R47" s="11" t="s">
        <v>588</v>
      </c>
      <c r="S47" s="11" t="s">
        <v>588</v>
      </c>
      <c r="T47" s="11">
        <v>1</v>
      </c>
      <c r="U47" s="11">
        <v>3</v>
      </c>
      <c r="V47" s="11" t="s">
        <v>588</v>
      </c>
      <c r="W47" s="11" t="s">
        <v>588</v>
      </c>
      <c r="X47" s="11">
        <v>2</v>
      </c>
      <c r="Y47" s="11">
        <v>2</v>
      </c>
      <c r="Z47" s="11" t="s">
        <v>41</v>
      </c>
      <c r="AA47" s="13">
        <v>43451</v>
      </c>
      <c r="AB47" s="11">
        <v>17</v>
      </c>
      <c r="AC47" s="11">
        <v>12</v>
      </c>
      <c r="AD47" s="11">
        <v>2018</v>
      </c>
      <c r="AE47" s="13" t="s">
        <v>1381</v>
      </c>
      <c r="AF47" s="11" t="s">
        <v>7</v>
      </c>
      <c r="AG47" s="13">
        <v>43453</v>
      </c>
      <c r="AH47" s="11">
        <v>19</v>
      </c>
      <c r="AI47" s="11">
        <v>12</v>
      </c>
      <c r="AJ47" s="11">
        <v>2018</v>
      </c>
      <c r="AK47" s="13" t="s">
        <v>1393</v>
      </c>
      <c r="AL47" s="11" t="s">
        <v>7</v>
      </c>
      <c r="AM47" s="13" t="s">
        <v>20</v>
      </c>
      <c r="AN47" s="11" t="s">
        <v>8</v>
      </c>
      <c r="AO47" s="11" t="s">
        <v>1354</v>
      </c>
      <c r="AP47" s="11" t="s">
        <v>588</v>
      </c>
      <c r="AQ47" s="13" t="s">
        <v>588</v>
      </c>
      <c r="AR47" s="11" t="s">
        <v>588</v>
      </c>
      <c r="AS47" s="13" t="s">
        <v>588</v>
      </c>
      <c r="AT47" s="11" t="s">
        <v>588</v>
      </c>
      <c r="AU47" s="13" t="s">
        <v>588</v>
      </c>
      <c r="AV47" s="11" t="s">
        <v>588</v>
      </c>
      <c r="AW47" s="13" t="s">
        <v>588</v>
      </c>
      <c r="AX47" s="13" t="s">
        <v>588</v>
      </c>
      <c r="AY47" s="13" t="s">
        <v>588</v>
      </c>
      <c r="AZ47" s="13" t="s">
        <v>588</v>
      </c>
      <c r="BA47" s="13" t="s">
        <v>588</v>
      </c>
      <c r="BB47" s="13" t="s">
        <v>588</v>
      </c>
      <c r="BC47" s="13" t="s">
        <v>588</v>
      </c>
      <c r="BD47" s="13" t="s">
        <v>588</v>
      </c>
      <c r="BE47" s="13" t="s">
        <v>588</v>
      </c>
      <c r="BF47" s="13" t="s">
        <v>588</v>
      </c>
      <c r="BG47" s="13" t="s">
        <v>588</v>
      </c>
      <c r="BH47" s="13" t="s">
        <v>588</v>
      </c>
      <c r="BI47" s="13" t="s">
        <v>588</v>
      </c>
      <c r="BJ47" s="13" t="s">
        <v>588</v>
      </c>
      <c r="BK47" s="13" t="s">
        <v>588</v>
      </c>
      <c r="BL47" s="13" t="s">
        <v>588</v>
      </c>
      <c r="BM47" s="13" t="s">
        <v>588</v>
      </c>
      <c r="BN47" s="13" t="s">
        <v>588</v>
      </c>
      <c r="BO47" s="13" t="s">
        <v>588</v>
      </c>
      <c r="BP47" s="13" t="s">
        <v>588</v>
      </c>
      <c r="BQ47" s="13" t="s">
        <v>588</v>
      </c>
      <c r="BR47" s="13" t="s">
        <v>588</v>
      </c>
      <c r="BS47" s="11" t="s">
        <v>8</v>
      </c>
      <c r="BT47" s="11" t="s">
        <v>13</v>
      </c>
      <c r="BU47" s="11" t="s">
        <v>13</v>
      </c>
      <c r="BV47" s="13" t="s">
        <v>588</v>
      </c>
      <c r="BW47" s="13" t="s">
        <v>588</v>
      </c>
      <c r="BX47" s="13" t="s">
        <v>588</v>
      </c>
      <c r="BY47" s="13" t="s">
        <v>588</v>
      </c>
      <c r="BZ47" s="13" t="s">
        <v>588</v>
      </c>
    </row>
    <row r="48" spans="1:78" x14ac:dyDescent="0.25">
      <c r="A48" s="11">
        <v>201819</v>
      </c>
      <c r="B48" s="11" t="s">
        <v>359</v>
      </c>
      <c r="C48" s="11" t="s">
        <v>359</v>
      </c>
      <c r="D48" s="11" t="s">
        <v>360</v>
      </c>
      <c r="E48" s="11" t="s">
        <v>440</v>
      </c>
      <c r="F48" s="11">
        <v>2</v>
      </c>
      <c r="G48" s="11" t="s">
        <v>1355</v>
      </c>
      <c r="H48" s="11" t="s">
        <v>1355</v>
      </c>
      <c r="I48" s="13">
        <v>43470</v>
      </c>
      <c r="J48" s="11">
        <v>5</v>
      </c>
      <c r="K48" s="11">
        <v>1</v>
      </c>
      <c r="L48" s="11">
        <v>2019</v>
      </c>
      <c r="M48" s="11" t="s">
        <v>1385</v>
      </c>
      <c r="N48" s="11" t="s">
        <v>12</v>
      </c>
      <c r="O48" s="11" t="s">
        <v>51</v>
      </c>
      <c r="P48" s="23">
        <v>-38.590249999999997</v>
      </c>
      <c r="Q48" s="23">
        <v>145.51811000000001</v>
      </c>
      <c r="R48" s="11" t="s">
        <v>588</v>
      </c>
      <c r="S48" s="11" t="s">
        <v>588</v>
      </c>
      <c r="T48" s="11">
        <v>1</v>
      </c>
      <c r="U48" s="11">
        <v>3</v>
      </c>
      <c r="V48" s="11" t="s">
        <v>588</v>
      </c>
      <c r="W48" s="11" t="s">
        <v>588</v>
      </c>
      <c r="X48" s="11">
        <v>3</v>
      </c>
      <c r="Y48" s="11">
        <v>3</v>
      </c>
      <c r="Z48" s="11" t="s">
        <v>41</v>
      </c>
      <c r="AA48" s="13">
        <v>43487</v>
      </c>
      <c r="AB48" s="11">
        <v>22</v>
      </c>
      <c r="AC48" s="11">
        <v>1</v>
      </c>
      <c r="AD48" s="11">
        <v>2019</v>
      </c>
      <c r="AE48" s="13" t="s">
        <v>1421</v>
      </c>
      <c r="AF48" s="11" t="s">
        <v>12</v>
      </c>
      <c r="AG48" s="13">
        <v>43500</v>
      </c>
      <c r="AH48" s="11">
        <v>4</v>
      </c>
      <c r="AI48" s="11">
        <v>2</v>
      </c>
      <c r="AJ48" s="11">
        <v>2019</v>
      </c>
      <c r="AK48" s="13" t="s">
        <v>1383</v>
      </c>
      <c r="AL48" s="11" t="s">
        <v>21</v>
      </c>
      <c r="AM48" s="13" t="s">
        <v>20</v>
      </c>
      <c r="AN48" s="11" t="s">
        <v>8</v>
      </c>
      <c r="AO48" s="11" t="s">
        <v>32</v>
      </c>
      <c r="AP48" s="11" t="s">
        <v>588</v>
      </c>
      <c r="AQ48" s="13" t="s">
        <v>588</v>
      </c>
      <c r="AR48" s="11" t="s">
        <v>588</v>
      </c>
      <c r="AS48" s="13" t="s">
        <v>588</v>
      </c>
      <c r="AT48" s="11" t="s">
        <v>588</v>
      </c>
      <c r="AU48" s="13" t="s">
        <v>588</v>
      </c>
      <c r="AV48" s="13" t="s">
        <v>588</v>
      </c>
      <c r="AW48" s="13" t="s">
        <v>588</v>
      </c>
      <c r="AX48" s="13" t="s">
        <v>588</v>
      </c>
      <c r="AY48" s="13" t="s">
        <v>588</v>
      </c>
      <c r="AZ48" s="13" t="s">
        <v>588</v>
      </c>
      <c r="BA48" s="13" t="s">
        <v>588</v>
      </c>
      <c r="BB48" s="13" t="s">
        <v>588</v>
      </c>
      <c r="BC48" s="13" t="s">
        <v>588</v>
      </c>
      <c r="BD48" s="13" t="s">
        <v>588</v>
      </c>
      <c r="BE48" s="13" t="s">
        <v>588</v>
      </c>
      <c r="BF48" s="13" t="s">
        <v>588</v>
      </c>
      <c r="BG48" s="13" t="s">
        <v>588</v>
      </c>
      <c r="BH48" s="13" t="s">
        <v>588</v>
      </c>
      <c r="BI48" s="13" t="s">
        <v>588</v>
      </c>
      <c r="BJ48" s="13" t="s">
        <v>588</v>
      </c>
      <c r="BK48" s="13" t="s">
        <v>588</v>
      </c>
      <c r="BL48" s="13" t="s">
        <v>588</v>
      </c>
      <c r="BM48" s="13" t="s">
        <v>588</v>
      </c>
      <c r="BN48" s="13" t="s">
        <v>588</v>
      </c>
      <c r="BO48" s="13" t="s">
        <v>588</v>
      </c>
      <c r="BP48" s="13" t="s">
        <v>588</v>
      </c>
      <c r="BQ48" s="13" t="s">
        <v>588</v>
      </c>
      <c r="BR48" s="13" t="s">
        <v>588</v>
      </c>
      <c r="BS48" s="11" t="s">
        <v>41</v>
      </c>
      <c r="BT48" s="11" t="s">
        <v>42</v>
      </c>
      <c r="BU48" s="11" t="s">
        <v>42</v>
      </c>
      <c r="BV48" s="13" t="s">
        <v>588</v>
      </c>
      <c r="BW48" s="13" t="s">
        <v>588</v>
      </c>
      <c r="BX48" s="13" t="s">
        <v>588</v>
      </c>
      <c r="BY48" s="13" t="s">
        <v>588</v>
      </c>
      <c r="BZ48" s="13" t="s">
        <v>588</v>
      </c>
    </row>
    <row r="49" spans="1:78" x14ac:dyDescent="0.25">
      <c r="A49" s="11">
        <v>201819</v>
      </c>
      <c r="B49" s="11" t="s">
        <v>365</v>
      </c>
      <c r="C49" s="11" t="s">
        <v>365</v>
      </c>
      <c r="D49" s="11" t="s">
        <v>16</v>
      </c>
      <c r="E49" s="11" t="s">
        <v>16</v>
      </c>
      <c r="F49" s="11">
        <v>1</v>
      </c>
      <c r="G49" s="11" t="s">
        <v>1356</v>
      </c>
      <c r="H49" s="11" t="s">
        <v>1356</v>
      </c>
      <c r="I49" s="13">
        <v>43436</v>
      </c>
      <c r="J49" s="11">
        <v>2</v>
      </c>
      <c r="K49" s="11">
        <v>12</v>
      </c>
      <c r="L49" s="11">
        <v>2018</v>
      </c>
      <c r="M49" s="11" t="s">
        <v>1402</v>
      </c>
      <c r="N49" s="11" t="s">
        <v>7</v>
      </c>
      <c r="O49" s="11" t="s">
        <v>10</v>
      </c>
      <c r="P49" s="23">
        <v>-38.595619999999997</v>
      </c>
      <c r="Q49" s="23">
        <v>145.52377000000001</v>
      </c>
      <c r="R49" s="11" t="s">
        <v>588</v>
      </c>
      <c r="S49" s="11" t="s">
        <v>588</v>
      </c>
      <c r="T49" s="11">
        <v>2</v>
      </c>
      <c r="U49" s="11">
        <v>3</v>
      </c>
      <c r="V49" s="11" t="s">
        <v>588</v>
      </c>
      <c r="W49" s="11" t="s">
        <v>588</v>
      </c>
      <c r="X49" s="11">
        <v>2</v>
      </c>
      <c r="Y49" s="11">
        <v>2</v>
      </c>
      <c r="Z49" s="11" t="s">
        <v>41</v>
      </c>
      <c r="AA49" s="13">
        <v>43436</v>
      </c>
      <c r="AB49" s="11">
        <v>2</v>
      </c>
      <c r="AC49" s="11">
        <v>12</v>
      </c>
      <c r="AD49" s="11">
        <v>2018</v>
      </c>
      <c r="AE49" s="13" t="s">
        <v>1402</v>
      </c>
      <c r="AF49" s="11" t="s">
        <v>7</v>
      </c>
      <c r="AG49" s="13">
        <v>43446</v>
      </c>
      <c r="AH49" s="11">
        <v>12</v>
      </c>
      <c r="AI49" s="11">
        <v>12</v>
      </c>
      <c r="AJ49" s="11">
        <v>2018</v>
      </c>
      <c r="AK49" s="13" t="s">
        <v>1394</v>
      </c>
      <c r="AL49" s="11" t="s">
        <v>7</v>
      </c>
      <c r="AM49" s="13" t="s">
        <v>20</v>
      </c>
      <c r="AN49" s="11" t="s">
        <v>41</v>
      </c>
      <c r="AO49" s="11" t="s">
        <v>41</v>
      </c>
      <c r="AP49" s="11" t="s">
        <v>588</v>
      </c>
      <c r="AQ49" s="13" t="s">
        <v>588</v>
      </c>
      <c r="AR49" s="11" t="s">
        <v>588</v>
      </c>
      <c r="AS49" s="13" t="s">
        <v>588</v>
      </c>
      <c r="AT49" s="11" t="s">
        <v>588</v>
      </c>
      <c r="AU49" s="13" t="s">
        <v>588</v>
      </c>
      <c r="AV49" s="11" t="s">
        <v>588</v>
      </c>
      <c r="AW49" s="13" t="s">
        <v>588</v>
      </c>
      <c r="AX49" s="13" t="s">
        <v>588</v>
      </c>
      <c r="AY49" s="13" t="s">
        <v>588</v>
      </c>
      <c r="AZ49" s="13" t="s">
        <v>588</v>
      </c>
      <c r="BA49" s="13" t="s">
        <v>588</v>
      </c>
      <c r="BB49" s="13" t="s">
        <v>588</v>
      </c>
      <c r="BC49" s="13" t="s">
        <v>588</v>
      </c>
      <c r="BD49" s="13" t="s">
        <v>588</v>
      </c>
      <c r="BE49" s="13" t="s">
        <v>588</v>
      </c>
      <c r="BF49" s="13" t="s">
        <v>588</v>
      </c>
      <c r="BG49" s="13" t="s">
        <v>588</v>
      </c>
      <c r="BH49" s="13" t="s">
        <v>588</v>
      </c>
      <c r="BI49" s="13" t="s">
        <v>588</v>
      </c>
      <c r="BJ49" s="13" t="s">
        <v>588</v>
      </c>
      <c r="BK49" s="13" t="s">
        <v>588</v>
      </c>
      <c r="BL49" s="13" t="s">
        <v>588</v>
      </c>
      <c r="BM49" s="13" t="s">
        <v>588</v>
      </c>
      <c r="BN49" s="13" t="s">
        <v>588</v>
      </c>
      <c r="BO49" s="13" t="s">
        <v>588</v>
      </c>
      <c r="BP49" s="13" t="s">
        <v>588</v>
      </c>
      <c r="BQ49" s="13" t="s">
        <v>588</v>
      </c>
      <c r="BR49" s="13" t="s">
        <v>588</v>
      </c>
      <c r="BS49" s="11" t="s">
        <v>41</v>
      </c>
      <c r="BT49" s="11" t="s">
        <v>42</v>
      </c>
      <c r="BU49" s="11" t="s">
        <v>42</v>
      </c>
      <c r="BV49" s="13" t="s">
        <v>588</v>
      </c>
      <c r="BW49" s="13" t="s">
        <v>588</v>
      </c>
      <c r="BX49" s="13" t="s">
        <v>588</v>
      </c>
      <c r="BY49" s="13" t="s">
        <v>588</v>
      </c>
      <c r="BZ49" s="13" t="s">
        <v>588</v>
      </c>
    </row>
    <row r="50" spans="1:78" x14ac:dyDescent="0.25">
      <c r="A50" s="11">
        <v>201819</v>
      </c>
      <c r="B50" s="11" t="s">
        <v>365</v>
      </c>
      <c r="C50" s="11" t="s">
        <v>365</v>
      </c>
      <c r="D50" s="11" t="s">
        <v>16</v>
      </c>
      <c r="E50" s="11" t="s">
        <v>16</v>
      </c>
      <c r="F50" s="11">
        <v>2</v>
      </c>
      <c r="G50" s="11" t="s">
        <v>1357</v>
      </c>
      <c r="H50" s="11" t="s">
        <v>1357</v>
      </c>
      <c r="I50" s="13">
        <v>43446</v>
      </c>
      <c r="J50" s="11">
        <v>12</v>
      </c>
      <c r="K50" s="11">
        <v>12</v>
      </c>
      <c r="L50" s="11">
        <v>2018</v>
      </c>
      <c r="M50" s="11" t="s">
        <v>1394</v>
      </c>
      <c r="N50" s="11" t="s">
        <v>7</v>
      </c>
      <c r="O50" s="11" t="s">
        <v>10</v>
      </c>
      <c r="P50" s="23">
        <v>-38.594970000000004</v>
      </c>
      <c r="Q50" s="23">
        <v>145.52314999999999</v>
      </c>
      <c r="R50" s="11" t="s">
        <v>588</v>
      </c>
      <c r="S50" s="11" t="s">
        <v>588</v>
      </c>
      <c r="T50" s="11">
        <v>1</v>
      </c>
      <c r="U50" s="11">
        <v>3</v>
      </c>
      <c r="V50" s="11" t="s">
        <v>588</v>
      </c>
      <c r="W50" s="11" t="s">
        <v>588</v>
      </c>
      <c r="X50" s="11">
        <v>2</v>
      </c>
      <c r="Y50" s="11">
        <v>2</v>
      </c>
      <c r="Z50" s="11" t="s">
        <v>41</v>
      </c>
      <c r="AA50" s="13">
        <v>43446</v>
      </c>
      <c r="AB50" s="11">
        <v>12</v>
      </c>
      <c r="AC50" s="11">
        <v>12</v>
      </c>
      <c r="AD50" s="11">
        <v>2018</v>
      </c>
      <c r="AE50" s="13" t="s">
        <v>1394</v>
      </c>
      <c r="AF50" s="11" t="s">
        <v>7</v>
      </c>
      <c r="AG50" s="13">
        <v>43451</v>
      </c>
      <c r="AH50" s="11">
        <v>17</v>
      </c>
      <c r="AI50" s="11">
        <v>12</v>
      </c>
      <c r="AJ50" s="11">
        <v>2018</v>
      </c>
      <c r="AK50" s="13" t="s">
        <v>1381</v>
      </c>
      <c r="AL50" s="11" t="s">
        <v>7</v>
      </c>
      <c r="AM50" s="13" t="s">
        <v>20</v>
      </c>
      <c r="AN50" s="11" t="s">
        <v>41</v>
      </c>
      <c r="AO50" s="11" t="s">
        <v>41</v>
      </c>
      <c r="AP50" s="11" t="s">
        <v>588</v>
      </c>
      <c r="AQ50" s="13" t="s">
        <v>588</v>
      </c>
      <c r="AR50" s="11" t="s">
        <v>588</v>
      </c>
      <c r="AS50" s="13" t="s">
        <v>588</v>
      </c>
      <c r="AT50" s="11" t="s">
        <v>588</v>
      </c>
      <c r="AU50" s="13" t="s">
        <v>588</v>
      </c>
      <c r="AV50" s="13" t="s">
        <v>588</v>
      </c>
      <c r="AW50" s="13" t="s">
        <v>588</v>
      </c>
      <c r="AX50" s="13" t="s">
        <v>588</v>
      </c>
      <c r="AY50" s="13" t="s">
        <v>588</v>
      </c>
      <c r="AZ50" s="13" t="s">
        <v>588</v>
      </c>
      <c r="BA50" s="13" t="s">
        <v>588</v>
      </c>
      <c r="BB50" s="13" t="s">
        <v>588</v>
      </c>
      <c r="BC50" s="13" t="s">
        <v>588</v>
      </c>
      <c r="BD50" s="13" t="s">
        <v>588</v>
      </c>
      <c r="BE50" s="13" t="s">
        <v>588</v>
      </c>
      <c r="BF50" s="13" t="s">
        <v>588</v>
      </c>
      <c r="BG50" s="13" t="s">
        <v>588</v>
      </c>
      <c r="BH50" s="13" t="s">
        <v>588</v>
      </c>
      <c r="BI50" s="13" t="s">
        <v>588</v>
      </c>
      <c r="BJ50" s="13" t="s">
        <v>588</v>
      </c>
      <c r="BK50" s="13" t="s">
        <v>588</v>
      </c>
      <c r="BL50" s="13" t="s">
        <v>588</v>
      </c>
      <c r="BM50" s="13" t="s">
        <v>588</v>
      </c>
      <c r="BN50" s="13" t="s">
        <v>588</v>
      </c>
      <c r="BO50" s="13" t="s">
        <v>588</v>
      </c>
      <c r="BP50" s="13" t="s">
        <v>588</v>
      </c>
      <c r="BQ50" s="13" t="s">
        <v>588</v>
      </c>
      <c r="BR50" s="13" t="s">
        <v>588</v>
      </c>
      <c r="BS50" s="11" t="s">
        <v>8</v>
      </c>
      <c r="BT50" s="11" t="s">
        <v>9</v>
      </c>
      <c r="BU50" s="11" t="s">
        <v>9</v>
      </c>
      <c r="BV50" s="13" t="s">
        <v>588</v>
      </c>
      <c r="BW50" s="13" t="s">
        <v>588</v>
      </c>
      <c r="BX50" s="13" t="s">
        <v>588</v>
      </c>
      <c r="BY50" s="13" t="s">
        <v>588</v>
      </c>
      <c r="BZ50" s="13" t="s">
        <v>588</v>
      </c>
    </row>
    <row r="51" spans="1:78" x14ac:dyDescent="0.25">
      <c r="A51" s="11">
        <v>201819</v>
      </c>
      <c r="B51" s="11" t="s">
        <v>365</v>
      </c>
      <c r="C51" s="11" t="s">
        <v>365</v>
      </c>
      <c r="D51" s="11" t="s">
        <v>16</v>
      </c>
      <c r="E51" s="11" t="s">
        <v>16</v>
      </c>
      <c r="F51" s="11">
        <v>3</v>
      </c>
      <c r="G51" s="11" t="s">
        <v>1358</v>
      </c>
      <c r="H51" s="11" t="s">
        <v>1358</v>
      </c>
      <c r="I51" s="13">
        <v>43470</v>
      </c>
      <c r="J51" s="11">
        <v>5</v>
      </c>
      <c r="K51" s="11">
        <v>1</v>
      </c>
      <c r="L51" s="11">
        <v>2019</v>
      </c>
      <c r="M51" s="11" t="s">
        <v>1385</v>
      </c>
      <c r="N51" s="11" t="s">
        <v>12</v>
      </c>
      <c r="O51" s="11" t="s">
        <v>10</v>
      </c>
      <c r="P51" s="23">
        <v>-38.595280000000002</v>
      </c>
      <c r="Q51" s="23">
        <v>145.52341000000001</v>
      </c>
      <c r="R51" s="11" t="s">
        <v>588</v>
      </c>
      <c r="S51" s="11" t="s">
        <v>588</v>
      </c>
      <c r="T51" s="11">
        <v>3</v>
      </c>
      <c r="U51" s="11">
        <v>3</v>
      </c>
      <c r="V51" s="11" t="s">
        <v>588</v>
      </c>
      <c r="W51" s="11" t="s">
        <v>588</v>
      </c>
      <c r="X51" s="11">
        <v>1</v>
      </c>
      <c r="Y51" s="11">
        <v>1</v>
      </c>
      <c r="Z51" s="11" t="s">
        <v>8</v>
      </c>
      <c r="AA51" s="13">
        <v>43470</v>
      </c>
      <c r="AB51" s="11">
        <v>5</v>
      </c>
      <c r="AC51" s="11">
        <v>1</v>
      </c>
      <c r="AD51" s="11">
        <v>2019</v>
      </c>
      <c r="AE51" s="13" t="s">
        <v>1385</v>
      </c>
      <c r="AF51" s="11" t="s">
        <v>12</v>
      </c>
      <c r="AG51" s="13" t="s">
        <v>588</v>
      </c>
      <c r="AH51" s="11" t="s">
        <v>588</v>
      </c>
      <c r="AI51" s="11" t="s">
        <v>588</v>
      </c>
      <c r="AJ51" s="11" t="s">
        <v>588</v>
      </c>
      <c r="AK51" s="13" t="s">
        <v>588</v>
      </c>
      <c r="AL51" s="11" t="s">
        <v>588</v>
      </c>
      <c r="AM51" s="13" t="s">
        <v>588</v>
      </c>
      <c r="AN51" s="11" t="s">
        <v>588</v>
      </c>
      <c r="AO51" s="13" t="s">
        <v>588</v>
      </c>
      <c r="AP51" s="13">
        <v>43487</v>
      </c>
      <c r="AQ51" s="13" t="s">
        <v>12</v>
      </c>
      <c r="AR51" s="11" t="s">
        <v>195</v>
      </c>
      <c r="AS51" s="11">
        <v>3</v>
      </c>
      <c r="AT51" s="11">
        <v>3</v>
      </c>
      <c r="AU51" s="13" t="s">
        <v>588</v>
      </c>
      <c r="AV51" s="11" t="s">
        <v>588</v>
      </c>
      <c r="AW51" s="13" t="s">
        <v>588</v>
      </c>
      <c r="AX51" s="13" t="s">
        <v>588</v>
      </c>
      <c r="AY51" s="13" t="s">
        <v>588</v>
      </c>
      <c r="AZ51" s="13" t="s">
        <v>588</v>
      </c>
      <c r="BA51" s="13" t="s">
        <v>588</v>
      </c>
      <c r="BB51" s="13" t="s">
        <v>588</v>
      </c>
      <c r="BC51" s="13" t="s">
        <v>588</v>
      </c>
      <c r="BD51" s="13" t="s">
        <v>588</v>
      </c>
      <c r="BE51" s="13" t="s">
        <v>588</v>
      </c>
      <c r="BF51" s="13" t="s">
        <v>588</v>
      </c>
      <c r="BG51" s="13" t="s">
        <v>588</v>
      </c>
      <c r="BH51" s="13" t="s">
        <v>588</v>
      </c>
      <c r="BI51" s="13" t="s">
        <v>588</v>
      </c>
      <c r="BJ51" s="13" t="s">
        <v>588</v>
      </c>
      <c r="BK51" s="13" t="s">
        <v>588</v>
      </c>
      <c r="BL51" s="13" t="s">
        <v>588</v>
      </c>
      <c r="BM51" s="11">
        <v>4</v>
      </c>
      <c r="BN51" s="11">
        <v>4</v>
      </c>
      <c r="BO51" s="13" t="s">
        <v>8</v>
      </c>
      <c r="BP51" s="11">
        <v>3</v>
      </c>
      <c r="BQ51" s="13">
        <v>43528</v>
      </c>
      <c r="BR51" s="13" t="s">
        <v>22</v>
      </c>
      <c r="BS51" s="11" t="s">
        <v>8</v>
      </c>
      <c r="BT51" s="11" t="s">
        <v>13</v>
      </c>
      <c r="BU51" s="11" t="s">
        <v>13</v>
      </c>
      <c r="BV51" s="11" t="s">
        <v>8</v>
      </c>
      <c r="BW51" s="11" t="s">
        <v>13</v>
      </c>
      <c r="BX51" s="11" t="s">
        <v>13</v>
      </c>
      <c r="BY51" s="13" t="s">
        <v>588</v>
      </c>
      <c r="BZ51" s="13" t="s">
        <v>588</v>
      </c>
    </row>
    <row r="52" spans="1:78" x14ac:dyDescent="0.25">
      <c r="A52" s="11">
        <v>201819</v>
      </c>
      <c r="B52" s="11" t="s">
        <v>39</v>
      </c>
      <c r="C52" s="11" t="s">
        <v>39</v>
      </c>
      <c r="D52" s="11" t="s">
        <v>16</v>
      </c>
      <c r="E52" s="11" t="s">
        <v>16</v>
      </c>
      <c r="F52" s="11">
        <v>1</v>
      </c>
      <c r="G52" s="11" t="s">
        <v>1359</v>
      </c>
      <c r="H52" s="11" t="s">
        <v>1359</v>
      </c>
      <c r="I52" s="13">
        <v>43397</v>
      </c>
      <c r="J52" s="11">
        <v>24</v>
      </c>
      <c r="K52" s="11">
        <v>10</v>
      </c>
      <c r="L52" s="11">
        <v>2018</v>
      </c>
      <c r="M52" s="11" t="s">
        <v>1413</v>
      </c>
      <c r="N52" s="11" t="s">
        <v>29</v>
      </c>
      <c r="O52" s="11" t="s">
        <v>51</v>
      </c>
      <c r="P52" s="23">
        <v>-38.669119999999999</v>
      </c>
      <c r="Q52" s="23">
        <v>145.59276</v>
      </c>
      <c r="R52" s="11" t="s">
        <v>588</v>
      </c>
      <c r="S52" s="11" t="s">
        <v>588</v>
      </c>
      <c r="T52" s="11">
        <v>3</v>
      </c>
      <c r="U52" s="11">
        <v>3</v>
      </c>
      <c r="V52" s="11" t="s">
        <v>588</v>
      </c>
      <c r="W52" s="11" t="s">
        <v>588</v>
      </c>
      <c r="X52" s="11">
        <v>2</v>
      </c>
      <c r="Y52" s="11">
        <v>2</v>
      </c>
      <c r="Z52" s="11" t="s">
        <v>41</v>
      </c>
      <c r="AA52" s="13">
        <v>43397</v>
      </c>
      <c r="AB52" s="11">
        <v>24</v>
      </c>
      <c r="AC52" s="11">
        <v>10</v>
      </c>
      <c r="AD52" s="11">
        <v>2018</v>
      </c>
      <c r="AE52" s="13" t="s">
        <v>1413</v>
      </c>
      <c r="AF52" s="11" t="s">
        <v>29</v>
      </c>
      <c r="AG52" s="13">
        <v>43416</v>
      </c>
      <c r="AH52" s="11">
        <v>12</v>
      </c>
      <c r="AI52" s="11">
        <v>11</v>
      </c>
      <c r="AJ52" s="11">
        <v>2018</v>
      </c>
      <c r="AK52" s="13" t="s">
        <v>1376</v>
      </c>
      <c r="AL52" s="11" t="s">
        <v>17</v>
      </c>
      <c r="AM52" s="13" t="s">
        <v>20</v>
      </c>
      <c r="AN52" s="11" t="s">
        <v>41</v>
      </c>
      <c r="AO52" s="13" t="s">
        <v>41</v>
      </c>
      <c r="AP52" s="11" t="s">
        <v>588</v>
      </c>
      <c r="AQ52" s="13" t="s">
        <v>588</v>
      </c>
      <c r="AR52" s="11" t="s">
        <v>588</v>
      </c>
      <c r="AS52" s="13" t="s">
        <v>588</v>
      </c>
      <c r="AT52" s="11" t="s">
        <v>588</v>
      </c>
      <c r="AU52" s="13" t="s">
        <v>588</v>
      </c>
      <c r="AV52" s="13" t="s">
        <v>588</v>
      </c>
      <c r="AW52" s="13" t="s">
        <v>588</v>
      </c>
      <c r="AX52" s="13" t="s">
        <v>588</v>
      </c>
      <c r="AY52" s="13" t="s">
        <v>588</v>
      </c>
      <c r="AZ52" s="13" t="s">
        <v>588</v>
      </c>
      <c r="BA52" s="13" t="s">
        <v>588</v>
      </c>
      <c r="BB52" s="13" t="s">
        <v>588</v>
      </c>
      <c r="BC52" s="13" t="s">
        <v>588</v>
      </c>
      <c r="BD52" s="13" t="s">
        <v>588</v>
      </c>
      <c r="BE52" s="13" t="s">
        <v>588</v>
      </c>
      <c r="BF52" s="13" t="s">
        <v>588</v>
      </c>
      <c r="BG52" s="13" t="s">
        <v>588</v>
      </c>
      <c r="BH52" s="13" t="s">
        <v>588</v>
      </c>
      <c r="BI52" s="13" t="s">
        <v>588</v>
      </c>
      <c r="BJ52" s="13" t="s">
        <v>588</v>
      </c>
      <c r="BK52" s="13" t="s">
        <v>588</v>
      </c>
      <c r="BL52" s="13" t="s">
        <v>588</v>
      </c>
      <c r="BM52" s="13" t="s">
        <v>588</v>
      </c>
      <c r="BN52" s="13" t="s">
        <v>588</v>
      </c>
      <c r="BO52" s="13" t="s">
        <v>588</v>
      </c>
      <c r="BP52" s="13" t="s">
        <v>588</v>
      </c>
      <c r="BQ52" s="13" t="s">
        <v>588</v>
      </c>
      <c r="BR52" s="13" t="s">
        <v>588</v>
      </c>
      <c r="BS52" s="11" t="s">
        <v>41</v>
      </c>
      <c r="BT52" s="11" t="s">
        <v>42</v>
      </c>
      <c r="BU52" s="11" t="s">
        <v>42</v>
      </c>
      <c r="BV52" s="13" t="s">
        <v>588</v>
      </c>
      <c r="BW52" s="13" t="s">
        <v>588</v>
      </c>
      <c r="BX52" s="13" t="s">
        <v>588</v>
      </c>
      <c r="BY52" s="13" t="s">
        <v>588</v>
      </c>
      <c r="BZ52" s="13" t="s">
        <v>588</v>
      </c>
    </row>
    <row r="53" spans="1:78" x14ac:dyDescent="0.25">
      <c r="A53" s="11">
        <v>201819</v>
      </c>
      <c r="B53" s="11" t="s">
        <v>39</v>
      </c>
      <c r="C53" s="11" t="s">
        <v>39</v>
      </c>
      <c r="D53" s="11" t="s">
        <v>16</v>
      </c>
      <c r="E53" s="11" t="s">
        <v>16</v>
      </c>
      <c r="F53" s="11">
        <v>2</v>
      </c>
      <c r="G53" s="11" t="s">
        <v>1360</v>
      </c>
      <c r="H53" s="11" t="s">
        <v>1360</v>
      </c>
      <c r="I53" s="13">
        <v>43436</v>
      </c>
      <c r="J53" s="11">
        <v>2</v>
      </c>
      <c r="K53" s="11">
        <v>12</v>
      </c>
      <c r="L53" s="11">
        <v>2018</v>
      </c>
      <c r="M53" s="11" t="s">
        <v>1402</v>
      </c>
      <c r="N53" s="11" t="s">
        <v>7</v>
      </c>
      <c r="O53" s="11" t="s">
        <v>10</v>
      </c>
      <c r="P53" s="23">
        <v>-38.669899999999998</v>
      </c>
      <c r="Q53" s="23">
        <v>145.5959</v>
      </c>
      <c r="R53" s="11" t="s">
        <v>588</v>
      </c>
      <c r="S53" s="11" t="s">
        <v>588</v>
      </c>
      <c r="T53" s="11">
        <v>3</v>
      </c>
      <c r="U53" s="11">
        <v>3</v>
      </c>
      <c r="V53" s="11" t="s">
        <v>588</v>
      </c>
      <c r="W53" s="11" t="s">
        <v>588</v>
      </c>
      <c r="X53" s="11">
        <v>2</v>
      </c>
      <c r="Y53" s="11">
        <v>2</v>
      </c>
      <c r="Z53" s="11" t="s">
        <v>41</v>
      </c>
      <c r="AA53" s="13">
        <v>43436</v>
      </c>
      <c r="AB53" s="11">
        <v>2</v>
      </c>
      <c r="AC53" s="11">
        <v>12</v>
      </c>
      <c r="AD53" s="11">
        <v>2018</v>
      </c>
      <c r="AE53" s="13" t="s">
        <v>1402</v>
      </c>
      <c r="AF53" s="11" t="s">
        <v>7</v>
      </c>
      <c r="AG53" s="13">
        <v>43439</v>
      </c>
      <c r="AH53" s="11">
        <v>5</v>
      </c>
      <c r="AI53" s="11">
        <v>12</v>
      </c>
      <c r="AJ53" s="11">
        <v>2018</v>
      </c>
      <c r="AK53" s="13" t="s">
        <v>1377</v>
      </c>
      <c r="AL53" s="11" t="s">
        <v>7</v>
      </c>
      <c r="AM53" s="13" t="s">
        <v>20</v>
      </c>
      <c r="AN53" s="11" t="s">
        <v>41</v>
      </c>
      <c r="AO53" s="13" t="s">
        <v>41</v>
      </c>
      <c r="AP53" s="11" t="s">
        <v>588</v>
      </c>
      <c r="AQ53" s="13" t="s">
        <v>588</v>
      </c>
      <c r="AR53" s="11" t="s">
        <v>588</v>
      </c>
      <c r="AS53" s="13" t="s">
        <v>588</v>
      </c>
      <c r="AT53" s="11" t="s">
        <v>588</v>
      </c>
      <c r="AU53" s="13" t="s">
        <v>588</v>
      </c>
      <c r="AV53" s="13" t="s">
        <v>588</v>
      </c>
      <c r="AW53" s="13" t="s">
        <v>588</v>
      </c>
      <c r="AX53" s="13" t="s">
        <v>588</v>
      </c>
      <c r="AY53" s="13" t="s">
        <v>588</v>
      </c>
      <c r="AZ53" s="13" t="s">
        <v>588</v>
      </c>
      <c r="BA53" s="13" t="s">
        <v>588</v>
      </c>
      <c r="BB53" s="13" t="s">
        <v>588</v>
      </c>
      <c r="BC53" s="13" t="s">
        <v>588</v>
      </c>
      <c r="BD53" s="13" t="s">
        <v>588</v>
      </c>
      <c r="BE53" s="13" t="s">
        <v>588</v>
      </c>
      <c r="BF53" s="13" t="s">
        <v>588</v>
      </c>
      <c r="BG53" s="13" t="s">
        <v>588</v>
      </c>
      <c r="BH53" s="13" t="s">
        <v>588</v>
      </c>
      <c r="BI53" s="13" t="s">
        <v>588</v>
      </c>
      <c r="BJ53" s="13" t="s">
        <v>588</v>
      </c>
      <c r="BK53" s="13" t="s">
        <v>588</v>
      </c>
      <c r="BL53" s="13" t="s">
        <v>588</v>
      </c>
      <c r="BM53" s="13" t="s">
        <v>588</v>
      </c>
      <c r="BN53" s="13" t="s">
        <v>588</v>
      </c>
      <c r="BO53" s="13" t="s">
        <v>588</v>
      </c>
      <c r="BP53" s="13" t="s">
        <v>588</v>
      </c>
      <c r="BQ53" s="13" t="s">
        <v>588</v>
      </c>
      <c r="BR53" s="13" t="s">
        <v>588</v>
      </c>
      <c r="BS53" s="11" t="s">
        <v>8</v>
      </c>
      <c r="BT53" s="11" t="s">
        <v>18</v>
      </c>
      <c r="BU53" s="11" t="s">
        <v>18</v>
      </c>
      <c r="BV53" s="13" t="s">
        <v>588</v>
      </c>
      <c r="BW53" s="13" t="s">
        <v>588</v>
      </c>
      <c r="BX53" s="13" t="s">
        <v>588</v>
      </c>
      <c r="BY53" s="13" t="s">
        <v>588</v>
      </c>
      <c r="BZ53" s="13" t="s">
        <v>588</v>
      </c>
    </row>
    <row r="54" spans="1:78" x14ac:dyDescent="0.25">
      <c r="A54" s="11">
        <v>201819</v>
      </c>
      <c r="B54" s="11" t="s">
        <v>43</v>
      </c>
      <c r="C54" s="11" t="s">
        <v>43</v>
      </c>
      <c r="D54" s="11" t="s">
        <v>53</v>
      </c>
      <c r="E54" s="11" t="s">
        <v>16</v>
      </c>
      <c r="F54" s="11">
        <v>1</v>
      </c>
      <c r="G54" s="11" t="s">
        <v>1361</v>
      </c>
      <c r="H54" s="11" t="s">
        <v>1361</v>
      </c>
      <c r="I54" s="13">
        <v>43446</v>
      </c>
      <c r="J54" s="11">
        <v>12</v>
      </c>
      <c r="K54" s="11">
        <v>12</v>
      </c>
      <c r="L54" s="11">
        <v>2018</v>
      </c>
      <c r="M54" s="11" t="s">
        <v>1394</v>
      </c>
      <c r="N54" s="11" t="s">
        <v>7</v>
      </c>
      <c r="O54" s="11" t="s">
        <v>10</v>
      </c>
      <c r="P54" s="23">
        <v>-38.668410000000002</v>
      </c>
      <c r="Q54" s="23">
        <v>145.58986999999999</v>
      </c>
      <c r="R54" s="11" t="s">
        <v>588</v>
      </c>
      <c r="S54" s="11" t="s">
        <v>588</v>
      </c>
      <c r="T54" s="11">
        <v>2</v>
      </c>
      <c r="U54" s="11">
        <v>3</v>
      </c>
      <c r="V54" s="11" t="s">
        <v>588</v>
      </c>
      <c r="W54" s="11" t="s">
        <v>588</v>
      </c>
      <c r="X54" s="11">
        <v>3</v>
      </c>
      <c r="Y54" s="11">
        <v>3</v>
      </c>
      <c r="Z54" s="11" t="s">
        <v>41</v>
      </c>
      <c r="AA54" s="13">
        <v>43452</v>
      </c>
      <c r="AB54" s="11">
        <v>18</v>
      </c>
      <c r="AC54" s="11">
        <v>12</v>
      </c>
      <c r="AD54" s="11">
        <v>2018</v>
      </c>
      <c r="AE54" s="13" t="s">
        <v>1370</v>
      </c>
      <c r="AF54" s="11" t="s">
        <v>7</v>
      </c>
      <c r="AG54" s="13">
        <v>43466</v>
      </c>
      <c r="AH54" s="11">
        <v>1</v>
      </c>
      <c r="AI54" s="11">
        <v>1</v>
      </c>
      <c r="AJ54" s="11">
        <v>2019</v>
      </c>
      <c r="AK54" s="13" t="s">
        <v>1395</v>
      </c>
      <c r="AL54" s="11" t="s">
        <v>12</v>
      </c>
      <c r="AM54" s="13" t="s">
        <v>20</v>
      </c>
      <c r="AN54" s="11" t="s">
        <v>41</v>
      </c>
      <c r="AO54" s="13" t="s">
        <v>41</v>
      </c>
      <c r="AP54" s="11" t="s">
        <v>588</v>
      </c>
      <c r="AQ54" s="13" t="s">
        <v>588</v>
      </c>
      <c r="AR54" s="11" t="s">
        <v>588</v>
      </c>
      <c r="AS54" s="13" t="s">
        <v>588</v>
      </c>
      <c r="AT54" s="11" t="s">
        <v>588</v>
      </c>
      <c r="AU54" s="13" t="s">
        <v>588</v>
      </c>
      <c r="AV54" s="13" t="s">
        <v>588</v>
      </c>
      <c r="AW54" s="13" t="s">
        <v>588</v>
      </c>
      <c r="AX54" s="13" t="s">
        <v>588</v>
      </c>
      <c r="AY54" s="13" t="s">
        <v>588</v>
      </c>
      <c r="AZ54" s="13" t="s">
        <v>588</v>
      </c>
      <c r="BA54" s="13" t="s">
        <v>588</v>
      </c>
      <c r="BB54" s="13" t="s">
        <v>588</v>
      </c>
      <c r="BC54" s="13" t="s">
        <v>588</v>
      </c>
      <c r="BD54" s="13" t="s">
        <v>588</v>
      </c>
      <c r="BE54" s="13" t="s">
        <v>588</v>
      </c>
      <c r="BF54" s="13" t="s">
        <v>588</v>
      </c>
      <c r="BG54" s="13" t="s">
        <v>588</v>
      </c>
      <c r="BH54" s="13" t="s">
        <v>588</v>
      </c>
      <c r="BI54" s="13" t="s">
        <v>588</v>
      </c>
      <c r="BJ54" s="13" t="s">
        <v>588</v>
      </c>
      <c r="BK54" s="13" t="s">
        <v>588</v>
      </c>
      <c r="BL54" s="13" t="s">
        <v>588</v>
      </c>
      <c r="BM54" s="13" t="s">
        <v>588</v>
      </c>
      <c r="BN54" s="13" t="s">
        <v>588</v>
      </c>
      <c r="BO54" s="13" t="s">
        <v>588</v>
      </c>
      <c r="BP54" s="13" t="s">
        <v>588</v>
      </c>
      <c r="BQ54" s="13" t="s">
        <v>588</v>
      </c>
      <c r="BR54" s="13" t="s">
        <v>588</v>
      </c>
      <c r="BS54" s="11" t="s">
        <v>8</v>
      </c>
      <c r="BT54" s="11" t="s">
        <v>9</v>
      </c>
      <c r="BU54" s="11" t="s">
        <v>9</v>
      </c>
      <c r="BV54" s="13" t="s">
        <v>588</v>
      </c>
      <c r="BW54" s="13" t="s">
        <v>588</v>
      </c>
      <c r="BX54" s="13" t="s">
        <v>588</v>
      </c>
      <c r="BY54" s="13" t="s">
        <v>588</v>
      </c>
      <c r="BZ54" s="13" t="s">
        <v>588</v>
      </c>
    </row>
    <row r="55" spans="1:78" x14ac:dyDescent="0.25">
      <c r="A55" s="11">
        <v>201819</v>
      </c>
      <c r="B55" s="11" t="s">
        <v>43</v>
      </c>
      <c r="C55" s="11" t="s">
        <v>43</v>
      </c>
      <c r="D55" s="11" t="s">
        <v>53</v>
      </c>
      <c r="E55" s="11" t="s">
        <v>16</v>
      </c>
      <c r="F55" s="11">
        <v>2</v>
      </c>
      <c r="G55" s="11" t="s">
        <v>1362</v>
      </c>
      <c r="H55" s="11" t="s">
        <v>1362</v>
      </c>
      <c r="I55" s="13">
        <v>43466</v>
      </c>
      <c r="J55" s="11">
        <v>1</v>
      </c>
      <c r="K55" s="11">
        <v>1</v>
      </c>
      <c r="L55" s="11">
        <v>2019</v>
      </c>
      <c r="M55" s="11" t="s">
        <v>1395</v>
      </c>
      <c r="N55" s="11" t="s">
        <v>12</v>
      </c>
      <c r="O55" s="11" t="s">
        <v>10</v>
      </c>
      <c r="P55" s="23">
        <v>-38.66865</v>
      </c>
      <c r="Q55" s="23">
        <v>145.59126000000001</v>
      </c>
      <c r="R55" s="11" t="s">
        <v>588</v>
      </c>
      <c r="S55" s="11" t="s">
        <v>588</v>
      </c>
      <c r="T55" s="11">
        <v>3</v>
      </c>
      <c r="U55" s="11">
        <v>3</v>
      </c>
      <c r="V55" s="13">
        <v>43468</v>
      </c>
      <c r="W55" s="11" t="s">
        <v>223</v>
      </c>
      <c r="X55" s="11">
        <v>5</v>
      </c>
      <c r="Y55" s="11">
        <v>5</v>
      </c>
      <c r="Z55" s="11" t="s">
        <v>8</v>
      </c>
      <c r="AA55" s="13">
        <v>43494</v>
      </c>
      <c r="AB55" s="11">
        <v>29</v>
      </c>
      <c r="AC55" s="11">
        <v>1</v>
      </c>
      <c r="AD55" s="11">
        <v>2019</v>
      </c>
      <c r="AE55" s="13" t="s">
        <v>1431</v>
      </c>
      <c r="AF55" s="11" t="s">
        <v>12</v>
      </c>
      <c r="AG55" s="13" t="s">
        <v>588</v>
      </c>
      <c r="AH55" s="11" t="s">
        <v>588</v>
      </c>
      <c r="AI55" s="11" t="s">
        <v>588</v>
      </c>
      <c r="AJ55" s="11" t="s">
        <v>588</v>
      </c>
      <c r="AK55" s="13" t="s">
        <v>588</v>
      </c>
      <c r="AL55" s="11" t="s">
        <v>588</v>
      </c>
      <c r="AM55" s="13" t="s">
        <v>588</v>
      </c>
      <c r="AN55" s="11" t="s">
        <v>588</v>
      </c>
      <c r="AO55" s="13" t="s">
        <v>588</v>
      </c>
      <c r="AP55" s="13">
        <v>43500</v>
      </c>
      <c r="AQ55" s="13" t="s">
        <v>21</v>
      </c>
      <c r="AR55" s="11" t="s">
        <v>195</v>
      </c>
      <c r="AS55" s="11">
        <v>2</v>
      </c>
      <c r="AT55" s="11">
        <v>2</v>
      </c>
      <c r="AU55" s="13">
        <v>43500</v>
      </c>
      <c r="AV55" s="13">
        <v>43514</v>
      </c>
      <c r="AW55" s="13" t="s">
        <v>21</v>
      </c>
      <c r="AX55" s="13" t="s">
        <v>20</v>
      </c>
      <c r="AY55" s="13" t="s">
        <v>41</v>
      </c>
      <c r="AZ55" s="13" t="s">
        <v>41</v>
      </c>
      <c r="BA55" s="13">
        <v>43500</v>
      </c>
      <c r="BB55" s="13">
        <v>43514</v>
      </c>
      <c r="BC55" s="13" t="s">
        <v>21</v>
      </c>
      <c r="BD55" s="13" t="s">
        <v>20</v>
      </c>
      <c r="BE55" s="13" t="s">
        <v>41</v>
      </c>
      <c r="BF55" s="13" t="s">
        <v>41</v>
      </c>
      <c r="BG55" s="13" t="s">
        <v>588</v>
      </c>
      <c r="BH55" s="13" t="s">
        <v>588</v>
      </c>
      <c r="BI55" s="13" t="s">
        <v>588</v>
      </c>
      <c r="BJ55" s="13" t="s">
        <v>588</v>
      </c>
      <c r="BK55" s="13" t="s">
        <v>588</v>
      </c>
      <c r="BL55" s="13" t="s">
        <v>588</v>
      </c>
      <c r="BM55" s="11">
        <v>2</v>
      </c>
      <c r="BN55" s="11">
        <v>2</v>
      </c>
      <c r="BO55" s="13" t="s">
        <v>41</v>
      </c>
      <c r="BP55" s="13" t="s">
        <v>588</v>
      </c>
      <c r="BQ55" s="13" t="s">
        <v>588</v>
      </c>
      <c r="BR55" s="13" t="s">
        <v>588</v>
      </c>
      <c r="BS55" s="11" t="s">
        <v>8</v>
      </c>
      <c r="BT55" s="11" t="s">
        <v>9</v>
      </c>
      <c r="BU55" s="11" t="s">
        <v>9</v>
      </c>
      <c r="BV55" s="11" t="s">
        <v>8</v>
      </c>
      <c r="BW55" s="11" t="s">
        <v>9</v>
      </c>
      <c r="BX55" s="11" t="s">
        <v>9</v>
      </c>
      <c r="BY55" s="13" t="s">
        <v>588</v>
      </c>
      <c r="BZ55" s="13" t="s">
        <v>588</v>
      </c>
    </row>
    <row r="56" spans="1:78" x14ac:dyDescent="0.25">
      <c r="A56" s="11">
        <v>201819</v>
      </c>
      <c r="B56" s="11" t="s">
        <v>54</v>
      </c>
      <c r="C56" s="11" t="s">
        <v>54</v>
      </c>
      <c r="D56" s="11" t="s">
        <v>16</v>
      </c>
      <c r="E56" s="11" t="s">
        <v>16</v>
      </c>
      <c r="F56" s="11">
        <v>1</v>
      </c>
      <c r="G56" s="11" t="s">
        <v>1363</v>
      </c>
      <c r="H56" s="11" t="s">
        <v>1432</v>
      </c>
      <c r="I56" s="13">
        <v>43452</v>
      </c>
      <c r="J56" s="11">
        <v>18</v>
      </c>
      <c r="K56" s="11">
        <v>12</v>
      </c>
      <c r="L56" s="11">
        <v>2018</v>
      </c>
      <c r="M56" s="11" t="s">
        <v>1370</v>
      </c>
      <c r="N56" s="11" t="s">
        <v>7</v>
      </c>
      <c r="O56" s="11" t="s">
        <v>10</v>
      </c>
      <c r="P56" s="23">
        <v>-38.67315</v>
      </c>
      <c r="Q56" s="23">
        <v>145.59949</v>
      </c>
      <c r="R56" s="11" t="s">
        <v>588</v>
      </c>
      <c r="S56" s="11" t="s">
        <v>588</v>
      </c>
      <c r="T56" s="11">
        <v>2</v>
      </c>
      <c r="U56" s="11">
        <v>3</v>
      </c>
      <c r="V56" s="13" t="s">
        <v>588</v>
      </c>
      <c r="W56" s="11" t="s">
        <v>588</v>
      </c>
      <c r="X56" s="11">
        <v>3</v>
      </c>
      <c r="Y56" s="11">
        <v>3</v>
      </c>
      <c r="Z56" s="11" t="s">
        <v>41</v>
      </c>
      <c r="AA56" s="13">
        <v>43455</v>
      </c>
      <c r="AB56" s="11">
        <v>21</v>
      </c>
      <c r="AC56" s="11">
        <v>12</v>
      </c>
      <c r="AD56" s="11">
        <v>2018</v>
      </c>
      <c r="AE56" s="13" t="s">
        <v>1407</v>
      </c>
      <c r="AF56" s="11" t="s">
        <v>7</v>
      </c>
      <c r="AG56" s="13">
        <v>43469</v>
      </c>
      <c r="AH56" s="11">
        <v>4</v>
      </c>
      <c r="AI56" s="11">
        <v>1</v>
      </c>
      <c r="AJ56" s="11">
        <v>2019</v>
      </c>
      <c r="AK56" s="13" t="s">
        <v>1396</v>
      </c>
      <c r="AL56" s="11" t="s">
        <v>12</v>
      </c>
      <c r="AM56" s="13" t="s">
        <v>20</v>
      </c>
      <c r="AN56" s="11" t="s">
        <v>41</v>
      </c>
      <c r="AO56" s="13" t="s">
        <v>41</v>
      </c>
      <c r="AP56" s="11" t="s">
        <v>588</v>
      </c>
      <c r="AQ56" s="13" t="s">
        <v>588</v>
      </c>
      <c r="AR56" s="11" t="s">
        <v>588</v>
      </c>
      <c r="AS56" s="13" t="s">
        <v>588</v>
      </c>
      <c r="AT56" s="11" t="s">
        <v>588</v>
      </c>
      <c r="AU56" s="13" t="s">
        <v>588</v>
      </c>
      <c r="AV56" s="13" t="s">
        <v>588</v>
      </c>
      <c r="AW56" s="13" t="s">
        <v>588</v>
      </c>
      <c r="AX56" s="13" t="s">
        <v>588</v>
      </c>
      <c r="AY56" s="13" t="s">
        <v>588</v>
      </c>
      <c r="AZ56" s="13" t="s">
        <v>588</v>
      </c>
      <c r="BA56" s="13" t="s">
        <v>588</v>
      </c>
      <c r="BB56" s="13" t="s">
        <v>588</v>
      </c>
      <c r="BC56" s="13" t="s">
        <v>588</v>
      </c>
      <c r="BD56" s="13" t="s">
        <v>588</v>
      </c>
      <c r="BE56" s="13" t="s">
        <v>588</v>
      </c>
      <c r="BF56" s="13" t="s">
        <v>588</v>
      </c>
      <c r="BG56" s="13" t="s">
        <v>588</v>
      </c>
      <c r="BH56" s="13" t="s">
        <v>588</v>
      </c>
      <c r="BI56" s="13" t="s">
        <v>588</v>
      </c>
      <c r="BJ56" s="13" t="s">
        <v>588</v>
      </c>
      <c r="BK56" s="13" t="s">
        <v>588</v>
      </c>
      <c r="BL56" s="13" t="s">
        <v>588</v>
      </c>
      <c r="BM56" s="13" t="s">
        <v>588</v>
      </c>
      <c r="BN56" s="13" t="s">
        <v>588</v>
      </c>
      <c r="BO56" s="13" t="s">
        <v>588</v>
      </c>
      <c r="BP56" s="13" t="s">
        <v>588</v>
      </c>
      <c r="BQ56" s="13" t="s">
        <v>588</v>
      </c>
      <c r="BR56" s="13" t="s">
        <v>588</v>
      </c>
      <c r="BS56" s="11" t="s">
        <v>8</v>
      </c>
      <c r="BT56" s="11" t="s">
        <v>9</v>
      </c>
      <c r="BU56" s="11" t="s">
        <v>9</v>
      </c>
      <c r="BV56" s="13" t="s">
        <v>588</v>
      </c>
      <c r="BW56" s="13" t="s">
        <v>588</v>
      </c>
      <c r="BX56" s="13" t="s">
        <v>588</v>
      </c>
      <c r="BY56" s="13" t="s">
        <v>588</v>
      </c>
      <c r="BZ56" s="13" t="s">
        <v>588</v>
      </c>
    </row>
    <row r="57" spans="1:78" x14ac:dyDescent="0.25">
      <c r="A57" s="11">
        <v>201819</v>
      </c>
      <c r="B57" s="11" t="s">
        <v>54</v>
      </c>
      <c r="C57" s="11" t="s">
        <v>54</v>
      </c>
      <c r="D57" s="11" t="s">
        <v>16</v>
      </c>
      <c r="E57" s="11" t="s">
        <v>16</v>
      </c>
      <c r="F57" s="11">
        <v>2</v>
      </c>
      <c r="G57" s="11" t="s">
        <v>1364</v>
      </c>
      <c r="H57" s="11" t="s">
        <v>1433</v>
      </c>
      <c r="I57" s="13">
        <v>43479</v>
      </c>
      <c r="J57" s="11">
        <v>14</v>
      </c>
      <c r="K57" s="11">
        <v>1</v>
      </c>
      <c r="L57" s="11">
        <v>2019</v>
      </c>
      <c r="M57" s="11" t="s">
        <v>1420</v>
      </c>
      <c r="N57" s="11" t="s">
        <v>12</v>
      </c>
      <c r="O57" s="11" t="s">
        <v>10</v>
      </c>
      <c r="P57" s="23" t="s">
        <v>588</v>
      </c>
      <c r="Q57" s="23" t="s">
        <v>588</v>
      </c>
      <c r="R57" s="11" t="s">
        <v>588</v>
      </c>
      <c r="S57" s="11" t="s">
        <v>588</v>
      </c>
      <c r="T57" s="11">
        <v>3</v>
      </c>
      <c r="U57" s="11">
        <v>3</v>
      </c>
      <c r="V57" s="13">
        <v>43483</v>
      </c>
      <c r="W57" s="11" t="s">
        <v>223</v>
      </c>
      <c r="X57" s="11">
        <v>8</v>
      </c>
      <c r="Y57" s="11">
        <v>8</v>
      </c>
      <c r="Z57" s="11" t="s">
        <v>8</v>
      </c>
      <c r="AA57" s="13">
        <v>43503</v>
      </c>
      <c r="AB57" s="11">
        <v>7</v>
      </c>
      <c r="AC57" s="11">
        <v>2</v>
      </c>
      <c r="AD57" s="11">
        <v>2019</v>
      </c>
      <c r="AE57" s="13" t="s">
        <v>1434</v>
      </c>
      <c r="AF57" s="11" t="s">
        <v>21</v>
      </c>
      <c r="AG57" s="11" t="s">
        <v>588</v>
      </c>
      <c r="AH57" s="11" t="s">
        <v>588</v>
      </c>
      <c r="AI57" s="11" t="s">
        <v>588</v>
      </c>
      <c r="AJ57" s="11" t="s">
        <v>588</v>
      </c>
      <c r="AK57" s="13" t="s">
        <v>588</v>
      </c>
      <c r="AL57" s="11" t="s">
        <v>588</v>
      </c>
      <c r="AM57" s="13" t="s">
        <v>588</v>
      </c>
      <c r="AN57" s="11" t="s">
        <v>588</v>
      </c>
      <c r="AO57" s="13" t="s">
        <v>588</v>
      </c>
      <c r="AP57" s="13">
        <v>43511</v>
      </c>
      <c r="AQ57" s="11" t="s">
        <v>21</v>
      </c>
      <c r="AR57" s="11" t="s">
        <v>195</v>
      </c>
      <c r="AS57" s="11">
        <v>1</v>
      </c>
      <c r="AT57" s="11">
        <v>3</v>
      </c>
      <c r="AU57" s="13">
        <v>43511</v>
      </c>
      <c r="AV57" s="13">
        <v>43512</v>
      </c>
      <c r="AW57" s="13" t="s">
        <v>21</v>
      </c>
      <c r="AX57" s="13" t="s">
        <v>20</v>
      </c>
      <c r="AY57" s="13" t="s">
        <v>41</v>
      </c>
      <c r="AZ57" s="13" t="s">
        <v>41</v>
      </c>
      <c r="BA57" s="13" t="s">
        <v>588</v>
      </c>
      <c r="BB57" s="13" t="s">
        <v>588</v>
      </c>
      <c r="BC57" s="13" t="s">
        <v>588</v>
      </c>
      <c r="BD57" s="13" t="s">
        <v>588</v>
      </c>
      <c r="BE57" s="13" t="s">
        <v>588</v>
      </c>
      <c r="BF57" s="13" t="s">
        <v>588</v>
      </c>
      <c r="BG57" s="13" t="s">
        <v>588</v>
      </c>
      <c r="BH57" s="13" t="s">
        <v>588</v>
      </c>
      <c r="BI57" s="13" t="s">
        <v>588</v>
      </c>
      <c r="BJ57" s="13" t="s">
        <v>588</v>
      </c>
      <c r="BK57" s="13" t="s">
        <v>588</v>
      </c>
      <c r="BL57" s="13" t="s">
        <v>588</v>
      </c>
      <c r="BM57" s="13" t="s">
        <v>588</v>
      </c>
      <c r="BN57" s="13" t="s">
        <v>588</v>
      </c>
      <c r="BO57" s="13" t="s">
        <v>41</v>
      </c>
      <c r="BP57" s="13" t="s">
        <v>588</v>
      </c>
      <c r="BQ57" s="13" t="s">
        <v>588</v>
      </c>
      <c r="BR57" s="13" t="s">
        <v>588</v>
      </c>
      <c r="BS57" s="11" t="s">
        <v>8</v>
      </c>
      <c r="BT57" s="11" t="s">
        <v>9</v>
      </c>
      <c r="BU57" s="11" t="s">
        <v>9</v>
      </c>
      <c r="BV57" s="11" t="s">
        <v>8</v>
      </c>
      <c r="BW57" s="11" t="s">
        <v>18</v>
      </c>
      <c r="BX57" s="11" t="s">
        <v>18</v>
      </c>
      <c r="BY57" s="13" t="s">
        <v>588</v>
      </c>
      <c r="BZ57" s="13" t="s">
        <v>588</v>
      </c>
    </row>
    <row r="58" spans="1:78" x14ac:dyDescent="0.25">
      <c r="A58" s="11">
        <v>201819</v>
      </c>
      <c r="B58" s="11" t="s">
        <v>56</v>
      </c>
      <c r="C58" s="11" t="s">
        <v>56</v>
      </c>
      <c r="D58" s="11" t="s">
        <v>5</v>
      </c>
      <c r="E58" s="11" t="s">
        <v>80</v>
      </c>
      <c r="F58" s="11">
        <v>1</v>
      </c>
      <c r="G58" s="11" t="s">
        <v>1365</v>
      </c>
      <c r="H58" s="11" t="s">
        <v>1365</v>
      </c>
      <c r="I58" s="13">
        <v>43397</v>
      </c>
      <c r="J58" s="11">
        <v>24</v>
      </c>
      <c r="K58" s="11">
        <v>10</v>
      </c>
      <c r="L58" s="11">
        <v>2018</v>
      </c>
      <c r="M58" s="11" t="s">
        <v>1413</v>
      </c>
      <c r="N58" s="11" t="s">
        <v>29</v>
      </c>
      <c r="O58" s="11" t="s">
        <v>51</v>
      </c>
      <c r="P58" s="23">
        <v>-38.658180000000002</v>
      </c>
      <c r="Q58" s="23">
        <v>145.57909000000001</v>
      </c>
      <c r="R58" s="11" t="s">
        <v>588</v>
      </c>
      <c r="S58" s="11" t="s">
        <v>588</v>
      </c>
      <c r="T58" s="11">
        <v>3</v>
      </c>
      <c r="U58" s="11">
        <v>3</v>
      </c>
      <c r="V58" s="13">
        <v>43766</v>
      </c>
      <c r="W58" s="11" t="s">
        <v>223</v>
      </c>
      <c r="X58" s="11">
        <v>4</v>
      </c>
      <c r="Y58" s="11">
        <v>4</v>
      </c>
      <c r="Z58" s="11" t="s">
        <v>41</v>
      </c>
      <c r="AA58" s="13">
        <v>43416</v>
      </c>
      <c r="AB58" s="11">
        <v>12</v>
      </c>
      <c r="AC58" s="11">
        <v>11</v>
      </c>
      <c r="AD58" s="11">
        <v>2018</v>
      </c>
      <c r="AE58" s="13" t="s">
        <v>1376</v>
      </c>
      <c r="AF58" s="11" t="s">
        <v>17</v>
      </c>
      <c r="AG58" s="13">
        <v>43423</v>
      </c>
      <c r="AH58" s="11">
        <v>19</v>
      </c>
      <c r="AI58" s="11">
        <v>11</v>
      </c>
      <c r="AJ58" s="11">
        <v>2018</v>
      </c>
      <c r="AK58" s="13" t="s">
        <v>1397</v>
      </c>
      <c r="AL58" s="11" t="s">
        <v>17</v>
      </c>
      <c r="AM58" s="11" t="s">
        <v>20</v>
      </c>
      <c r="AN58" s="11" t="s">
        <v>8</v>
      </c>
      <c r="AO58" s="11" t="s">
        <v>1067</v>
      </c>
      <c r="AP58" s="11" t="s">
        <v>588</v>
      </c>
      <c r="AQ58" s="13" t="s">
        <v>588</v>
      </c>
      <c r="AR58" s="11" t="s">
        <v>588</v>
      </c>
      <c r="AS58" s="13" t="s">
        <v>588</v>
      </c>
      <c r="AT58" s="11" t="s">
        <v>588</v>
      </c>
      <c r="AU58" s="13" t="s">
        <v>588</v>
      </c>
      <c r="AV58" s="13" t="s">
        <v>588</v>
      </c>
      <c r="AW58" s="13" t="s">
        <v>588</v>
      </c>
      <c r="AX58" s="13" t="s">
        <v>588</v>
      </c>
      <c r="AY58" s="13" t="s">
        <v>588</v>
      </c>
      <c r="AZ58" s="13" t="s">
        <v>588</v>
      </c>
      <c r="BA58" s="13" t="s">
        <v>588</v>
      </c>
      <c r="BB58" s="13" t="s">
        <v>588</v>
      </c>
      <c r="BC58" s="13" t="s">
        <v>588</v>
      </c>
      <c r="BD58" s="13" t="s">
        <v>588</v>
      </c>
      <c r="BE58" s="13" t="s">
        <v>588</v>
      </c>
      <c r="BF58" s="13" t="s">
        <v>588</v>
      </c>
      <c r="BG58" s="13" t="s">
        <v>588</v>
      </c>
      <c r="BH58" s="13" t="s">
        <v>588</v>
      </c>
      <c r="BI58" s="13" t="s">
        <v>588</v>
      </c>
      <c r="BJ58" s="13" t="s">
        <v>588</v>
      </c>
      <c r="BK58" s="13" t="s">
        <v>588</v>
      </c>
      <c r="BL58" s="13" t="s">
        <v>588</v>
      </c>
      <c r="BM58" s="13" t="s">
        <v>588</v>
      </c>
      <c r="BN58" s="13" t="s">
        <v>588</v>
      </c>
      <c r="BO58" s="13" t="s">
        <v>588</v>
      </c>
      <c r="BP58" s="13" t="s">
        <v>588</v>
      </c>
      <c r="BQ58" s="13" t="s">
        <v>588</v>
      </c>
      <c r="BR58" s="13" t="s">
        <v>588</v>
      </c>
      <c r="BS58" s="11" t="s">
        <v>8</v>
      </c>
      <c r="BT58" s="11" t="s">
        <v>9</v>
      </c>
      <c r="BU58" s="11" t="s">
        <v>9</v>
      </c>
      <c r="BV58" s="13" t="s">
        <v>588</v>
      </c>
      <c r="BW58" s="13" t="s">
        <v>588</v>
      </c>
      <c r="BX58" s="13" t="s">
        <v>588</v>
      </c>
      <c r="BY58" s="13" t="s">
        <v>588</v>
      </c>
      <c r="BZ58" s="13" t="s">
        <v>588</v>
      </c>
    </row>
    <row r="59" spans="1:78" x14ac:dyDescent="0.25">
      <c r="A59" s="11">
        <v>201819</v>
      </c>
      <c r="B59" s="11" t="s">
        <v>56</v>
      </c>
      <c r="C59" s="11" t="s">
        <v>56</v>
      </c>
      <c r="D59" s="11" t="s">
        <v>5</v>
      </c>
      <c r="E59" s="11" t="s">
        <v>80</v>
      </c>
      <c r="F59" s="11">
        <v>1</v>
      </c>
      <c r="G59" s="11" t="s">
        <v>1366</v>
      </c>
      <c r="H59" s="11" t="s">
        <v>1366</v>
      </c>
      <c r="I59" s="13">
        <v>43436</v>
      </c>
      <c r="J59" s="11">
        <v>2</v>
      </c>
      <c r="K59" s="11">
        <v>12</v>
      </c>
      <c r="L59" s="11">
        <v>2018</v>
      </c>
      <c r="M59" s="11" t="s">
        <v>1402</v>
      </c>
      <c r="N59" s="11" t="s">
        <v>7</v>
      </c>
      <c r="O59" s="11" t="s">
        <v>36</v>
      </c>
      <c r="P59" s="23">
        <v>-38.658160000000002</v>
      </c>
      <c r="Q59" s="23">
        <v>145.57921999999999</v>
      </c>
      <c r="R59" s="11" t="s">
        <v>588</v>
      </c>
      <c r="S59" s="11" t="s">
        <v>588</v>
      </c>
      <c r="T59" s="11">
        <v>2</v>
      </c>
      <c r="U59" s="11">
        <v>3</v>
      </c>
      <c r="V59" s="11" t="s">
        <v>588</v>
      </c>
      <c r="W59" s="11" t="s">
        <v>588</v>
      </c>
      <c r="X59" s="11">
        <v>2</v>
      </c>
      <c r="Y59" s="11">
        <v>2</v>
      </c>
      <c r="Z59" s="11" t="s">
        <v>41</v>
      </c>
      <c r="AA59" s="13">
        <v>43436</v>
      </c>
      <c r="AB59" s="11">
        <v>2</v>
      </c>
      <c r="AC59" s="11">
        <v>12</v>
      </c>
      <c r="AD59" s="11">
        <v>2018</v>
      </c>
      <c r="AE59" s="13" t="s">
        <v>1402</v>
      </c>
      <c r="AF59" s="11" t="s">
        <v>7</v>
      </c>
      <c r="AG59" s="13">
        <v>43439</v>
      </c>
      <c r="AH59" s="11">
        <v>5</v>
      </c>
      <c r="AI59" s="11">
        <v>12</v>
      </c>
      <c r="AJ59" s="11">
        <v>2018</v>
      </c>
      <c r="AK59" s="13" t="s">
        <v>1377</v>
      </c>
      <c r="AL59" s="11" t="s">
        <v>7</v>
      </c>
      <c r="AM59" s="11" t="s">
        <v>20</v>
      </c>
      <c r="AN59" s="11" t="s">
        <v>41</v>
      </c>
      <c r="AO59" s="13" t="s">
        <v>41</v>
      </c>
      <c r="AP59" s="11" t="s">
        <v>588</v>
      </c>
      <c r="AQ59" s="13" t="s">
        <v>588</v>
      </c>
      <c r="AR59" s="11" t="s">
        <v>588</v>
      </c>
      <c r="AS59" s="13" t="s">
        <v>588</v>
      </c>
      <c r="AT59" s="11" t="s">
        <v>588</v>
      </c>
      <c r="AU59" s="13" t="s">
        <v>588</v>
      </c>
      <c r="AV59" s="13" t="s">
        <v>588</v>
      </c>
      <c r="AW59" s="13" t="s">
        <v>588</v>
      </c>
      <c r="AX59" s="13" t="s">
        <v>588</v>
      </c>
      <c r="AY59" s="13" t="s">
        <v>588</v>
      </c>
      <c r="AZ59" s="13" t="s">
        <v>588</v>
      </c>
      <c r="BA59" s="13" t="s">
        <v>588</v>
      </c>
      <c r="BB59" s="13" t="s">
        <v>588</v>
      </c>
      <c r="BC59" s="13" t="s">
        <v>588</v>
      </c>
      <c r="BD59" s="13" t="s">
        <v>588</v>
      </c>
      <c r="BE59" s="13" t="s">
        <v>588</v>
      </c>
      <c r="BF59" s="13" t="s">
        <v>588</v>
      </c>
      <c r="BG59" s="13" t="s">
        <v>588</v>
      </c>
      <c r="BH59" s="13" t="s">
        <v>588</v>
      </c>
      <c r="BI59" s="13" t="s">
        <v>588</v>
      </c>
      <c r="BJ59" s="13" t="s">
        <v>588</v>
      </c>
      <c r="BK59" s="13" t="s">
        <v>588</v>
      </c>
      <c r="BL59" s="13" t="s">
        <v>588</v>
      </c>
      <c r="BM59" s="13" t="s">
        <v>588</v>
      </c>
      <c r="BN59" s="13" t="s">
        <v>588</v>
      </c>
      <c r="BO59" s="13" t="s">
        <v>588</v>
      </c>
      <c r="BP59" s="13" t="s">
        <v>588</v>
      </c>
      <c r="BQ59" s="13" t="s">
        <v>588</v>
      </c>
      <c r="BR59" s="13" t="s">
        <v>588</v>
      </c>
      <c r="BS59" s="11" t="s">
        <v>8</v>
      </c>
      <c r="BT59" s="11" t="s">
        <v>9</v>
      </c>
      <c r="BU59" s="11" t="s">
        <v>9</v>
      </c>
      <c r="BV59" s="13" t="s">
        <v>588</v>
      </c>
      <c r="BW59" s="13" t="s">
        <v>588</v>
      </c>
      <c r="BX59" s="13" t="s">
        <v>588</v>
      </c>
      <c r="BY59" s="13" t="s">
        <v>588</v>
      </c>
      <c r="BZ59" s="13" t="s">
        <v>588</v>
      </c>
    </row>
    <row r="60" spans="1:78" x14ac:dyDescent="0.25">
      <c r="A60" s="11">
        <v>201819</v>
      </c>
      <c r="B60" s="11" t="s">
        <v>56</v>
      </c>
      <c r="C60" s="11" t="s">
        <v>56</v>
      </c>
      <c r="D60" s="11" t="s">
        <v>5</v>
      </c>
      <c r="E60" s="11" t="s">
        <v>80</v>
      </c>
      <c r="F60" s="11">
        <v>1</v>
      </c>
      <c r="G60" s="11" t="s">
        <v>1367</v>
      </c>
      <c r="H60" s="11" t="s">
        <v>1367</v>
      </c>
      <c r="I60" s="13">
        <v>43466</v>
      </c>
      <c r="J60" s="11">
        <v>1</v>
      </c>
      <c r="K60" s="11">
        <v>1</v>
      </c>
      <c r="L60" s="11">
        <v>2019</v>
      </c>
      <c r="M60" s="11" t="s">
        <v>1395</v>
      </c>
      <c r="N60" s="11" t="s">
        <v>12</v>
      </c>
      <c r="O60" s="11" t="s">
        <v>51</v>
      </c>
      <c r="P60" s="23">
        <v>-38.658160000000002</v>
      </c>
      <c r="Q60" s="23">
        <v>145.57916</v>
      </c>
      <c r="R60" s="11" t="s">
        <v>588</v>
      </c>
      <c r="S60" s="11" t="s">
        <v>588</v>
      </c>
      <c r="T60" s="11">
        <v>3</v>
      </c>
      <c r="U60" s="11">
        <v>3</v>
      </c>
      <c r="V60" s="11" t="s">
        <v>588</v>
      </c>
      <c r="W60" s="11" t="s">
        <v>588</v>
      </c>
      <c r="X60" s="11">
        <v>7</v>
      </c>
      <c r="Y60" s="11">
        <v>7</v>
      </c>
      <c r="Z60" s="11" t="s">
        <v>41</v>
      </c>
      <c r="AA60" s="13">
        <v>43500</v>
      </c>
      <c r="AB60" s="11">
        <v>4</v>
      </c>
      <c r="AC60" s="11">
        <v>2</v>
      </c>
      <c r="AD60" s="11">
        <v>2019</v>
      </c>
      <c r="AE60" s="13" t="s">
        <v>1383</v>
      </c>
      <c r="AF60" s="11" t="s">
        <v>21</v>
      </c>
      <c r="AG60" s="13">
        <v>43507</v>
      </c>
      <c r="AH60" s="11">
        <v>11</v>
      </c>
      <c r="AI60" s="11">
        <v>2</v>
      </c>
      <c r="AJ60" s="11">
        <v>2019</v>
      </c>
      <c r="AK60" s="13" t="s">
        <v>1398</v>
      </c>
      <c r="AL60" s="11" t="s">
        <v>21</v>
      </c>
      <c r="AM60" s="11" t="s">
        <v>20</v>
      </c>
      <c r="AN60" s="11" t="s">
        <v>8</v>
      </c>
      <c r="AO60" s="11" t="s">
        <v>11</v>
      </c>
      <c r="AP60" s="11" t="s">
        <v>588</v>
      </c>
      <c r="AQ60" s="13" t="s">
        <v>588</v>
      </c>
      <c r="AR60" s="11" t="s">
        <v>588</v>
      </c>
      <c r="AS60" s="13" t="s">
        <v>588</v>
      </c>
      <c r="AT60" s="11" t="s">
        <v>588</v>
      </c>
      <c r="AU60" s="13" t="s">
        <v>588</v>
      </c>
      <c r="AV60" s="13" t="s">
        <v>588</v>
      </c>
      <c r="AW60" s="13" t="s">
        <v>588</v>
      </c>
      <c r="AX60" s="13" t="s">
        <v>588</v>
      </c>
      <c r="AY60" s="13" t="s">
        <v>588</v>
      </c>
      <c r="AZ60" s="13" t="s">
        <v>588</v>
      </c>
      <c r="BA60" s="13" t="s">
        <v>588</v>
      </c>
      <c r="BB60" s="13" t="s">
        <v>588</v>
      </c>
      <c r="BC60" s="13" t="s">
        <v>588</v>
      </c>
      <c r="BD60" s="13" t="s">
        <v>588</v>
      </c>
      <c r="BE60" s="13" t="s">
        <v>588</v>
      </c>
      <c r="BF60" s="13" t="s">
        <v>588</v>
      </c>
      <c r="BG60" s="13" t="s">
        <v>588</v>
      </c>
      <c r="BH60" s="13" t="s">
        <v>588</v>
      </c>
      <c r="BI60" s="13" t="s">
        <v>588</v>
      </c>
      <c r="BJ60" s="13" t="s">
        <v>588</v>
      </c>
      <c r="BK60" s="13" t="s">
        <v>588</v>
      </c>
      <c r="BL60" s="13" t="s">
        <v>588</v>
      </c>
      <c r="BM60" s="13" t="s">
        <v>588</v>
      </c>
      <c r="BN60" s="13" t="s">
        <v>588</v>
      </c>
      <c r="BO60" s="13" t="s">
        <v>588</v>
      </c>
      <c r="BP60" s="13" t="s">
        <v>588</v>
      </c>
      <c r="BQ60" s="13" t="s">
        <v>588</v>
      </c>
      <c r="BR60" s="13" t="s">
        <v>588</v>
      </c>
      <c r="BS60" s="11" t="s">
        <v>8</v>
      </c>
      <c r="BT60" s="11" t="s">
        <v>9</v>
      </c>
      <c r="BU60" s="11" t="s">
        <v>9</v>
      </c>
      <c r="BV60" s="13" t="s">
        <v>588</v>
      </c>
      <c r="BW60" s="13" t="s">
        <v>588</v>
      </c>
      <c r="BX60" s="13" t="s">
        <v>588</v>
      </c>
      <c r="BY60" s="13" t="s">
        <v>588</v>
      </c>
      <c r="BZ60" s="13" t="s">
        <v>588</v>
      </c>
    </row>
    <row r="61" spans="1:78" x14ac:dyDescent="0.25">
      <c r="A61" s="11">
        <v>201819</v>
      </c>
      <c r="B61" s="11" t="s">
        <v>56</v>
      </c>
      <c r="C61" s="11" t="s">
        <v>56</v>
      </c>
      <c r="D61" s="11" t="s">
        <v>5</v>
      </c>
      <c r="E61" s="11" t="s">
        <v>80</v>
      </c>
      <c r="F61" s="11">
        <v>1</v>
      </c>
      <c r="G61" s="11" t="s">
        <v>1368</v>
      </c>
      <c r="H61" s="11" t="s">
        <v>1368</v>
      </c>
      <c r="I61" s="13">
        <v>43481</v>
      </c>
      <c r="J61" s="11">
        <v>16</v>
      </c>
      <c r="K61" s="11">
        <v>1</v>
      </c>
      <c r="L61" s="11">
        <v>2019</v>
      </c>
      <c r="M61" s="11" t="s">
        <v>1602</v>
      </c>
      <c r="N61" s="11" t="s">
        <v>12</v>
      </c>
      <c r="O61" s="11" t="s">
        <v>10</v>
      </c>
      <c r="P61" s="11">
        <v>-38.658250000000002</v>
      </c>
      <c r="Q61" s="11">
        <v>145.57915</v>
      </c>
      <c r="R61" s="11" t="s">
        <v>588</v>
      </c>
      <c r="S61" s="11" t="s">
        <v>588</v>
      </c>
      <c r="T61" s="11">
        <v>3</v>
      </c>
      <c r="U61" s="11">
        <v>3</v>
      </c>
      <c r="V61" s="13">
        <v>43485</v>
      </c>
      <c r="W61" s="11" t="s">
        <v>223</v>
      </c>
      <c r="X61" s="11">
        <v>5</v>
      </c>
      <c r="Y61" s="11">
        <v>5</v>
      </c>
      <c r="Z61" s="11" t="s">
        <v>41</v>
      </c>
      <c r="AA61" s="13">
        <v>43500</v>
      </c>
      <c r="AB61" s="11">
        <v>4</v>
      </c>
      <c r="AC61" s="11">
        <v>2</v>
      </c>
      <c r="AD61" s="11">
        <v>2019</v>
      </c>
      <c r="AE61" s="13" t="s">
        <v>1383</v>
      </c>
      <c r="AF61" s="11" t="s">
        <v>21</v>
      </c>
      <c r="AG61" s="13">
        <v>43507</v>
      </c>
      <c r="AH61" s="11">
        <v>11</v>
      </c>
      <c r="AI61" s="11">
        <v>2</v>
      </c>
      <c r="AJ61" s="11">
        <v>2019</v>
      </c>
      <c r="AK61" s="13" t="s">
        <v>1398</v>
      </c>
      <c r="AL61" s="11" t="s">
        <v>21</v>
      </c>
      <c r="AM61" s="11" t="s">
        <v>20</v>
      </c>
      <c r="AN61" s="11" t="s">
        <v>8</v>
      </c>
      <c r="AO61" s="11" t="s">
        <v>11</v>
      </c>
      <c r="AP61" s="11" t="s">
        <v>588</v>
      </c>
      <c r="AQ61" s="13" t="s">
        <v>588</v>
      </c>
      <c r="AR61" s="11" t="s">
        <v>588</v>
      </c>
      <c r="AS61" s="13" t="s">
        <v>588</v>
      </c>
      <c r="AT61" s="11" t="s">
        <v>588</v>
      </c>
      <c r="AU61" s="13" t="s">
        <v>588</v>
      </c>
      <c r="AV61" s="13" t="s">
        <v>588</v>
      </c>
      <c r="AW61" s="13" t="s">
        <v>588</v>
      </c>
      <c r="AX61" s="13" t="s">
        <v>588</v>
      </c>
      <c r="AY61" s="13" t="s">
        <v>588</v>
      </c>
      <c r="AZ61" s="13" t="s">
        <v>588</v>
      </c>
      <c r="BA61" s="13" t="s">
        <v>588</v>
      </c>
      <c r="BB61" s="13" t="s">
        <v>588</v>
      </c>
      <c r="BC61" s="13" t="s">
        <v>588</v>
      </c>
      <c r="BD61" s="13" t="s">
        <v>588</v>
      </c>
      <c r="BE61" s="13" t="s">
        <v>588</v>
      </c>
      <c r="BF61" s="13" t="s">
        <v>588</v>
      </c>
      <c r="BG61" s="13" t="s">
        <v>588</v>
      </c>
      <c r="BH61" s="13" t="s">
        <v>588</v>
      </c>
      <c r="BI61" s="13" t="s">
        <v>588</v>
      </c>
      <c r="BJ61" s="13" t="s">
        <v>588</v>
      </c>
      <c r="BK61" s="13" t="s">
        <v>588</v>
      </c>
      <c r="BL61" s="13" t="s">
        <v>588</v>
      </c>
      <c r="BM61" s="13" t="s">
        <v>588</v>
      </c>
      <c r="BN61" s="13" t="s">
        <v>588</v>
      </c>
      <c r="BO61" s="13" t="s">
        <v>588</v>
      </c>
      <c r="BP61" s="13" t="s">
        <v>588</v>
      </c>
      <c r="BQ61" s="13" t="s">
        <v>588</v>
      </c>
      <c r="BR61" s="13" t="s">
        <v>588</v>
      </c>
      <c r="BS61" s="11" t="s">
        <v>8</v>
      </c>
      <c r="BT61" s="11" t="s">
        <v>9</v>
      </c>
      <c r="BU61" s="11" t="s">
        <v>9</v>
      </c>
      <c r="BV61" s="13" t="s">
        <v>588</v>
      </c>
      <c r="BW61" s="13" t="s">
        <v>588</v>
      </c>
      <c r="BX61" s="13" t="s">
        <v>588</v>
      </c>
      <c r="BY61" s="13" t="s">
        <v>588</v>
      </c>
      <c r="BZ61" s="13" t="s">
        <v>588</v>
      </c>
    </row>
    <row r="62" spans="1:78" x14ac:dyDescent="0.25">
      <c r="A62" s="11">
        <v>201819</v>
      </c>
      <c r="B62" s="11" t="s">
        <v>56</v>
      </c>
      <c r="C62" s="11" t="s">
        <v>56</v>
      </c>
      <c r="D62" s="11" t="s">
        <v>5</v>
      </c>
      <c r="E62" s="11" t="s">
        <v>80</v>
      </c>
      <c r="F62" s="11">
        <v>1</v>
      </c>
      <c r="G62" s="11" t="s">
        <v>1368</v>
      </c>
      <c r="H62" s="11" t="s">
        <v>1601</v>
      </c>
      <c r="I62" s="13">
        <v>43522</v>
      </c>
      <c r="J62" s="11">
        <v>26</v>
      </c>
      <c r="K62" s="11">
        <v>2</v>
      </c>
      <c r="L62" s="11">
        <v>2019</v>
      </c>
      <c r="M62" s="11" t="s">
        <v>1435</v>
      </c>
      <c r="N62" s="11" t="s">
        <v>21</v>
      </c>
      <c r="O62" s="11" t="s">
        <v>51</v>
      </c>
      <c r="P62" s="23">
        <v>-38.658127999999998</v>
      </c>
      <c r="Q62" s="23">
        <v>145.57907599999999</v>
      </c>
      <c r="R62" s="11" t="s">
        <v>588</v>
      </c>
      <c r="S62" s="11" t="s">
        <v>588</v>
      </c>
      <c r="T62" s="11">
        <v>2</v>
      </c>
      <c r="U62" s="11">
        <v>3</v>
      </c>
      <c r="V62" s="11" t="s">
        <v>588</v>
      </c>
      <c r="W62" s="11" t="s">
        <v>588</v>
      </c>
      <c r="X62" s="11">
        <v>4</v>
      </c>
      <c r="Y62" s="11">
        <v>4</v>
      </c>
      <c r="Z62" s="11" t="s">
        <v>41</v>
      </c>
      <c r="AA62" s="13">
        <v>43537</v>
      </c>
      <c r="AB62" s="11">
        <v>13</v>
      </c>
      <c r="AC62" s="11">
        <v>3</v>
      </c>
      <c r="AD62" s="11">
        <v>2019</v>
      </c>
      <c r="AE62" s="13" t="s">
        <v>1436</v>
      </c>
      <c r="AF62" s="11" t="s">
        <v>22</v>
      </c>
      <c r="AG62" s="13">
        <v>43551</v>
      </c>
      <c r="AH62" s="11">
        <v>27</v>
      </c>
      <c r="AI62" s="11">
        <v>3</v>
      </c>
      <c r="AJ62" s="11">
        <v>2019</v>
      </c>
      <c r="AK62" s="13" t="s">
        <v>1399</v>
      </c>
      <c r="AL62" s="11" t="s">
        <v>22</v>
      </c>
      <c r="AM62" s="11" t="s">
        <v>20</v>
      </c>
      <c r="AN62" s="11" t="s">
        <v>41</v>
      </c>
      <c r="AO62" s="13" t="s">
        <v>41</v>
      </c>
      <c r="AP62" s="11" t="s">
        <v>588</v>
      </c>
      <c r="AQ62" s="13" t="s">
        <v>588</v>
      </c>
      <c r="AR62" s="11" t="s">
        <v>588</v>
      </c>
      <c r="AS62" s="13" t="s">
        <v>588</v>
      </c>
      <c r="AT62" s="11" t="s">
        <v>588</v>
      </c>
      <c r="AU62" s="13" t="s">
        <v>588</v>
      </c>
      <c r="AV62" s="13" t="s">
        <v>588</v>
      </c>
      <c r="AW62" s="13" t="s">
        <v>588</v>
      </c>
      <c r="AX62" s="13" t="s">
        <v>588</v>
      </c>
      <c r="AY62" s="13" t="s">
        <v>588</v>
      </c>
      <c r="AZ62" s="13" t="s">
        <v>588</v>
      </c>
      <c r="BA62" s="13" t="s">
        <v>588</v>
      </c>
      <c r="BB62" s="13" t="s">
        <v>588</v>
      </c>
      <c r="BC62" s="13" t="s">
        <v>588</v>
      </c>
      <c r="BD62" s="13" t="s">
        <v>588</v>
      </c>
      <c r="BE62" s="13" t="s">
        <v>588</v>
      </c>
      <c r="BF62" s="13" t="s">
        <v>588</v>
      </c>
      <c r="BG62" s="13" t="s">
        <v>588</v>
      </c>
      <c r="BH62" s="13" t="s">
        <v>588</v>
      </c>
      <c r="BI62" s="13" t="s">
        <v>588</v>
      </c>
      <c r="BJ62" s="13" t="s">
        <v>588</v>
      </c>
      <c r="BK62" s="13" t="s">
        <v>588</v>
      </c>
      <c r="BL62" s="13" t="s">
        <v>588</v>
      </c>
      <c r="BM62" s="13" t="s">
        <v>588</v>
      </c>
      <c r="BN62" s="13" t="s">
        <v>588</v>
      </c>
      <c r="BO62" s="13" t="s">
        <v>588</v>
      </c>
      <c r="BP62" s="13" t="s">
        <v>588</v>
      </c>
      <c r="BQ62" s="13" t="s">
        <v>588</v>
      </c>
      <c r="BR62" s="13" t="s">
        <v>588</v>
      </c>
      <c r="BS62" s="11" t="s">
        <v>8</v>
      </c>
      <c r="BT62" s="11" t="s">
        <v>9</v>
      </c>
      <c r="BU62" s="11" t="s">
        <v>9</v>
      </c>
      <c r="BV62" s="13" t="s">
        <v>588</v>
      </c>
      <c r="BW62" s="13" t="s">
        <v>588</v>
      </c>
      <c r="BX62" s="13" t="s">
        <v>588</v>
      </c>
      <c r="BY62" s="13" t="s">
        <v>588</v>
      </c>
      <c r="BZ62" s="13" t="s">
        <v>588</v>
      </c>
    </row>
    <row r="63" spans="1:78" x14ac:dyDescent="0.25">
      <c r="AE63" s="13"/>
      <c r="AK63" s="13"/>
    </row>
    <row r="64" spans="1:78" x14ac:dyDescent="0.25">
      <c r="AE64" s="13"/>
      <c r="AK64" s="13"/>
    </row>
    <row r="65" spans="31:37" x14ac:dyDescent="0.25">
      <c r="AE65" s="13"/>
      <c r="AK65" s="13"/>
    </row>
    <row r="66" spans="31:37" x14ac:dyDescent="0.25">
      <c r="AE66" s="13"/>
      <c r="AK66" s="13"/>
    </row>
    <row r="67" spans="31:37" x14ac:dyDescent="0.25">
      <c r="AE67" s="13"/>
      <c r="AK67" s="13"/>
    </row>
    <row r="68" spans="31:37" x14ac:dyDescent="0.25">
      <c r="AE68" s="13"/>
      <c r="AK68" s="13"/>
    </row>
    <row r="69" spans="31:37" x14ac:dyDescent="0.25">
      <c r="AE69" s="13"/>
      <c r="AK69" s="13"/>
    </row>
    <row r="70" spans="31:37" x14ac:dyDescent="0.25">
      <c r="AE70" s="13"/>
      <c r="AK70" s="13"/>
    </row>
  </sheetData>
  <autoFilter ref="A1:BZ62" xr:uid="{1842F327-9276-4BD6-8A94-2FF59F7E6DC5}">
    <sortState xmlns:xlrd2="http://schemas.microsoft.com/office/spreadsheetml/2017/richdata2" ref="A2:BZ62">
      <sortCondition ref="B1:B62"/>
    </sortState>
  </autoFilter>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07D74-F36E-486A-98BC-20110321DDF8}">
  <dimension ref="A1:BZ79"/>
  <sheetViews>
    <sheetView tabSelected="1" zoomScale="80" zoomScaleNormal="80" workbookViewId="0">
      <pane xSplit="9" ySplit="1" topLeftCell="BT26" activePane="bottomRight" state="frozen"/>
      <selection pane="topRight" activeCell="H1" sqref="H1"/>
      <selection pane="bottomLeft" activeCell="A2" sqref="A2"/>
      <selection pane="bottomRight" activeCell="BU42" sqref="BU42"/>
    </sheetView>
  </sheetViews>
  <sheetFormatPr defaultColWidth="9.140625" defaultRowHeight="15" x14ac:dyDescent="0.25"/>
  <cols>
    <col min="1" max="1" width="7.7109375" style="11" bestFit="1" customWidth="1"/>
    <col min="2" max="2" width="15.7109375" style="11" customWidth="1"/>
    <col min="3" max="3" width="30.7109375" style="11" customWidth="1"/>
    <col min="4" max="5" width="5.7109375" style="11" customWidth="1"/>
    <col min="6" max="6" width="9.140625" style="11"/>
    <col min="7" max="7" width="15.7109375" style="11" customWidth="1"/>
    <col min="8" max="8" width="37.42578125" style="11" customWidth="1"/>
    <col min="9" max="9" width="13.7109375" style="11" customWidth="1"/>
    <col min="10" max="10" width="8.42578125" style="11" customWidth="1"/>
    <col min="11" max="11" width="9.5703125" style="11" customWidth="1"/>
    <col min="12" max="12" width="8.42578125" style="11" customWidth="1"/>
    <col min="13" max="13" width="27" style="11" customWidth="1"/>
    <col min="14" max="14" width="9.140625" style="11" customWidth="1"/>
    <col min="15" max="15" width="11" style="11" customWidth="1"/>
    <col min="16" max="16" width="13.28515625" style="11" customWidth="1"/>
    <col min="17" max="17" width="12" style="11" customWidth="1"/>
    <col min="18" max="19" width="9.140625" style="11" customWidth="1"/>
    <col min="20" max="21" width="9.140625" style="11"/>
    <col min="22" max="22" width="11.5703125" bestFit="1" customWidth="1"/>
    <col min="24" max="26" width="9.140625" style="11"/>
    <col min="27" max="27" width="15.140625" style="11" customWidth="1"/>
    <col min="28" max="28" width="8.42578125" style="11" bestFit="1" customWidth="1"/>
    <col min="29" max="29" width="9.5703125" style="11" bestFit="1" customWidth="1"/>
    <col min="30" max="30" width="8.42578125" style="11" bestFit="1" customWidth="1"/>
    <col min="31" max="31" width="27" style="11" bestFit="1" customWidth="1"/>
    <col min="32" max="32" width="14" style="11" customWidth="1"/>
    <col min="33" max="33" width="12" style="11" customWidth="1"/>
    <col min="34" max="34" width="8.42578125" style="11" bestFit="1" customWidth="1"/>
    <col min="35" max="35" width="9.5703125" style="11" bestFit="1" customWidth="1"/>
    <col min="36" max="36" width="8.42578125" style="11" bestFit="1" customWidth="1"/>
    <col min="37" max="37" width="25.5703125" style="11" bestFit="1" customWidth="1"/>
    <col min="38" max="41" width="9.140625" style="11"/>
    <col min="42" max="42" width="12.28515625" style="11" customWidth="1"/>
    <col min="43" max="46" width="9.140625" style="11"/>
    <col min="47" max="47" width="13" style="11" customWidth="1"/>
    <col min="48" max="48" width="13.85546875" style="11" customWidth="1"/>
    <col min="49" max="52" width="9.140625" style="11"/>
    <col min="53" max="53" width="13.28515625" style="11" customWidth="1"/>
    <col min="54" max="54" width="11.7109375" style="11" customWidth="1"/>
    <col min="55" max="55" width="10.42578125" style="11" customWidth="1"/>
    <col min="56" max="58" width="9.140625" style="11"/>
    <col min="59" max="59" width="14" style="11" customWidth="1"/>
    <col min="60" max="60" width="14.28515625" style="11" customWidth="1"/>
    <col min="61" max="68" width="9.140625" style="11"/>
    <col min="69" max="69" width="12.5703125" style="11" customWidth="1"/>
    <col min="70" max="72" width="9.140625" style="11"/>
    <col min="73" max="73" width="41.85546875" style="11" bestFit="1" customWidth="1"/>
    <col min="74" max="75" width="9.140625" style="11"/>
    <col min="76" max="76" width="50.5703125" style="11" bestFit="1" customWidth="1"/>
    <col min="77" max="16384" width="9.140625" style="11"/>
  </cols>
  <sheetData>
    <row r="1" spans="1:78" x14ac:dyDescent="0.25">
      <c r="A1" s="12" t="s">
        <v>0</v>
      </c>
      <c r="B1" s="12" t="s">
        <v>139</v>
      </c>
      <c r="C1" s="9" t="s">
        <v>231</v>
      </c>
      <c r="D1" s="12" t="s">
        <v>1</v>
      </c>
      <c r="E1" s="12" t="s">
        <v>2</v>
      </c>
      <c r="F1" s="12" t="s">
        <v>140</v>
      </c>
      <c r="G1" s="12" t="s">
        <v>141</v>
      </c>
      <c r="H1" s="9" t="s">
        <v>593</v>
      </c>
      <c r="I1" s="12" t="s">
        <v>142</v>
      </c>
      <c r="J1" s="12" t="s">
        <v>589</v>
      </c>
      <c r="K1" s="12" t="s">
        <v>590</v>
      </c>
      <c r="L1" s="12" t="s">
        <v>591</v>
      </c>
      <c r="M1" s="9" t="s">
        <v>592</v>
      </c>
      <c r="N1" s="12" t="s">
        <v>143</v>
      </c>
      <c r="O1" s="12" t="s">
        <v>3</v>
      </c>
      <c r="P1" s="2" t="s">
        <v>212</v>
      </c>
      <c r="Q1" s="2" t="s">
        <v>213</v>
      </c>
      <c r="R1" s="21" t="s">
        <v>144</v>
      </c>
      <c r="S1" s="21" t="s">
        <v>145</v>
      </c>
      <c r="T1" s="12" t="s">
        <v>146</v>
      </c>
      <c r="U1" s="12" t="s">
        <v>147</v>
      </c>
      <c r="V1" s="2" t="s">
        <v>148</v>
      </c>
      <c r="W1" s="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4" t="s">
        <v>596</v>
      </c>
      <c r="BV1" s="12" t="s">
        <v>190</v>
      </c>
      <c r="BW1" s="12" t="s">
        <v>191</v>
      </c>
      <c r="BX1" s="14" t="s">
        <v>597</v>
      </c>
      <c r="BY1" s="12" t="s">
        <v>192</v>
      </c>
      <c r="BZ1" s="12" t="s">
        <v>193</v>
      </c>
    </row>
    <row r="2" spans="1:78" x14ac:dyDescent="0.25">
      <c r="A2" s="11">
        <v>201718</v>
      </c>
      <c r="B2" s="11" t="s">
        <v>509</v>
      </c>
      <c r="C2" s="11" t="s">
        <v>509</v>
      </c>
      <c r="D2" s="11" t="s">
        <v>377</v>
      </c>
      <c r="E2" s="11" t="s">
        <v>647</v>
      </c>
      <c r="F2" s="11">
        <v>1</v>
      </c>
      <c r="G2" s="11" t="s">
        <v>1475</v>
      </c>
      <c r="H2" s="11" t="s">
        <v>1475</v>
      </c>
      <c r="I2" s="13">
        <v>43073</v>
      </c>
      <c r="J2" s="11">
        <v>4</v>
      </c>
      <c r="K2" s="11">
        <v>12</v>
      </c>
      <c r="L2" s="11">
        <v>2017</v>
      </c>
      <c r="M2" s="13" t="s">
        <v>1523</v>
      </c>
      <c r="N2" s="11" t="s">
        <v>7</v>
      </c>
      <c r="O2" s="11" t="s">
        <v>10</v>
      </c>
      <c r="P2" s="11">
        <v>-38.613840000000003</v>
      </c>
      <c r="Q2" s="11">
        <v>145.54029</v>
      </c>
      <c r="R2" s="11" t="s">
        <v>588</v>
      </c>
      <c r="S2" s="11" t="s">
        <v>588</v>
      </c>
      <c r="T2" s="11">
        <v>1</v>
      </c>
      <c r="U2" s="11">
        <v>3</v>
      </c>
      <c r="V2" t="s">
        <v>588</v>
      </c>
      <c r="W2" t="s">
        <v>588</v>
      </c>
      <c r="X2" s="11">
        <v>2</v>
      </c>
      <c r="Y2" s="11">
        <v>2</v>
      </c>
      <c r="Z2" s="11" t="s">
        <v>41</v>
      </c>
      <c r="AA2" s="13">
        <v>43073</v>
      </c>
      <c r="AB2" s="11">
        <v>4</v>
      </c>
      <c r="AC2" s="11">
        <v>12</v>
      </c>
      <c r="AD2" s="11">
        <v>2017</v>
      </c>
      <c r="AE2" s="13" t="s">
        <v>1523</v>
      </c>
      <c r="AF2" s="11" t="s">
        <v>7</v>
      </c>
      <c r="AG2" s="13">
        <v>43087</v>
      </c>
      <c r="AH2" s="11">
        <v>18</v>
      </c>
      <c r="AI2" s="11">
        <v>12</v>
      </c>
      <c r="AJ2" s="11">
        <v>2017</v>
      </c>
      <c r="AK2" s="13" t="s">
        <v>1526</v>
      </c>
      <c r="AL2" s="11" t="s">
        <v>7</v>
      </c>
      <c r="AM2" s="11" t="s">
        <v>20</v>
      </c>
      <c r="AN2" s="11" t="s">
        <v>41</v>
      </c>
      <c r="AO2" s="11" t="s">
        <v>20</v>
      </c>
      <c r="AP2" s="11" t="s">
        <v>588</v>
      </c>
      <c r="AQ2" s="11" t="s">
        <v>588</v>
      </c>
      <c r="AR2" s="11" t="s">
        <v>588</v>
      </c>
      <c r="AS2" s="11" t="s">
        <v>588</v>
      </c>
      <c r="AT2" s="11" t="s">
        <v>588</v>
      </c>
      <c r="AU2" s="11" t="s">
        <v>588</v>
      </c>
      <c r="AV2" s="11" t="s">
        <v>588</v>
      </c>
      <c r="AW2" s="11" t="s">
        <v>588</v>
      </c>
      <c r="AX2" s="11" t="s">
        <v>588</v>
      </c>
      <c r="AY2" s="11" t="s">
        <v>588</v>
      </c>
      <c r="AZ2" s="11" t="s">
        <v>588</v>
      </c>
      <c r="BA2" s="11" t="s">
        <v>588</v>
      </c>
      <c r="BB2" s="11" t="s">
        <v>588</v>
      </c>
      <c r="BC2" s="11" t="s">
        <v>588</v>
      </c>
      <c r="BD2" s="11" t="s">
        <v>588</v>
      </c>
      <c r="BE2" s="11" t="s">
        <v>588</v>
      </c>
      <c r="BF2" s="11" t="s">
        <v>588</v>
      </c>
      <c r="BG2" s="11" t="s">
        <v>588</v>
      </c>
      <c r="BH2" s="11" t="s">
        <v>588</v>
      </c>
      <c r="BI2" s="11" t="s">
        <v>588</v>
      </c>
      <c r="BJ2" s="11" t="s">
        <v>588</v>
      </c>
      <c r="BK2" s="11" t="s">
        <v>588</v>
      </c>
      <c r="BL2" s="11" t="s">
        <v>588</v>
      </c>
      <c r="BM2" s="11" t="s">
        <v>588</v>
      </c>
      <c r="BN2" s="11" t="s">
        <v>588</v>
      </c>
      <c r="BO2" s="11" t="s">
        <v>588</v>
      </c>
      <c r="BP2" s="11" t="s">
        <v>588</v>
      </c>
      <c r="BQ2" s="11" t="s">
        <v>588</v>
      </c>
      <c r="BR2" s="11" t="s">
        <v>588</v>
      </c>
      <c r="BS2" s="11" t="s">
        <v>41</v>
      </c>
      <c r="BT2" s="11" t="s">
        <v>42</v>
      </c>
      <c r="BU2" s="11" t="s">
        <v>42</v>
      </c>
      <c r="BV2" s="11" t="s">
        <v>588</v>
      </c>
      <c r="BW2" s="11" t="s">
        <v>588</v>
      </c>
      <c r="BX2" s="11" t="s">
        <v>588</v>
      </c>
      <c r="BY2" s="11" t="s">
        <v>588</v>
      </c>
      <c r="BZ2" s="11" t="s">
        <v>588</v>
      </c>
    </row>
    <row r="3" spans="1:78" x14ac:dyDescent="0.25">
      <c r="A3" s="11">
        <v>201718</v>
      </c>
      <c r="B3" s="11" t="s">
        <v>509</v>
      </c>
      <c r="C3" s="11" t="s">
        <v>509</v>
      </c>
      <c r="D3" s="11" t="s">
        <v>377</v>
      </c>
      <c r="E3" s="11" t="s">
        <v>647</v>
      </c>
      <c r="F3" s="11">
        <v>2</v>
      </c>
      <c r="G3" s="11" t="s">
        <v>1476</v>
      </c>
      <c r="H3" s="11" t="s">
        <v>1476</v>
      </c>
      <c r="I3" s="13">
        <v>43115</v>
      </c>
      <c r="J3" s="11">
        <v>15</v>
      </c>
      <c r="K3" s="11">
        <v>1</v>
      </c>
      <c r="L3" s="11">
        <v>2018</v>
      </c>
      <c r="M3" s="13" t="s">
        <v>1584</v>
      </c>
      <c r="N3" s="11" t="s">
        <v>12</v>
      </c>
      <c r="O3" s="11" t="s">
        <v>10</v>
      </c>
      <c r="P3" s="11">
        <v>-38.613379999999999</v>
      </c>
      <c r="Q3" s="11">
        <v>145.53989000000001</v>
      </c>
      <c r="R3" s="11" t="s">
        <v>588</v>
      </c>
      <c r="S3" s="11" t="s">
        <v>588</v>
      </c>
      <c r="T3" s="11">
        <v>1</v>
      </c>
      <c r="U3" s="11">
        <v>3</v>
      </c>
      <c r="V3" t="s">
        <v>588</v>
      </c>
      <c r="W3" t="s">
        <v>588</v>
      </c>
      <c r="X3" s="11">
        <v>2</v>
      </c>
      <c r="Y3" s="11">
        <v>2</v>
      </c>
      <c r="Z3" s="11" t="s">
        <v>41</v>
      </c>
      <c r="AA3" s="13">
        <v>43115</v>
      </c>
      <c r="AB3" s="11">
        <v>15</v>
      </c>
      <c r="AC3" s="11">
        <v>1</v>
      </c>
      <c r="AD3" s="11">
        <v>2018</v>
      </c>
      <c r="AE3" s="13" t="s">
        <v>1584</v>
      </c>
      <c r="AF3" s="11" t="s">
        <v>12</v>
      </c>
      <c r="AG3" s="13">
        <v>43143</v>
      </c>
      <c r="AH3" s="11">
        <v>12</v>
      </c>
      <c r="AI3" s="11">
        <v>2</v>
      </c>
      <c r="AJ3" s="11">
        <v>2018</v>
      </c>
      <c r="AK3" s="13" t="s">
        <v>1538</v>
      </c>
      <c r="AL3" s="11" t="s">
        <v>21</v>
      </c>
      <c r="AM3" s="11" t="s">
        <v>20</v>
      </c>
      <c r="AN3" s="11" t="s">
        <v>41</v>
      </c>
      <c r="AO3" s="11" t="s">
        <v>20</v>
      </c>
      <c r="AP3" s="11" t="s">
        <v>588</v>
      </c>
      <c r="AQ3" s="11" t="s">
        <v>588</v>
      </c>
      <c r="AR3" s="11" t="s">
        <v>588</v>
      </c>
      <c r="AS3" s="11" t="s">
        <v>588</v>
      </c>
      <c r="AT3" s="11" t="s">
        <v>588</v>
      </c>
      <c r="AU3" s="11" t="s">
        <v>588</v>
      </c>
      <c r="AV3" s="11" t="s">
        <v>588</v>
      </c>
      <c r="AW3" s="11" t="s">
        <v>588</v>
      </c>
      <c r="AX3" s="11" t="s">
        <v>588</v>
      </c>
      <c r="AY3" s="11" t="s">
        <v>588</v>
      </c>
      <c r="AZ3" s="11" t="s">
        <v>588</v>
      </c>
      <c r="BA3" s="11" t="s">
        <v>588</v>
      </c>
      <c r="BB3" s="11" t="s">
        <v>588</v>
      </c>
      <c r="BC3" s="11" t="s">
        <v>588</v>
      </c>
      <c r="BD3" s="11" t="s">
        <v>588</v>
      </c>
      <c r="BE3" s="11" t="s">
        <v>588</v>
      </c>
      <c r="BF3" s="11" t="s">
        <v>588</v>
      </c>
      <c r="BG3" s="11" t="s">
        <v>588</v>
      </c>
      <c r="BH3" s="11" t="s">
        <v>588</v>
      </c>
      <c r="BI3" s="11" t="s">
        <v>588</v>
      </c>
      <c r="BJ3" s="11" t="s">
        <v>588</v>
      </c>
      <c r="BK3" s="11" t="s">
        <v>588</v>
      </c>
      <c r="BL3" s="11" t="s">
        <v>588</v>
      </c>
      <c r="BM3" s="11" t="s">
        <v>588</v>
      </c>
      <c r="BN3" s="11" t="s">
        <v>588</v>
      </c>
      <c r="BO3" s="11" t="s">
        <v>588</v>
      </c>
      <c r="BP3" s="11" t="s">
        <v>588</v>
      </c>
      <c r="BQ3" s="11" t="s">
        <v>588</v>
      </c>
      <c r="BR3" s="11" t="s">
        <v>588</v>
      </c>
      <c r="BS3" s="11" t="s">
        <v>41</v>
      </c>
      <c r="BT3" s="11" t="s">
        <v>42</v>
      </c>
      <c r="BU3" s="11" t="s">
        <v>42</v>
      </c>
      <c r="BV3" s="11" t="s">
        <v>588</v>
      </c>
      <c r="BW3" s="11" t="s">
        <v>588</v>
      </c>
      <c r="BX3" s="11" t="s">
        <v>588</v>
      </c>
      <c r="BY3" s="11" t="s">
        <v>588</v>
      </c>
      <c r="BZ3" s="11" t="s">
        <v>588</v>
      </c>
    </row>
    <row r="4" spans="1:78" x14ac:dyDescent="0.25">
      <c r="A4" s="11">
        <v>201718</v>
      </c>
      <c r="B4" s="11" t="s">
        <v>577</v>
      </c>
      <c r="C4" s="11" t="s">
        <v>577</v>
      </c>
      <c r="D4" s="11" t="s">
        <v>1437</v>
      </c>
      <c r="E4" s="11" t="s">
        <v>234</v>
      </c>
      <c r="F4" s="11">
        <v>2</v>
      </c>
      <c r="G4" s="11" t="s">
        <v>1478</v>
      </c>
      <c r="H4" s="11" t="s">
        <v>1478</v>
      </c>
      <c r="I4" s="13">
        <v>43115</v>
      </c>
      <c r="J4" s="11">
        <v>15</v>
      </c>
      <c r="K4" s="11">
        <v>1</v>
      </c>
      <c r="L4" s="11">
        <v>2018</v>
      </c>
      <c r="M4" s="13" t="s">
        <v>1584</v>
      </c>
      <c r="N4" s="11" t="s">
        <v>12</v>
      </c>
      <c r="O4" s="11" t="s">
        <v>10</v>
      </c>
      <c r="P4" s="11">
        <v>-38.618259999999999</v>
      </c>
      <c r="Q4" s="11">
        <v>145.54330999999999</v>
      </c>
      <c r="R4" s="11" t="s">
        <v>588</v>
      </c>
      <c r="S4" s="11" t="s">
        <v>588</v>
      </c>
      <c r="T4" s="11">
        <v>1</v>
      </c>
      <c r="U4" s="11">
        <v>3</v>
      </c>
      <c r="V4" t="s">
        <v>588</v>
      </c>
      <c r="W4" t="s">
        <v>588</v>
      </c>
      <c r="X4" s="11">
        <v>2</v>
      </c>
      <c r="Y4" s="11">
        <v>2</v>
      </c>
      <c r="Z4" s="11" t="s">
        <v>41</v>
      </c>
      <c r="AA4" s="13">
        <v>43115</v>
      </c>
      <c r="AB4" s="11">
        <v>15</v>
      </c>
      <c r="AC4" s="11">
        <v>1</v>
      </c>
      <c r="AD4" s="11">
        <v>2018</v>
      </c>
      <c r="AE4" s="13" t="s">
        <v>1584</v>
      </c>
      <c r="AF4" s="11" t="s">
        <v>12</v>
      </c>
      <c r="AG4" s="13">
        <v>43143</v>
      </c>
      <c r="AH4" s="11">
        <v>12</v>
      </c>
      <c r="AI4" s="11">
        <v>2</v>
      </c>
      <c r="AJ4" s="11">
        <v>2018</v>
      </c>
      <c r="AK4" s="13" t="s">
        <v>1538</v>
      </c>
      <c r="AL4" s="11" t="s">
        <v>7</v>
      </c>
      <c r="AM4" s="11" t="s">
        <v>20</v>
      </c>
      <c r="AN4" s="11" t="s">
        <v>41</v>
      </c>
      <c r="AO4" s="11" t="s">
        <v>20</v>
      </c>
      <c r="AP4" s="11" t="s">
        <v>588</v>
      </c>
      <c r="AQ4" s="11" t="s">
        <v>588</v>
      </c>
      <c r="AR4" s="11" t="s">
        <v>588</v>
      </c>
      <c r="AS4" s="11" t="s">
        <v>588</v>
      </c>
      <c r="AT4" s="11" t="s">
        <v>588</v>
      </c>
      <c r="AU4" s="11" t="s">
        <v>588</v>
      </c>
      <c r="AV4" s="11" t="s">
        <v>588</v>
      </c>
      <c r="AW4" s="11" t="s">
        <v>588</v>
      </c>
      <c r="AX4" s="11" t="s">
        <v>588</v>
      </c>
      <c r="AY4" s="11" t="s">
        <v>588</v>
      </c>
      <c r="AZ4" s="11" t="s">
        <v>588</v>
      </c>
      <c r="BA4" s="11" t="s">
        <v>588</v>
      </c>
      <c r="BB4" s="11" t="s">
        <v>588</v>
      </c>
      <c r="BC4" s="11" t="s">
        <v>588</v>
      </c>
      <c r="BD4" s="11" t="s">
        <v>588</v>
      </c>
      <c r="BE4" s="11" t="s">
        <v>588</v>
      </c>
      <c r="BF4" s="11" t="s">
        <v>588</v>
      </c>
      <c r="BG4" s="11" t="s">
        <v>588</v>
      </c>
      <c r="BH4" s="11" t="s">
        <v>588</v>
      </c>
      <c r="BI4" s="11" t="s">
        <v>588</v>
      </c>
      <c r="BJ4" s="11" t="s">
        <v>588</v>
      </c>
      <c r="BK4" s="11" t="s">
        <v>588</v>
      </c>
      <c r="BL4" s="11" t="s">
        <v>588</v>
      </c>
      <c r="BM4" s="11" t="s">
        <v>588</v>
      </c>
      <c r="BN4" s="11" t="s">
        <v>588</v>
      </c>
      <c r="BO4" s="11" t="s">
        <v>588</v>
      </c>
      <c r="BP4" s="11" t="s">
        <v>588</v>
      </c>
      <c r="BQ4" s="11" t="s">
        <v>588</v>
      </c>
      <c r="BR4" s="11" t="s">
        <v>588</v>
      </c>
      <c r="BS4" s="11" t="s">
        <v>41</v>
      </c>
      <c r="BT4" s="11" t="s">
        <v>42</v>
      </c>
      <c r="BU4" s="11" t="s">
        <v>42</v>
      </c>
      <c r="BV4" s="11" t="s">
        <v>588</v>
      </c>
      <c r="BW4" s="11" t="s">
        <v>588</v>
      </c>
      <c r="BX4" s="11" t="s">
        <v>588</v>
      </c>
      <c r="BY4" s="11" t="s">
        <v>588</v>
      </c>
      <c r="BZ4" s="11" t="s">
        <v>588</v>
      </c>
    </row>
    <row r="5" spans="1:78" x14ac:dyDescent="0.25">
      <c r="A5" s="11">
        <v>201718</v>
      </c>
      <c r="B5" s="11" t="s">
        <v>577</v>
      </c>
      <c r="C5" s="11" t="s">
        <v>380</v>
      </c>
      <c r="D5" s="11" t="s">
        <v>1437</v>
      </c>
      <c r="E5" s="11" t="s">
        <v>234</v>
      </c>
      <c r="F5" s="11">
        <v>1</v>
      </c>
      <c r="G5" s="11" t="s">
        <v>1477</v>
      </c>
      <c r="H5" s="11" t="s">
        <v>1608</v>
      </c>
      <c r="I5" s="13">
        <v>43087</v>
      </c>
      <c r="J5" s="11">
        <v>18</v>
      </c>
      <c r="K5" s="11">
        <v>12</v>
      </c>
      <c r="L5" s="11">
        <v>2017</v>
      </c>
      <c r="M5" s="13" t="s">
        <v>1526</v>
      </c>
      <c r="N5" s="11" t="s">
        <v>7</v>
      </c>
      <c r="O5" s="11" t="s">
        <v>10</v>
      </c>
      <c r="P5" s="11">
        <v>-38.621960000000001</v>
      </c>
      <c r="Q5" s="11">
        <v>145.54564999999999</v>
      </c>
      <c r="R5" s="11" t="s">
        <v>588</v>
      </c>
      <c r="S5" s="11" t="s">
        <v>588</v>
      </c>
      <c r="T5" s="11">
        <v>3</v>
      </c>
      <c r="U5" s="11">
        <v>3</v>
      </c>
      <c r="V5" t="s">
        <v>588</v>
      </c>
      <c r="W5" t="s">
        <v>588</v>
      </c>
      <c r="X5" s="11">
        <v>1</v>
      </c>
      <c r="Y5" s="11">
        <v>1</v>
      </c>
      <c r="Z5" s="11" t="s">
        <v>8</v>
      </c>
      <c r="AA5" s="13">
        <v>43087</v>
      </c>
      <c r="AB5" s="11">
        <v>18</v>
      </c>
      <c r="AC5" s="11">
        <v>12</v>
      </c>
      <c r="AD5" s="11">
        <v>2017</v>
      </c>
      <c r="AE5" s="13" t="s">
        <v>1526</v>
      </c>
      <c r="AF5" s="11" t="s">
        <v>7</v>
      </c>
      <c r="AG5" s="11" t="s">
        <v>588</v>
      </c>
      <c r="AH5" s="11" t="s">
        <v>588</v>
      </c>
      <c r="AI5" s="11" t="s">
        <v>588</v>
      </c>
      <c r="AJ5" s="11" t="s">
        <v>588</v>
      </c>
      <c r="AK5" s="13" t="s">
        <v>588</v>
      </c>
      <c r="AL5" s="11" t="s">
        <v>588</v>
      </c>
      <c r="AM5" s="11" t="s">
        <v>588</v>
      </c>
      <c r="AN5" s="11" t="s">
        <v>588</v>
      </c>
      <c r="AO5" s="11" t="s">
        <v>588</v>
      </c>
      <c r="AP5" s="13">
        <v>43100</v>
      </c>
      <c r="AQ5" s="11" t="s">
        <v>7</v>
      </c>
      <c r="AR5" s="11" t="s">
        <v>195</v>
      </c>
      <c r="AS5" s="11">
        <v>1</v>
      </c>
      <c r="AT5" s="11">
        <v>3</v>
      </c>
      <c r="AU5" s="13">
        <v>43100</v>
      </c>
      <c r="AV5" s="13">
        <v>43115</v>
      </c>
      <c r="AW5" s="11" t="s">
        <v>12</v>
      </c>
      <c r="AX5" s="11" t="s">
        <v>20</v>
      </c>
      <c r="AY5" s="11" t="s">
        <v>41</v>
      </c>
      <c r="AZ5" s="11" t="s">
        <v>20</v>
      </c>
      <c r="BA5" s="11" t="s">
        <v>588</v>
      </c>
      <c r="BB5" s="11" t="s">
        <v>588</v>
      </c>
      <c r="BC5" s="11" t="s">
        <v>588</v>
      </c>
      <c r="BD5" s="11" t="s">
        <v>588</v>
      </c>
      <c r="BE5" s="11" t="s">
        <v>588</v>
      </c>
      <c r="BF5" s="11" t="s">
        <v>588</v>
      </c>
      <c r="BG5" s="11" t="s">
        <v>588</v>
      </c>
      <c r="BH5" s="11" t="s">
        <v>588</v>
      </c>
      <c r="BI5" s="11" t="s">
        <v>588</v>
      </c>
      <c r="BJ5" s="11" t="s">
        <v>588</v>
      </c>
      <c r="BK5" s="11" t="s">
        <v>588</v>
      </c>
      <c r="BL5" s="11" t="s">
        <v>588</v>
      </c>
      <c r="BM5" s="11" t="s">
        <v>588</v>
      </c>
      <c r="BN5" s="11" t="s">
        <v>588</v>
      </c>
      <c r="BO5" s="11" t="s">
        <v>41</v>
      </c>
      <c r="BP5" s="11" t="s">
        <v>588</v>
      </c>
      <c r="BQ5" s="11" t="s">
        <v>588</v>
      </c>
      <c r="BR5" s="11" t="s">
        <v>588</v>
      </c>
      <c r="BS5" s="11" t="s">
        <v>41</v>
      </c>
      <c r="BT5" s="11" t="s">
        <v>42</v>
      </c>
      <c r="BU5" s="11" t="s">
        <v>42</v>
      </c>
      <c r="BV5" s="11" t="s">
        <v>41</v>
      </c>
      <c r="BW5" s="11" t="s">
        <v>42</v>
      </c>
      <c r="BX5" s="11" t="s">
        <v>42</v>
      </c>
      <c r="BY5" s="11" t="s">
        <v>588</v>
      </c>
      <c r="BZ5" s="11" t="s">
        <v>588</v>
      </c>
    </row>
    <row r="6" spans="1:78" x14ac:dyDescent="0.25">
      <c r="A6" s="11">
        <v>201718</v>
      </c>
      <c r="B6" s="11" t="s">
        <v>239</v>
      </c>
      <c r="C6" s="11" t="s">
        <v>239</v>
      </c>
      <c r="D6" s="11" t="s">
        <v>1438</v>
      </c>
      <c r="E6" s="11" t="s">
        <v>240</v>
      </c>
      <c r="F6" s="11">
        <v>1</v>
      </c>
      <c r="G6" s="11" t="s">
        <v>1479</v>
      </c>
      <c r="H6" s="11" t="s">
        <v>1479</v>
      </c>
      <c r="I6" s="13">
        <v>43087</v>
      </c>
      <c r="J6" s="11">
        <v>18</v>
      </c>
      <c r="K6" s="11">
        <v>12</v>
      </c>
      <c r="L6" s="11">
        <v>2017</v>
      </c>
      <c r="M6" s="13" t="s">
        <v>1526</v>
      </c>
      <c r="N6" s="11" t="s">
        <v>7</v>
      </c>
      <c r="O6" s="11" t="s">
        <v>10</v>
      </c>
      <c r="P6" s="11">
        <v>38.627220000000001</v>
      </c>
      <c r="Q6" s="11">
        <v>145.54850999999999</v>
      </c>
      <c r="R6" s="11" t="s">
        <v>588</v>
      </c>
      <c r="S6" s="11" t="s">
        <v>588</v>
      </c>
      <c r="T6" s="11">
        <v>3</v>
      </c>
      <c r="U6" s="11">
        <v>3</v>
      </c>
      <c r="V6" s="1">
        <v>43089</v>
      </c>
      <c r="W6" t="s">
        <v>223</v>
      </c>
      <c r="X6" s="11">
        <v>3</v>
      </c>
      <c r="Y6" s="11">
        <v>3</v>
      </c>
      <c r="Z6" s="11" t="s">
        <v>41</v>
      </c>
      <c r="AA6" s="13">
        <v>43098</v>
      </c>
      <c r="AB6" s="11">
        <v>29</v>
      </c>
      <c r="AC6" s="11">
        <v>12</v>
      </c>
      <c r="AD6" s="11">
        <v>2017</v>
      </c>
      <c r="AE6" s="13" t="s">
        <v>1525</v>
      </c>
      <c r="AF6" s="11" t="s">
        <v>7</v>
      </c>
      <c r="AG6" s="13">
        <v>43143</v>
      </c>
      <c r="AH6" s="11">
        <v>12</v>
      </c>
      <c r="AI6" s="11">
        <v>2</v>
      </c>
      <c r="AJ6" s="11">
        <v>2018</v>
      </c>
      <c r="AK6" s="13" t="s">
        <v>1538</v>
      </c>
      <c r="AL6" s="11" t="s">
        <v>21</v>
      </c>
      <c r="AM6" s="11" t="s">
        <v>20</v>
      </c>
      <c r="AN6" s="11" t="s">
        <v>41</v>
      </c>
      <c r="AO6" s="11" t="s">
        <v>20</v>
      </c>
      <c r="AP6" s="11" t="s">
        <v>588</v>
      </c>
      <c r="AQ6" s="11" t="s">
        <v>588</v>
      </c>
      <c r="AR6" s="11" t="s">
        <v>588</v>
      </c>
      <c r="AS6" s="11" t="s">
        <v>588</v>
      </c>
      <c r="AT6" s="11" t="s">
        <v>588</v>
      </c>
      <c r="AU6" s="11" t="s">
        <v>588</v>
      </c>
      <c r="AV6" s="11" t="s">
        <v>588</v>
      </c>
      <c r="AW6" s="11" t="s">
        <v>588</v>
      </c>
      <c r="AX6" s="11" t="s">
        <v>588</v>
      </c>
      <c r="AY6" s="11" t="s">
        <v>588</v>
      </c>
      <c r="AZ6" s="11" t="s">
        <v>588</v>
      </c>
      <c r="BA6" s="11" t="s">
        <v>588</v>
      </c>
      <c r="BB6" s="11" t="s">
        <v>588</v>
      </c>
      <c r="BC6" s="11" t="s">
        <v>588</v>
      </c>
      <c r="BD6" s="11" t="s">
        <v>588</v>
      </c>
      <c r="BE6" s="11" t="s">
        <v>588</v>
      </c>
      <c r="BF6" s="11" t="s">
        <v>588</v>
      </c>
      <c r="BG6" s="11" t="s">
        <v>588</v>
      </c>
      <c r="BH6" s="11" t="s">
        <v>588</v>
      </c>
      <c r="BI6" s="11" t="s">
        <v>588</v>
      </c>
      <c r="BJ6" s="11" t="s">
        <v>588</v>
      </c>
      <c r="BK6" s="11" t="s">
        <v>588</v>
      </c>
      <c r="BL6" s="11" t="s">
        <v>588</v>
      </c>
      <c r="BM6" s="11" t="s">
        <v>588</v>
      </c>
      <c r="BN6" s="11" t="s">
        <v>588</v>
      </c>
      <c r="BO6" s="11" t="s">
        <v>588</v>
      </c>
      <c r="BP6" s="11" t="s">
        <v>588</v>
      </c>
      <c r="BQ6" s="11" t="s">
        <v>588</v>
      </c>
      <c r="BR6" s="11" t="s">
        <v>588</v>
      </c>
      <c r="BS6" s="11" t="s">
        <v>41</v>
      </c>
      <c r="BT6" s="11" t="s">
        <v>42</v>
      </c>
      <c r="BU6" s="11" t="s">
        <v>42</v>
      </c>
      <c r="BV6" s="11" t="s">
        <v>588</v>
      </c>
      <c r="BW6" s="11" t="s">
        <v>588</v>
      </c>
      <c r="BX6" s="11" t="s">
        <v>588</v>
      </c>
      <c r="BY6" s="11" t="s">
        <v>588</v>
      </c>
      <c r="BZ6" s="11" t="s">
        <v>588</v>
      </c>
    </row>
    <row r="7" spans="1:78" x14ac:dyDescent="0.25">
      <c r="A7" s="11">
        <v>201718</v>
      </c>
      <c r="B7" s="11" t="s">
        <v>239</v>
      </c>
      <c r="C7" s="11" t="s">
        <v>239</v>
      </c>
      <c r="D7" s="11" t="s">
        <v>1438</v>
      </c>
      <c r="E7" s="11" t="s">
        <v>240</v>
      </c>
      <c r="F7" s="11">
        <v>2</v>
      </c>
      <c r="G7" s="11" t="s">
        <v>1480</v>
      </c>
      <c r="H7" s="11" t="s">
        <v>1480</v>
      </c>
      <c r="I7" s="13">
        <v>43143</v>
      </c>
      <c r="J7" s="11">
        <v>12</v>
      </c>
      <c r="K7" s="11">
        <v>2</v>
      </c>
      <c r="L7" s="11">
        <v>2018</v>
      </c>
      <c r="M7" s="13" t="s">
        <v>1538</v>
      </c>
      <c r="N7" s="11" t="s">
        <v>21</v>
      </c>
      <c r="O7" s="11" t="s">
        <v>10</v>
      </c>
      <c r="P7" s="11">
        <v>-38.627249999999997</v>
      </c>
      <c r="Q7" s="11">
        <v>145.54839999999999</v>
      </c>
      <c r="R7" s="11" t="s">
        <v>588</v>
      </c>
      <c r="S7" s="11" t="s">
        <v>588</v>
      </c>
      <c r="T7" s="11">
        <v>3</v>
      </c>
      <c r="U7" s="11">
        <v>3</v>
      </c>
      <c r="V7" t="s">
        <v>588</v>
      </c>
      <c r="W7" t="s">
        <v>588</v>
      </c>
      <c r="X7" s="11">
        <v>2</v>
      </c>
      <c r="Y7" s="11">
        <v>2</v>
      </c>
      <c r="Z7" s="11" t="s">
        <v>41</v>
      </c>
      <c r="AA7" s="13">
        <v>43143</v>
      </c>
      <c r="AB7" s="11">
        <v>12</v>
      </c>
      <c r="AC7" s="11">
        <v>2</v>
      </c>
      <c r="AD7" s="11">
        <v>2018</v>
      </c>
      <c r="AE7" s="13" t="s">
        <v>1538</v>
      </c>
      <c r="AF7" s="11" t="s">
        <v>21</v>
      </c>
      <c r="AG7" s="13">
        <v>43153</v>
      </c>
      <c r="AH7" s="11">
        <v>22</v>
      </c>
      <c r="AI7" s="11">
        <v>2</v>
      </c>
      <c r="AJ7" s="11">
        <v>2018</v>
      </c>
      <c r="AK7" s="13" t="s">
        <v>1539</v>
      </c>
      <c r="AL7" s="11" t="s">
        <v>21</v>
      </c>
      <c r="AM7" s="11" t="s">
        <v>20</v>
      </c>
      <c r="AN7" s="11" t="s">
        <v>41</v>
      </c>
      <c r="AO7" s="11" t="s">
        <v>20</v>
      </c>
      <c r="AP7" s="11" t="s">
        <v>588</v>
      </c>
      <c r="AQ7" s="11" t="s">
        <v>588</v>
      </c>
      <c r="AR7" s="11" t="s">
        <v>588</v>
      </c>
      <c r="AS7" s="11" t="s">
        <v>588</v>
      </c>
      <c r="AT7" s="11" t="s">
        <v>588</v>
      </c>
      <c r="AU7" s="11" t="s">
        <v>588</v>
      </c>
      <c r="AV7" s="11" t="s">
        <v>588</v>
      </c>
      <c r="AW7" s="11" t="s">
        <v>588</v>
      </c>
      <c r="AX7" s="11" t="s">
        <v>588</v>
      </c>
      <c r="AY7" s="11" t="s">
        <v>588</v>
      </c>
      <c r="AZ7" s="11" t="s">
        <v>588</v>
      </c>
      <c r="BA7" s="11" t="s">
        <v>588</v>
      </c>
      <c r="BB7" s="11" t="s">
        <v>588</v>
      </c>
      <c r="BC7" s="11" t="s">
        <v>588</v>
      </c>
      <c r="BD7" s="11" t="s">
        <v>588</v>
      </c>
      <c r="BE7" s="11" t="s">
        <v>588</v>
      </c>
      <c r="BF7" s="11" t="s">
        <v>588</v>
      </c>
      <c r="BG7" s="11" t="s">
        <v>588</v>
      </c>
      <c r="BH7" s="11" t="s">
        <v>588</v>
      </c>
      <c r="BI7" s="11" t="s">
        <v>588</v>
      </c>
      <c r="BJ7" s="11" t="s">
        <v>588</v>
      </c>
      <c r="BK7" s="11" t="s">
        <v>588</v>
      </c>
      <c r="BL7" s="11" t="s">
        <v>588</v>
      </c>
      <c r="BM7" s="11" t="s">
        <v>588</v>
      </c>
      <c r="BN7" s="11" t="s">
        <v>588</v>
      </c>
      <c r="BO7" s="11" t="s">
        <v>588</v>
      </c>
      <c r="BP7" s="11" t="s">
        <v>588</v>
      </c>
      <c r="BQ7" s="11" t="s">
        <v>588</v>
      </c>
      <c r="BR7" s="11" t="s">
        <v>588</v>
      </c>
      <c r="BS7" s="11" t="s">
        <v>41</v>
      </c>
      <c r="BT7" s="11" t="s">
        <v>42</v>
      </c>
      <c r="BU7" s="11" t="s">
        <v>42</v>
      </c>
      <c r="BV7" s="11" t="s">
        <v>588</v>
      </c>
      <c r="BW7" s="11" t="s">
        <v>588</v>
      </c>
      <c r="BX7" s="11" t="s">
        <v>588</v>
      </c>
      <c r="BY7" s="11" t="s">
        <v>588</v>
      </c>
      <c r="BZ7" s="11" t="s">
        <v>588</v>
      </c>
    </row>
    <row r="8" spans="1:78" x14ac:dyDescent="0.25">
      <c r="A8" s="11">
        <v>201718</v>
      </c>
      <c r="B8" s="11" t="s">
        <v>242</v>
      </c>
      <c r="C8" s="11" t="s">
        <v>242</v>
      </c>
      <c r="D8" s="11" t="s">
        <v>244</v>
      </c>
      <c r="E8" s="11" t="s">
        <v>570</v>
      </c>
      <c r="F8" s="11">
        <v>1</v>
      </c>
      <c r="G8" s="11" t="s">
        <v>1481</v>
      </c>
      <c r="H8" s="11" t="s">
        <v>1481</v>
      </c>
      <c r="I8" s="13">
        <v>43087</v>
      </c>
      <c r="J8" s="11">
        <v>18</v>
      </c>
      <c r="K8" s="11">
        <v>12</v>
      </c>
      <c r="L8" s="11">
        <v>2017</v>
      </c>
      <c r="M8" s="13" t="s">
        <v>1526</v>
      </c>
      <c r="N8" s="11" t="s">
        <v>7</v>
      </c>
      <c r="O8" s="11" t="s">
        <v>10</v>
      </c>
      <c r="P8" s="11">
        <v>-38.610010000000003</v>
      </c>
      <c r="Q8" s="11">
        <v>145.5369</v>
      </c>
      <c r="R8" s="11" t="s">
        <v>588</v>
      </c>
      <c r="S8" s="11" t="s">
        <v>588</v>
      </c>
      <c r="T8" s="11">
        <v>3</v>
      </c>
      <c r="U8" s="11">
        <v>3</v>
      </c>
      <c r="V8" t="s">
        <v>588</v>
      </c>
      <c r="W8" t="s">
        <v>588</v>
      </c>
      <c r="X8" s="11">
        <v>2</v>
      </c>
      <c r="Y8" s="11">
        <v>2</v>
      </c>
      <c r="Z8" s="11" t="s">
        <v>41</v>
      </c>
      <c r="AA8" s="13">
        <v>43087</v>
      </c>
      <c r="AB8" s="11">
        <v>18</v>
      </c>
      <c r="AC8" s="11">
        <v>12</v>
      </c>
      <c r="AD8" s="11">
        <v>2017</v>
      </c>
      <c r="AE8" s="13" t="s">
        <v>1526</v>
      </c>
      <c r="AF8" s="11" t="s">
        <v>7</v>
      </c>
      <c r="AG8" s="13">
        <v>43098</v>
      </c>
      <c r="AH8" s="11">
        <v>29</v>
      </c>
      <c r="AI8" s="11">
        <v>12</v>
      </c>
      <c r="AJ8" s="11">
        <v>2017</v>
      </c>
      <c r="AK8" s="13" t="s">
        <v>1525</v>
      </c>
      <c r="AL8" s="11" t="s">
        <v>7</v>
      </c>
      <c r="AM8" s="11" t="s">
        <v>20</v>
      </c>
      <c r="AN8" s="11" t="s">
        <v>41</v>
      </c>
      <c r="AO8" s="11" t="s">
        <v>20</v>
      </c>
      <c r="AP8" s="11" t="s">
        <v>588</v>
      </c>
      <c r="AQ8" s="11" t="s">
        <v>588</v>
      </c>
      <c r="AR8" s="11" t="s">
        <v>588</v>
      </c>
      <c r="AS8" s="11" t="s">
        <v>588</v>
      </c>
      <c r="AT8" s="11" t="s">
        <v>588</v>
      </c>
      <c r="AU8" s="11" t="s">
        <v>588</v>
      </c>
      <c r="AV8" s="11" t="s">
        <v>588</v>
      </c>
      <c r="AW8" s="11" t="s">
        <v>588</v>
      </c>
      <c r="AX8" s="11" t="s">
        <v>588</v>
      </c>
      <c r="AY8" s="11" t="s">
        <v>588</v>
      </c>
      <c r="AZ8" s="11" t="s">
        <v>588</v>
      </c>
      <c r="BA8" s="11" t="s">
        <v>588</v>
      </c>
      <c r="BB8" s="11" t="s">
        <v>588</v>
      </c>
      <c r="BC8" s="11" t="s">
        <v>588</v>
      </c>
      <c r="BD8" s="11" t="s">
        <v>588</v>
      </c>
      <c r="BE8" s="11" t="s">
        <v>588</v>
      </c>
      <c r="BF8" s="11" t="s">
        <v>588</v>
      </c>
      <c r="BG8" s="11" t="s">
        <v>588</v>
      </c>
      <c r="BH8" s="11" t="s">
        <v>588</v>
      </c>
      <c r="BI8" s="11" t="s">
        <v>588</v>
      </c>
      <c r="BJ8" s="11" t="s">
        <v>588</v>
      </c>
      <c r="BK8" s="11" t="s">
        <v>588</v>
      </c>
      <c r="BL8" s="11" t="s">
        <v>588</v>
      </c>
      <c r="BM8" s="11" t="s">
        <v>588</v>
      </c>
      <c r="BN8" s="11" t="s">
        <v>588</v>
      </c>
      <c r="BO8" s="11" t="s">
        <v>588</v>
      </c>
      <c r="BP8" s="11" t="s">
        <v>588</v>
      </c>
      <c r="BQ8" s="11" t="s">
        <v>588</v>
      </c>
      <c r="BR8" s="11" t="s">
        <v>588</v>
      </c>
      <c r="BS8" s="11" t="s">
        <v>41</v>
      </c>
      <c r="BT8" s="11" t="s">
        <v>42</v>
      </c>
      <c r="BU8" s="11" t="s">
        <v>42</v>
      </c>
      <c r="BV8" s="11" t="s">
        <v>588</v>
      </c>
      <c r="BW8" s="11" t="s">
        <v>588</v>
      </c>
      <c r="BX8" s="11" t="s">
        <v>588</v>
      </c>
      <c r="BY8" s="11" t="s">
        <v>588</v>
      </c>
      <c r="BZ8" s="11" t="s">
        <v>588</v>
      </c>
    </row>
    <row r="9" spans="1:78" x14ac:dyDescent="0.25">
      <c r="A9" s="11">
        <v>201718</v>
      </c>
      <c r="B9" s="11" t="s">
        <v>242</v>
      </c>
      <c r="C9" s="11" t="s">
        <v>242</v>
      </c>
      <c r="D9" s="11" t="s">
        <v>244</v>
      </c>
      <c r="E9" s="11" t="s">
        <v>570</v>
      </c>
      <c r="F9" s="11">
        <v>2</v>
      </c>
      <c r="G9" s="11" t="s">
        <v>1482</v>
      </c>
      <c r="H9" s="11" t="s">
        <v>1482</v>
      </c>
      <c r="I9" s="13">
        <v>43115</v>
      </c>
      <c r="J9" s="11">
        <v>15</v>
      </c>
      <c r="K9" s="11">
        <v>1</v>
      </c>
      <c r="L9" s="11">
        <v>2018</v>
      </c>
      <c r="M9" s="13" t="s">
        <v>1584</v>
      </c>
      <c r="N9" s="11" t="s">
        <v>12</v>
      </c>
      <c r="O9" s="11" t="s">
        <v>10</v>
      </c>
      <c r="P9" s="11">
        <v>-38.610489999999999</v>
      </c>
      <c r="Q9" s="11">
        <v>145.53740999999999</v>
      </c>
      <c r="R9" s="11" t="s">
        <v>588</v>
      </c>
      <c r="S9" s="11" t="s">
        <v>588</v>
      </c>
      <c r="T9" s="11">
        <v>2</v>
      </c>
      <c r="U9" s="11">
        <v>3</v>
      </c>
      <c r="V9" t="s">
        <v>588</v>
      </c>
      <c r="W9" t="s">
        <v>588</v>
      </c>
      <c r="X9" s="11">
        <v>2</v>
      </c>
      <c r="Y9" s="11">
        <v>2</v>
      </c>
      <c r="Z9" s="11" t="s">
        <v>41</v>
      </c>
      <c r="AA9" s="13">
        <v>43115</v>
      </c>
      <c r="AB9" s="11">
        <v>15</v>
      </c>
      <c r="AC9" s="11">
        <v>1</v>
      </c>
      <c r="AD9" s="11">
        <v>2018</v>
      </c>
      <c r="AE9" s="13" t="s">
        <v>1584</v>
      </c>
      <c r="AF9" s="11" t="s">
        <v>12</v>
      </c>
      <c r="AG9" s="13">
        <v>43133</v>
      </c>
      <c r="AH9" s="11">
        <v>2</v>
      </c>
      <c r="AI9" s="11">
        <v>2</v>
      </c>
      <c r="AJ9" s="11">
        <v>2018</v>
      </c>
      <c r="AK9" s="13" t="s">
        <v>1540</v>
      </c>
      <c r="AL9" s="11" t="s">
        <v>21</v>
      </c>
      <c r="AM9" s="11" t="s">
        <v>20</v>
      </c>
      <c r="AN9" s="11" t="s">
        <v>8</v>
      </c>
      <c r="AO9" s="11" t="s">
        <v>32</v>
      </c>
      <c r="AP9" s="11" t="s">
        <v>588</v>
      </c>
      <c r="AQ9" s="11" t="s">
        <v>588</v>
      </c>
      <c r="AR9" s="11" t="s">
        <v>588</v>
      </c>
      <c r="AS9" s="11" t="s">
        <v>588</v>
      </c>
      <c r="AT9" s="11" t="s">
        <v>588</v>
      </c>
      <c r="AU9" s="11" t="s">
        <v>588</v>
      </c>
      <c r="AV9" s="11" t="s">
        <v>588</v>
      </c>
      <c r="AW9" s="11" t="s">
        <v>588</v>
      </c>
      <c r="AX9" s="11" t="s">
        <v>588</v>
      </c>
      <c r="AY9" s="11" t="s">
        <v>588</v>
      </c>
      <c r="AZ9" s="11" t="s">
        <v>588</v>
      </c>
      <c r="BA9" s="11" t="s">
        <v>588</v>
      </c>
      <c r="BB9" s="11" t="s">
        <v>588</v>
      </c>
      <c r="BC9" s="11" t="s">
        <v>588</v>
      </c>
      <c r="BD9" s="11" t="s">
        <v>588</v>
      </c>
      <c r="BE9" s="11" t="s">
        <v>588</v>
      </c>
      <c r="BF9" s="11" t="s">
        <v>588</v>
      </c>
      <c r="BG9" s="11" t="s">
        <v>588</v>
      </c>
      <c r="BH9" s="11" t="s">
        <v>588</v>
      </c>
      <c r="BI9" s="11" t="s">
        <v>588</v>
      </c>
      <c r="BJ9" s="11" t="s">
        <v>588</v>
      </c>
      <c r="BK9" s="11" t="s">
        <v>588</v>
      </c>
      <c r="BL9" s="11" t="s">
        <v>588</v>
      </c>
      <c r="BM9" s="11" t="s">
        <v>588</v>
      </c>
      <c r="BN9" s="11" t="s">
        <v>588</v>
      </c>
      <c r="BO9" s="11" t="s">
        <v>588</v>
      </c>
      <c r="BP9" s="11" t="s">
        <v>588</v>
      </c>
      <c r="BQ9" s="11" t="s">
        <v>588</v>
      </c>
      <c r="BR9" s="11" t="s">
        <v>588</v>
      </c>
      <c r="BS9" s="11" t="s">
        <v>41</v>
      </c>
      <c r="BT9" s="11" t="s">
        <v>42</v>
      </c>
      <c r="BU9" s="11" t="s">
        <v>42</v>
      </c>
      <c r="BV9" s="11" t="s">
        <v>588</v>
      </c>
      <c r="BW9" s="11" t="s">
        <v>588</v>
      </c>
      <c r="BX9" s="11" t="s">
        <v>588</v>
      </c>
      <c r="BY9" s="11" t="s">
        <v>588</v>
      </c>
      <c r="BZ9" s="11" t="s">
        <v>588</v>
      </c>
    </row>
    <row r="10" spans="1:78" x14ac:dyDescent="0.25">
      <c r="A10" s="11">
        <v>201718</v>
      </c>
      <c r="B10" s="11" t="s">
        <v>242</v>
      </c>
      <c r="C10" s="11" t="s">
        <v>242</v>
      </c>
      <c r="D10" s="11" t="s">
        <v>244</v>
      </c>
      <c r="E10" s="11" t="s">
        <v>570</v>
      </c>
      <c r="F10" s="11">
        <v>3</v>
      </c>
      <c r="G10" s="11" t="s">
        <v>1483</v>
      </c>
      <c r="H10" s="11" t="s">
        <v>1483</v>
      </c>
      <c r="I10" s="13">
        <v>43143</v>
      </c>
      <c r="J10" s="11">
        <v>12</v>
      </c>
      <c r="K10" s="11">
        <v>2</v>
      </c>
      <c r="L10" s="11">
        <v>2018</v>
      </c>
      <c r="M10" s="13" t="s">
        <v>1538</v>
      </c>
      <c r="N10" s="11" t="s">
        <v>21</v>
      </c>
      <c r="O10" s="11" t="s">
        <v>10</v>
      </c>
      <c r="P10" s="11">
        <v>-38.610030000000002</v>
      </c>
      <c r="Q10" s="11">
        <v>145.53701000000001</v>
      </c>
      <c r="R10" s="11" t="s">
        <v>588</v>
      </c>
      <c r="S10" s="11" t="s">
        <v>588</v>
      </c>
      <c r="T10" s="11">
        <v>3</v>
      </c>
      <c r="U10" s="11">
        <v>3</v>
      </c>
      <c r="V10" t="s">
        <v>588</v>
      </c>
      <c r="W10" t="s">
        <v>588</v>
      </c>
      <c r="X10" s="11">
        <v>2</v>
      </c>
      <c r="Y10" s="11">
        <v>2</v>
      </c>
      <c r="Z10" s="11" t="s">
        <v>41</v>
      </c>
      <c r="AA10" s="13">
        <v>43143</v>
      </c>
      <c r="AB10" s="11">
        <v>12</v>
      </c>
      <c r="AC10" s="11">
        <v>2</v>
      </c>
      <c r="AD10" s="11">
        <v>2018</v>
      </c>
      <c r="AE10" s="13" t="s">
        <v>1538</v>
      </c>
      <c r="AF10" s="11" t="s">
        <v>21</v>
      </c>
      <c r="AG10" s="13">
        <v>43161</v>
      </c>
      <c r="AH10" s="11">
        <v>2</v>
      </c>
      <c r="AI10" s="11">
        <v>3</v>
      </c>
      <c r="AJ10" s="11">
        <v>2018</v>
      </c>
      <c r="AK10" s="13" t="s">
        <v>1541</v>
      </c>
      <c r="AL10" s="11" t="s">
        <v>22</v>
      </c>
      <c r="AM10" s="11" t="s">
        <v>20</v>
      </c>
      <c r="AN10" s="11" t="s">
        <v>41</v>
      </c>
      <c r="AO10" s="11" t="s">
        <v>20</v>
      </c>
      <c r="AP10" s="11" t="s">
        <v>588</v>
      </c>
      <c r="AQ10" s="11" t="s">
        <v>588</v>
      </c>
      <c r="AR10" s="11" t="s">
        <v>588</v>
      </c>
      <c r="AS10" s="11" t="s">
        <v>588</v>
      </c>
      <c r="AT10" s="11" t="s">
        <v>588</v>
      </c>
      <c r="AU10" s="11" t="s">
        <v>588</v>
      </c>
      <c r="AV10" s="11" t="s">
        <v>588</v>
      </c>
      <c r="AW10" s="11" t="s">
        <v>588</v>
      </c>
      <c r="AX10" s="11" t="s">
        <v>588</v>
      </c>
      <c r="AY10" s="11" t="s">
        <v>588</v>
      </c>
      <c r="AZ10" s="11" t="s">
        <v>588</v>
      </c>
      <c r="BA10" s="11" t="s">
        <v>588</v>
      </c>
      <c r="BB10" s="11" t="s">
        <v>588</v>
      </c>
      <c r="BC10" s="11" t="s">
        <v>588</v>
      </c>
      <c r="BD10" s="11" t="s">
        <v>588</v>
      </c>
      <c r="BE10" s="11" t="s">
        <v>588</v>
      </c>
      <c r="BF10" s="11" t="s">
        <v>588</v>
      </c>
      <c r="BG10" s="11" t="s">
        <v>588</v>
      </c>
      <c r="BH10" s="11" t="s">
        <v>588</v>
      </c>
      <c r="BI10" s="11" t="s">
        <v>588</v>
      </c>
      <c r="BJ10" s="11" t="s">
        <v>588</v>
      </c>
      <c r="BK10" s="11" t="s">
        <v>588</v>
      </c>
      <c r="BL10" s="11" t="s">
        <v>588</v>
      </c>
      <c r="BM10" s="11" t="s">
        <v>588</v>
      </c>
      <c r="BN10" s="11" t="s">
        <v>588</v>
      </c>
      <c r="BO10" s="11" t="s">
        <v>588</v>
      </c>
      <c r="BP10" s="11" t="s">
        <v>588</v>
      </c>
      <c r="BQ10" s="11" t="s">
        <v>588</v>
      </c>
      <c r="BR10" s="11" t="s">
        <v>588</v>
      </c>
      <c r="BS10" s="11" t="s">
        <v>41</v>
      </c>
      <c r="BT10" s="11" t="s">
        <v>42</v>
      </c>
      <c r="BU10" s="11" t="s">
        <v>42</v>
      </c>
      <c r="BV10" s="11" t="s">
        <v>588</v>
      </c>
      <c r="BW10" s="11" t="s">
        <v>588</v>
      </c>
      <c r="BX10" s="11" t="s">
        <v>588</v>
      </c>
      <c r="BY10" s="11" t="s">
        <v>588</v>
      </c>
      <c r="BZ10" s="11" t="s">
        <v>588</v>
      </c>
    </row>
    <row r="11" spans="1:78" x14ac:dyDescent="0.25">
      <c r="A11" s="11">
        <v>201718</v>
      </c>
      <c r="B11" s="11" t="s">
        <v>247</v>
      </c>
      <c r="C11" s="11" t="s">
        <v>247</v>
      </c>
      <c r="D11" s="11" t="s">
        <v>248</v>
      </c>
      <c r="E11" s="11" t="s">
        <v>567</v>
      </c>
      <c r="F11" s="11">
        <v>1</v>
      </c>
      <c r="G11" s="11" t="s">
        <v>1484</v>
      </c>
      <c r="H11" s="11" t="s">
        <v>1484</v>
      </c>
      <c r="I11" s="13">
        <v>43073</v>
      </c>
      <c r="J11" s="11">
        <v>4</v>
      </c>
      <c r="K11" s="11">
        <v>12</v>
      </c>
      <c r="L11" s="11">
        <v>2017</v>
      </c>
      <c r="M11" s="13" t="s">
        <v>1523</v>
      </c>
      <c r="N11" s="11" t="s">
        <v>7</v>
      </c>
      <c r="O11" s="11" t="s">
        <v>10</v>
      </c>
      <c r="P11" s="11">
        <v>-38.60642</v>
      </c>
      <c r="Q11" s="11">
        <v>145.53362000000001</v>
      </c>
      <c r="R11" s="11" t="s">
        <v>588</v>
      </c>
      <c r="S11" s="11" t="s">
        <v>588</v>
      </c>
      <c r="T11" s="11">
        <v>3</v>
      </c>
      <c r="U11" s="11">
        <v>3</v>
      </c>
      <c r="V11" t="s">
        <v>588</v>
      </c>
      <c r="W11" t="s">
        <v>588</v>
      </c>
      <c r="X11" s="11">
        <v>3</v>
      </c>
      <c r="Y11" s="11">
        <v>3</v>
      </c>
      <c r="Z11" s="11" t="s">
        <v>8</v>
      </c>
      <c r="AA11" s="13">
        <v>43087</v>
      </c>
      <c r="AB11" s="11">
        <v>18</v>
      </c>
      <c r="AC11" s="11">
        <v>12</v>
      </c>
      <c r="AD11" s="11">
        <v>2017</v>
      </c>
      <c r="AE11" s="13" t="s">
        <v>1526</v>
      </c>
      <c r="AF11" s="11" t="s">
        <v>7</v>
      </c>
      <c r="AG11" s="11" t="s">
        <v>588</v>
      </c>
      <c r="AH11" s="11" t="s">
        <v>588</v>
      </c>
      <c r="AI11" s="11" t="s">
        <v>588</v>
      </c>
      <c r="AJ11" s="11" t="s">
        <v>588</v>
      </c>
      <c r="AK11" s="13" t="s">
        <v>588</v>
      </c>
      <c r="AL11" s="11" t="s">
        <v>588</v>
      </c>
      <c r="AM11" s="11" t="s">
        <v>588</v>
      </c>
      <c r="AN11" s="11" t="s">
        <v>588</v>
      </c>
      <c r="AO11" s="11" t="s">
        <v>588</v>
      </c>
      <c r="AP11" s="13">
        <v>43098</v>
      </c>
      <c r="AQ11" s="11" t="s">
        <v>7</v>
      </c>
      <c r="AR11" s="11" t="s">
        <v>195</v>
      </c>
      <c r="AS11" s="11">
        <v>1</v>
      </c>
      <c r="AT11" s="11">
        <v>3</v>
      </c>
      <c r="AU11" s="13">
        <v>43098</v>
      </c>
      <c r="AV11" s="13">
        <v>43105</v>
      </c>
      <c r="AW11" s="11" t="s">
        <v>12</v>
      </c>
      <c r="AX11" s="11" t="s">
        <v>20</v>
      </c>
      <c r="AY11" s="11" t="s">
        <v>41</v>
      </c>
      <c r="AZ11" s="11" t="s">
        <v>20</v>
      </c>
      <c r="BA11" s="11" t="s">
        <v>588</v>
      </c>
      <c r="BB11" s="11" t="s">
        <v>588</v>
      </c>
      <c r="BC11" s="11" t="s">
        <v>588</v>
      </c>
      <c r="BD11" s="11" t="s">
        <v>588</v>
      </c>
      <c r="BE11" s="11" t="s">
        <v>588</v>
      </c>
      <c r="BF11" s="11" t="s">
        <v>588</v>
      </c>
      <c r="BG11" s="11" t="s">
        <v>588</v>
      </c>
      <c r="BH11" s="11" t="s">
        <v>588</v>
      </c>
      <c r="BI11" s="11" t="s">
        <v>588</v>
      </c>
      <c r="BJ11" s="11" t="s">
        <v>588</v>
      </c>
      <c r="BK11" s="11" t="s">
        <v>588</v>
      </c>
      <c r="BL11" s="11" t="s">
        <v>588</v>
      </c>
      <c r="BM11" s="11" t="s">
        <v>588</v>
      </c>
      <c r="BN11" s="11" t="s">
        <v>588</v>
      </c>
      <c r="BO11" s="11" t="s">
        <v>41</v>
      </c>
      <c r="BP11" s="11" t="s">
        <v>588</v>
      </c>
      <c r="BQ11" s="11" t="s">
        <v>588</v>
      </c>
      <c r="BR11" s="11" t="s">
        <v>588</v>
      </c>
      <c r="BS11" s="11" t="s">
        <v>41</v>
      </c>
      <c r="BT11" s="11" t="s">
        <v>42</v>
      </c>
      <c r="BU11" s="11" t="s">
        <v>42</v>
      </c>
      <c r="BV11" s="11" t="s">
        <v>41</v>
      </c>
      <c r="BW11" s="11" t="s">
        <v>42</v>
      </c>
      <c r="BX11" s="11" t="s">
        <v>42</v>
      </c>
      <c r="BY11" s="11" t="s">
        <v>588</v>
      </c>
      <c r="BZ11" s="11" t="s">
        <v>588</v>
      </c>
    </row>
    <row r="12" spans="1:78" x14ac:dyDescent="0.25">
      <c r="A12" s="11">
        <v>201718</v>
      </c>
      <c r="B12" s="11" t="s">
        <v>247</v>
      </c>
      <c r="C12" s="11" t="s">
        <v>247</v>
      </c>
      <c r="D12" s="11" t="s">
        <v>248</v>
      </c>
      <c r="E12" s="11" t="s">
        <v>567</v>
      </c>
      <c r="F12" s="11">
        <v>2</v>
      </c>
      <c r="G12" s="11" t="s">
        <v>1485</v>
      </c>
      <c r="H12" s="11" t="s">
        <v>1485</v>
      </c>
      <c r="I12" s="13">
        <v>43105</v>
      </c>
      <c r="J12" s="11">
        <v>5</v>
      </c>
      <c r="K12" s="11">
        <v>1</v>
      </c>
      <c r="L12" s="11">
        <v>2018</v>
      </c>
      <c r="M12" s="13" t="s">
        <v>1544</v>
      </c>
      <c r="N12" s="11" t="s">
        <v>12</v>
      </c>
      <c r="O12" s="11" t="s">
        <v>10</v>
      </c>
      <c r="P12" s="11">
        <v>-38.6068</v>
      </c>
      <c r="Q12" s="11">
        <v>145.53387000000001</v>
      </c>
      <c r="R12" s="11" t="s">
        <v>588</v>
      </c>
      <c r="S12" s="11" t="s">
        <v>588</v>
      </c>
      <c r="T12" s="11">
        <v>1</v>
      </c>
      <c r="U12" s="11">
        <v>3</v>
      </c>
      <c r="V12" t="s">
        <v>588</v>
      </c>
      <c r="W12" t="s">
        <v>588</v>
      </c>
      <c r="X12" s="11">
        <v>2</v>
      </c>
      <c r="Y12" s="11">
        <v>2</v>
      </c>
      <c r="Z12" s="11" t="s">
        <v>41</v>
      </c>
      <c r="AA12" s="13">
        <v>43105</v>
      </c>
      <c r="AB12" s="11">
        <v>5</v>
      </c>
      <c r="AC12" s="11">
        <v>1</v>
      </c>
      <c r="AD12" s="11">
        <v>2018</v>
      </c>
      <c r="AE12" s="13" t="s">
        <v>1544</v>
      </c>
      <c r="AF12" s="11" t="s">
        <v>12</v>
      </c>
      <c r="AG12" s="13">
        <v>43133</v>
      </c>
      <c r="AH12" s="11">
        <v>2</v>
      </c>
      <c r="AI12" s="11">
        <v>2</v>
      </c>
      <c r="AJ12" s="11">
        <v>2018</v>
      </c>
      <c r="AK12" s="13" t="s">
        <v>1540</v>
      </c>
      <c r="AL12" s="11" t="s">
        <v>21</v>
      </c>
      <c r="AM12" s="11" t="s">
        <v>20</v>
      </c>
      <c r="AN12" s="11" t="s">
        <v>41</v>
      </c>
      <c r="AO12" s="11" t="s">
        <v>20</v>
      </c>
      <c r="AP12" s="11" t="s">
        <v>588</v>
      </c>
      <c r="AQ12" s="11" t="s">
        <v>588</v>
      </c>
      <c r="AR12" s="11" t="s">
        <v>588</v>
      </c>
      <c r="AS12" s="11" t="s">
        <v>588</v>
      </c>
      <c r="AT12" s="11" t="s">
        <v>588</v>
      </c>
      <c r="AU12" s="11" t="s">
        <v>588</v>
      </c>
      <c r="AV12" s="11" t="s">
        <v>588</v>
      </c>
      <c r="AW12" s="11" t="s">
        <v>588</v>
      </c>
      <c r="AX12" s="11" t="s">
        <v>588</v>
      </c>
      <c r="AY12" s="11" t="s">
        <v>588</v>
      </c>
      <c r="AZ12" s="11" t="s">
        <v>588</v>
      </c>
      <c r="BA12" s="11" t="s">
        <v>588</v>
      </c>
      <c r="BB12" s="11" t="s">
        <v>588</v>
      </c>
      <c r="BC12" s="11" t="s">
        <v>588</v>
      </c>
      <c r="BD12" s="11" t="s">
        <v>588</v>
      </c>
      <c r="BE12" s="11" t="s">
        <v>588</v>
      </c>
      <c r="BF12" s="11" t="s">
        <v>588</v>
      </c>
      <c r="BG12" s="11" t="s">
        <v>588</v>
      </c>
      <c r="BH12" s="11" t="s">
        <v>588</v>
      </c>
      <c r="BI12" s="11" t="s">
        <v>588</v>
      </c>
      <c r="BJ12" s="11" t="s">
        <v>588</v>
      </c>
      <c r="BK12" s="11" t="s">
        <v>588</v>
      </c>
      <c r="BL12" s="11" t="s">
        <v>588</v>
      </c>
      <c r="BM12" s="11" t="s">
        <v>588</v>
      </c>
      <c r="BN12" s="11" t="s">
        <v>588</v>
      </c>
      <c r="BO12" s="11" t="s">
        <v>588</v>
      </c>
      <c r="BP12" s="11" t="s">
        <v>588</v>
      </c>
      <c r="BQ12" s="11" t="s">
        <v>588</v>
      </c>
      <c r="BR12" s="11" t="s">
        <v>588</v>
      </c>
      <c r="BS12" s="11" t="s">
        <v>41</v>
      </c>
      <c r="BT12" s="11" t="s">
        <v>42</v>
      </c>
      <c r="BU12" s="11" t="s">
        <v>42</v>
      </c>
      <c r="BV12" s="11" t="s">
        <v>588</v>
      </c>
      <c r="BW12" s="11" t="s">
        <v>588</v>
      </c>
      <c r="BX12" s="11" t="s">
        <v>588</v>
      </c>
      <c r="BY12" s="11" t="s">
        <v>588</v>
      </c>
      <c r="BZ12" s="11" t="s">
        <v>588</v>
      </c>
    </row>
    <row r="13" spans="1:78" x14ac:dyDescent="0.25">
      <c r="A13" s="11">
        <v>201718</v>
      </c>
      <c r="B13" s="11" t="s">
        <v>565</v>
      </c>
      <c r="C13" t="s">
        <v>559</v>
      </c>
      <c r="D13" s="11" t="s">
        <v>543</v>
      </c>
      <c r="E13" s="11" t="s">
        <v>557</v>
      </c>
      <c r="F13" s="11">
        <v>1</v>
      </c>
      <c r="G13" s="11" t="s">
        <v>1486</v>
      </c>
      <c r="H13" s="11" t="s">
        <v>1486</v>
      </c>
      <c r="I13" s="13">
        <v>43010</v>
      </c>
      <c r="J13" s="11">
        <v>2</v>
      </c>
      <c r="K13" s="11">
        <v>10</v>
      </c>
      <c r="L13" s="11">
        <v>2017</v>
      </c>
      <c r="M13" s="13" t="s">
        <v>1585</v>
      </c>
      <c r="N13" s="11" t="s">
        <v>29</v>
      </c>
      <c r="O13" s="11" t="s">
        <v>51</v>
      </c>
      <c r="P13" s="11" t="s">
        <v>588</v>
      </c>
      <c r="Q13" s="11" t="s">
        <v>588</v>
      </c>
      <c r="R13" s="11" t="s">
        <v>588</v>
      </c>
      <c r="S13" s="11" t="s">
        <v>588</v>
      </c>
      <c r="T13" s="11">
        <v>3</v>
      </c>
      <c r="U13" s="11">
        <v>3</v>
      </c>
      <c r="V13" s="1">
        <v>43012</v>
      </c>
      <c r="W13" t="s">
        <v>223</v>
      </c>
      <c r="X13" s="11">
        <v>5</v>
      </c>
      <c r="Y13" s="11">
        <v>5</v>
      </c>
      <c r="Z13" s="11" t="s">
        <v>8</v>
      </c>
      <c r="AA13" s="13">
        <v>43039</v>
      </c>
      <c r="AB13" s="11">
        <v>31</v>
      </c>
      <c r="AC13" s="11">
        <v>10</v>
      </c>
      <c r="AD13" s="11">
        <v>2017</v>
      </c>
      <c r="AE13" s="13" t="s">
        <v>1529</v>
      </c>
      <c r="AF13" s="11" t="s">
        <v>29</v>
      </c>
      <c r="AG13" s="11" t="s">
        <v>588</v>
      </c>
      <c r="AH13" s="11" t="s">
        <v>588</v>
      </c>
      <c r="AI13" s="11" t="s">
        <v>588</v>
      </c>
      <c r="AJ13" s="11" t="s">
        <v>588</v>
      </c>
      <c r="AK13" s="13" t="s">
        <v>588</v>
      </c>
      <c r="AL13" s="11" t="s">
        <v>588</v>
      </c>
      <c r="AM13" s="11" t="s">
        <v>588</v>
      </c>
      <c r="AN13" s="11" t="s">
        <v>588</v>
      </c>
      <c r="AO13" s="11" t="s">
        <v>588</v>
      </c>
      <c r="AP13" s="13">
        <v>43041</v>
      </c>
      <c r="AQ13" s="11" t="s">
        <v>17</v>
      </c>
      <c r="AR13" s="11" t="s">
        <v>195</v>
      </c>
      <c r="AS13" s="11">
        <v>1</v>
      </c>
      <c r="AT13" s="11">
        <v>3</v>
      </c>
      <c r="AU13" s="11" t="s">
        <v>588</v>
      </c>
      <c r="AV13" s="11" t="s">
        <v>588</v>
      </c>
      <c r="AW13" s="11" t="s">
        <v>588</v>
      </c>
      <c r="AX13" s="11" t="s">
        <v>588</v>
      </c>
      <c r="AY13" s="11" t="s">
        <v>588</v>
      </c>
      <c r="AZ13" s="11" t="s">
        <v>588</v>
      </c>
      <c r="BA13" s="11" t="s">
        <v>588</v>
      </c>
      <c r="BB13" s="11" t="s">
        <v>588</v>
      </c>
      <c r="BC13" s="11" t="s">
        <v>588</v>
      </c>
      <c r="BD13" s="11" t="s">
        <v>588</v>
      </c>
      <c r="BE13" s="11" t="s">
        <v>588</v>
      </c>
      <c r="BF13" s="11" t="s">
        <v>588</v>
      </c>
      <c r="BG13" s="11" t="s">
        <v>588</v>
      </c>
      <c r="BH13" s="11" t="s">
        <v>588</v>
      </c>
      <c r="BI13" s="11" t="s">
        <v>588</v>
      </c>
      <c r="BJ13" s="11" t="s">
        <v>588</v>
      </c>
      <c r="BK13" s="11" t="s">
        <v>588</v>
      </c>
      <c r="BL13" s="11" t="s">
        <v>588</v>
      </c>
      <c r="BM13" s="11" t="s">
        <v>588</v>
      </c>
      <c r="BN13" s="11" t="s">
        <v>588</v>
      </c>
      <c r="BO13" s="11" t="s">
        <v>8</v>
      </c>
      <c r="BP13" s="11">
        <v>1</v>
      </c>
      <c r="BQ13" s="13">
        <v>43082</v>
      </c>
      <c r="BR13" s="11" t="s">
        <v>7</v>
      </c>
      <c r="BS13" s="11" t="s">
        <v>8</v>
      </c>
      <c r="BT13" s="11" t="s">
        <v>52</v>
      </c>
      <c r="BU13" s="11" t="s">
        <v>52</v>
      </c>
      <c r="BV13" s="11" t="s">
        <v>8</v>
      </c>
      <c r="BW13" s="11" t="s">
        <v>9</v>
      </c>
      <c r="BX13" s="11" t="s">
        <v>9</v>
      </c>
      <c r="BY13" s="11" t="s">
        <v>588</v>
      </c>
      <c r="BZ13" s="11" t="s">
        <v>588</v>
      </c>
    </row>
    <row r="14" spans="1:78" x14ac:dyDescent="0.25">
      <c r="A14" s="11">
        <v>201718</v>
      </c>
      <c r="B14" s="11" t="s">
        <v>565</v>
      </c>
      <c r="C14" t="s">
        <v>559</v>
      </c>
      <c r="D14" s="11" t="s">
        <v>543</v>
      </c>
      <c r="E14" s="11" t="s">
        <v>557</v>
      </c>
      <c r="F14" s="11">
        <v>2</v>
      </c>
      <c r="G14" s="11" t="s">
        <v>1487</v>
      </c>
      <c r="H14" s="11" t="s">
        <v>1487</v>
      </c>
      <c r="I14" s="13">
        <v>43089</v>
      </c>
      <c r="J14" s="11">
        <v>20</v>
      </c>
      <c r="K14" s="11">
        <v>12</v>
      </c>
      <c r="L14" s="11">
        <v>2017</v>
      </c>
      <c r="M14" s="13" t="s">
        <v>1542</v>
      </c>
      <c r="N14" s="11" t="s">
        <v>7</v>
      </c>
      <c r="O14" s="11" t="s">
        <v>10</v>
      </c>
      <c r="P14" s="11" t="s">
        <v>588</v>
      </c>
      <c r="Q14" s="11" t="s">
        <v>588</v>
      </c>
      <c r="R14" s="11" t="s">
        <v>588</v>
      </c>
      <c r="S14" s="11" t="s">
        <v>588</v>
      </c>
      <c r="T14" s="11">
        <v>2</v>
      </c>
      <c r="U14" s="11">
        <v>3</v>
      </c>
      <c r="V14" t="s">
        <v>588</v>
      </c>
      <c r="W14" t="s">
        <v>588</v>
      </c>
      <c r="X14" s="11">
        <v>2</v>
      </c>
      <c r="Y14" s="11">
        <v>2</v>
      </c>
      <c r="Z14" s="11" t="s">
        <v>41</v>
      </c>
      <c r="AA14" s="13">
        <v>43089</v>
      </c>
      <c r="AB14" s="11">
        <v>20</v>
      </c>
      <c r="AC14" s="11">
        <v>12</v>
      </c>
      <c r="AD14" s="11">
        <v>2017</v>
      </c>
      <c r="AE14" s="13" t="s">
        <v>1542</v>
      </c>
      <c r="AF14" s="11" t="s">
        <v>7</v>
      </c>
      <c r="AG14" s="13">
        <v>43089</v>
      </c>
      <c r="AH14" s="11">
        <v>20</v>
      </c>
      <c r="AI14" s="11">
        <v>12</v>
      </c>
      <c r="AJ14" s="11">
        <v>2017</v>
      </c>
      <c r="AK14" s="13" t="s">
        <v>1542</v>
      </c>
      <c r="AL14" s="11" t="s">
        <v>7</v>
      </c>
      <c r="AM14" s="11" t="s">
        <v>20</v>
      </c>
      <c r="AN14" s="11" t="s">
        <v>41</v>
      </c>
      <c r="AO14" s="11" t="s">
        <v>20</v>
      </c>
      <c r="AP14" s="11" t="s">
        <v>588</v>
      </c>
      <c r="AQ14" s="11" t="s">
        <v>588</v>
      </c>
      <c r="AR14" s="11" t="s">
        <v>588</v>
      </c>
      <c r="AS14" s="11" t="s">
        <v>588</v>
      </c>
      <c r="AT14" s="11" t="s">
        <v>588</v>
      </c>
      <c r="AU14" s="11" t="s">
        <v>588</v>
      </c>
      <c r="AV14" s="11" t="s">
        <v>588</v>
      </c>
      <c r="AW14" s="11" t="s">
        <v>588</v>
      </c>
      <c r="AX14" s="11" t="s">
        <v>588</v>
      </c>
      <c r="AY14" s="11" t="s">
        <v>588</v>
      </c>
      <c r="AZ14" s="11" t="s">
        <v>588</v>
      </c>
      <c r="BA14" s="11" t="s">
        <v>588</v>
      </c>
      <c r="BB14" s="11" t="s">
        <v>588</v>
      </c>
      <c r="BC14" s="11" t="s">
        <v>588</v>
      </c>
      <c r="BD14" s="11" t="s">
        <v>588</v>
      </c>
      <c r="BE14" s="11" t="s">
        <v>588</v>
      </c>
      <c r="BF14" s="11" t="s">
        <v>588</v>
      </c>
      <c r="BG14" s="11" t="s">
        <v>588</v>
      </c>
      <c r="BH14" s="11" t="s">
        <v>588</v>
      </c>
      <c r="BI14" s="11" t="s">
        <v>588</v>
      </c>
      <c r="BJ14" s="11" t="s">
        <v>588</v>
      </c>
      <c r="BK14" s="11" t="s">
        <v>588</v>
      </c>
      <c r="BL14" s="11" t="s">
        <v>588</v>
      </c>
      <c r="BM14" s="11" t="s">
        <v>588</v>
      </c>
      <c r="BN14" s="11" t="s">
        <v>588</v>
      </c>
      <c r="BO14" s="11" t="s">
        <v>588</v>
      </c>
      <c r="BP14" s="11" t="s">
        <v>588</v>
      </c>
      <c r="BQ14" s="11" t="s">
        <v>588</v>
      </c>
      <c r="BR14" s="11" t="s">
        <v>588</v>
      </c>
      <c r="BS14" s="11" t="s">
        <v>8</v>
      </c>
      <c r="BT14" s="11" t="s">
        <v>9</v>
      </c>
      <c r="BU14" s="11" t="s">
        <v>9</v>
      </c>
      <c r="BV14" s="11" t="s">
        <v>588</v>
      </c>
      <c r="BW14" s="11" t="s">
        <v>588</v>
      </c>
      <c r="BX14" s="11" t="s">
        <v>588</v>
      </c>
      <c r="BY14" s="11" t="s">
        <v>588</v>
      </c>
      <c r="BZ14" s="11" t="s">
        <v>588</v>
      </c>
    </row>
    <row r="15" spans="1:78" x14ac:dyDescent="0.25">
      <c r="A15" s="11">
        <v>201718</v>
      </c>
      <c r="B15" s="11" t="s">
        <v>57</v>
      </c>
      <c r="C15" s="11" t="s">
        <v>57</v>
      </c>
      <c r="D15" s="11" t="s">
        <v>16</v>
      </c>
      <c r="E15" s="11" t="s">
        <v>16</v>
      </c>
      <c r="F15" s="11">
        <v>1</v>
      </c>
      <c r="G15" s="11" t="s">
        <v>1448</v>
      </c>
      <c r="H15" s="11" t="s">
        <v>1448</v>
      </c>
      <c r="I15" s="13">
        <v>42977</v>
      </c>
      <c r="J15" s="11">
        <v>30</v>
      </c>
      <c r="K15" s="11">
        <v>8</v>
      </c>
      <c r="L15" s="11">
        <v>2017</v>
      </c>
      <c r="M15" s="13" t="s">
        <v>1556</v>
      </c>
      <c r="N15" s="11" t="s">
        <v>64</v>
      </c>
      <c r="O15" s="11" t="s">
        <v>36</v>
      </c>
      <c r="P15" s="23">
        <v>-38.675440000000002</v>
      </c>
      <c r="Q15" s="23">
        <v>145.60347999999999</v>
      </c>
      <c r="R15" s="23" t="s">
        <v>588</v>
      </c>
      <c r="S15" s="23" t="s">
        <v>588</v>
      </c>
      <c r="T15" s="11">
        <v>3</v>
      </c>
      <c r="U15" s="11">
        <v>3</v>
      </c>
      <c r="V15" t="s">
        <v>588</v>
      </c>
      <c r="W15" t="s">
        <v>588</v>
      </c>
      <c r="X15" s="11">
        <v>4</v>
      </c>
      <c r="Y15" s="11">
        <v>4</v>
      </c>
      <c r="Z15" s="11" t="s">
        <v>8</v>
      </c>
      <c r="AA15" s="13">
        <v>43004</v>
      </c>
      <c r="AB15" s="11">
        <v>26</v>
      </c>
      <c r="AC15" s="11">
        <v>9</v>
      </c>
      <c r="AD15" s="11">
        <v>2017</v>
      </c>
      <c r="AE15" s="13" t="s">
        <v>1557</v>
      </c>
      <c r="AF15" s="11" t="s">
        <v>28</v>
      </c>
      <c r="AG15" s="11" t="s">
        <v>588</v>
      </c>
      <c r="AH15" s="11" t="s">
        <v>588</v>
      </c>
      <c r="AI15" s="11" t="s">
        <v>588</v>
      </c>
      <c r="AJ15" s="11" t="s">
        <v>588</v>
      </c>
      <c r="AK15" s="13" t="s">
        <v>588</v>
      </c>
      <c r="AL15" s="11" t="s">
        <v>588</v>
      </c>
      <c r="AM15" s="11" t="s">
        <v>588</v>
      </c>
      <c r="AN15" s="11" t="s">
        <v>588</v>
      </c>
      <c r="AO15" s="11" t="s">
        <v>588</v>
      </c>
      <c r="AP15" s="13">
        <v>43012</v>
      </c>
      <c r="AQ15" s="11" t="s">
        <v>29</v>
      </c>
      <c r="AR15" s="11" t="s">
        <v>195</v>
      </c>
      <c r="AS15" s="11">
        <v>3</v>
      </c>
      <c r="AT15" s="11">
        <v>3</v>
      </c>
      <c r="AU15" s="7">
        <v>43012</v>
      </c>
      <c r="AV15" s="13">
        <v>43012</v>
      </c>
      <c r="AW15" s="11" t="s">
        <v>29</v>
      </c>
      <c r="AX15" s="11" t="s">
        <v>20</v>
      </c>
      <c r="AY15" s="11" t="s">
        <v>588</v>
      </c>
      <c r="AZ15" s="11" t="s">
        <v>20</v>
      </c>
      <c r="BA15" s="7">
        <v>43014</v>
      </c>
      <c r="BB15" s="13">
        <v>43019</v>
      </c>
      <c r="BC15" s="11" t="s">
        <v>29</v>
      </c>
      <c r="BD15" s="11" t="s">
        <v>20</v>
      </c>
      <c r="BE15" s="11" t="s">
        <v>588</v>
      </c>
      <c r="BF15" s="11" t="s">
        <v>20</v>
      </c>
      <c r="BG15" s="7">
        <v>43014</v>
      </c>
      <c r="BH15" s="13">
        <v>43019</v>
      </c>
      <c r="BI15" s="11" t="s">
        <v>29</v>
      </c>
      <c r="BJ15" s="11" t="s">
        <v>20</v>
      </c>
      <c r="BK15" s="11" t="s">
        <v>588</v>
      </c>
      <c r="BL15" s="11" t="s">
        <v>20</v>
      </c>
      <c r="BM15" s="11">
        <v>4</v>
      </c>
      <c r="BN15" s="11">
        <v>3</v>
      </c>
      <c r="BO15" s="11" t="s">
        <v>41</v>
      </c>
      <c r="BP15" s="11" t="s">
        <v>588</v>
      </c>
      <c r="BQ15" s="11" t="s">
        <v>588</v>
      </c>
      <c r="BR15" s="11" t="s">
        <v>588</v>
      </c>
      <c r="BS15" s="11" t="s">
        <v>8</v>
      </c>
      <c r="BT15" s="11" t="s">
        <v>9</v>
      </c>
      <c r="BU15" s="11" t="s">
        <v>9</v>
      </c>
      <c r="BV15" s="11" t="s">
        <v>8</v>
      </c>
      <c r="BW15" s="11" t="s">
        <v>9</v>
      </c>
      <c r="BX15" s="11" t="s">
        <v>9</v>
      </c>
      <c r="BY15" s="11" t="s">
        <v>203</v>
      </c>
      <c r="BZ15" s="11" t="s">
        <v>588</v>
      </c>
    </row>
    <row r="16" spans="1:78" x14ac:dyDescent="0.25">
      <c r="A16" s="11">
        <v>201718</v>
      </c>
      <c r="B16" s="11" t="s">
        <v>57</v>
      </c>
      <c r="C16" s="11" t="s">
        <v>57</v>
      </c>
      <c r="D16" s="11" t="s">
        <v>16</v>
      </c>
      <c r="E16" s="11" t="s">
        <v>16</v>
      </c>
      <c r="F16" s="11">
        <v>2</v>
      </c>
      <c r="G16" s="11" t="s">
        <v>1449</v>
      </c>
      <c r="H16" s="11" t="s">
        <v>1449</v>
      </c>
      <c r="I16" s="13">
        <v>43052</v>
      </c>
      <c r="J16" s="11">
        <v>13</v>
      </c>
      <c r="K16" s="11">
        <v>11</v>
      </c>
      <c r="L16" s="11">
        <v>2017</v>
      </c>
      <c r="M16" s="13" t="s">
        <v>1552</v>
      </c>
      <c r="N16" s="11" t="s">
        <v>17</v>
      </c>
      <c r="O16" s="11" t="s">
        <v>36</v>
      </c>
      <c r="P16" s="23">
        <v>-38.675440000000002</v>
      </c>
      <c r="Q16" s="23">
        <v>145.60347999999999</v>
      </c>
      <c r="R16" s="23" t="s">
        <v>588</v>
      </c>
      <c r="S16" s="23" t="s">
        <v>588</v>
      </c>
      <c r="T16" s="11">
        <v>2</v>
      </c>
      <c r="U16" s="11">
        <v>2</v>
      </c>
      <c r="V16" t="s">
        <v>588</v>
      </c>
      <c r="W16" t="s">
        <v>588</v>
      </c>
      <c r="X16" s="11">
        <v>3</v>
      </c>
      <c r="Y16" s="11">
        <v>3</v>
      </c>
      <c r="Z16" s="11" t="s">
        <v>41</v>
      </c>
      <c r="AA16" s="13">
        <v>43059</v>
      </c>
      <c r="AB16" s="11">
        <v>20</v>
      </c>
      <c r="AC16" s="11">
        <v>11</v>
      </c>
      <c r="AD16" s="11">
        <v>2017</v>
      </c>
      <c r="AE16" s="13" t="s">
        <v>1558</v>
      </c>
      <c r="AF16" s="11" t="s">
        <v>17</v>
      </c>
      <c r="AG16" s="13">
        <v>43073</v>
      </c>
      <c r="AH16" s="11">
        <v>4</v>
      </c>
      <c r="AI16" s="11">
        <v>12</v>
      </c>
      <c r="AJ16" s="11">
        <v>2017</v>
      </c>
      <c r="AK16" s="13" t="s">
        <v>1523</v>
      </c>
      <c r="AL16" s="11" t="s">
        <v>7</v>
      </c>
      <c r="AM16" s="11" t="s">
        <v>20</v>
      </c>
      <c r="AN16" s="11" t="s">
        <v>41</v>
      </c>
      <c r="AO16" s="11" t="s">
        <v>20</v>
      </c>
      <c r="AP16" s="11" t="s">
        <v>588</v>
      </c>
      <c r="AQ16" s="11" t="s">
        <v>588</v>
      </c>
      <c r="AR16" s="11" t="s">
        <v>588</v>
      </c>
      <c r="AS16" s="11" t="s">
        <v>588</v>
      </c>
      <c r="AT16" s="11" t="s">
        <v>588</v>
      </c>
      <c r="AU16" s="7" t="s">
        <v>588</v>
      </c>
      <c r="AV16" s="11" t="s">
        <v>588</v>
      </c>
      <c r="AW16" s="11" t="s">
        <v>588</v>
      </c>
      <c r="AX16" s="11" t="s">
        <v>588</v>
      </c>
      <c r="AY16" s="11" t="s">
        <v>588</v>
      </c>
      <c r="AZ16" s="11" t="s">
        <v>588</v>
      </c>
      <c r="BA16" s="7" t="s">
        <v>588</v>
      </c>
      <c r="BB16" s="11" t="s">
        <v>588</v>
      </c>
      <c r="BC16" s="11" t="s">
        <v>588</v>
      </c>
      <c r="BD16" s="11" t="s">
        <v>588</v>
      </c>
      <c r="BE16" s="11" t="s">
        <v>588</v>
      </c>
      <c r="BF16" s="11" t="s">
        <v>588</v>
      </c>
      <c r="BG16" s="7" t="s">
        <v>588</v>
      </c>
      <c r="BH16" s="11" t="s">
        <v>588</v>
      </c>
      <c r="BI16" s="11" t="s">
        <v>588</v>
      </c>
      <c r="BJ16" s="11" t="s">
        <v>588</v>
      </c>
      <c r="BK16" s="11" t="s">
        <v>588</v>
      </c>
      <c r="BL16" s="11" t="s">
        <v>588</v>
      </c>
      <c r="BM16" s="11" t="s">
        <v>588</v>
      </c>
      <c r="BN16" s="11" t="s">
        <v>588</v>
      </c>
      <c r="BO16" s="11" t="s">
        <v>588</v>
      </c>
      <c r="BP16" s="11" t="s">
        <v>588</v>
      </c>
      <c r="BQ16" s="11" t="s">
        <v>588</v>
      </c>
      <c r="BR16" s="11" t="s">
        <v>588</v>
      </c>
      <c r="BS16" s="11" t="s">
        <v>8</v>
      </c>
      <c r="BT16" s="11" t="s">
        <v>9</v>
      </c>
      <c r="BU16" s="11" t="s">
        <v>9</v>
      </c>
      <c r="BV16" s="11" t="s">
        <v>588</v>
      </c>
      <c r="BW16" s="11" t="s">
        <v>588</v>
      </c>
      <c r="BX16" s="11" t="s">
        <v>588</v>
      </c>
      <c r="BY16" s="11" t="s">
        <v>588</v>
      </c>
      <c r="BZ16" s="11" t="s">
        <v>588</v>
      </c>
    </row>
    <row r="17" spans="1:78" x14ac:dyDescent="0.25">
      <c r="A17" s="11">
        <v>201718</v>
      </c>
      <c r="B17" s="11" t="s">
        <v>57</v>
      </c>
      <c r="C17" s="11" t="s">
        <v>57</v>
      </c>
      <c r="D17" s="11" t="s">
        <v>16</v>
      </c>
      <c r="E17" s="11" t="s">
        <v>16</v>
      </c>
      <c r="F17" s="11">
        <v>3</v>
      </c>
      <c r="G17" s="11" t="s">
        <v>1450</v>
      </c>
      <c r="H17" s="11" t="s">
        <v>1450</v>
      </c>
      <c r="I17" s="13">
        <v>43077</v>
      </c>
      <c r="J17" s="11">
        <v>8</v>
      </c>
      <c r="K17" s="11">
        <v>12</v>
      </c>
      <c r="L17" s="11">
        <v>2017</v>
      </c>
      <c r="M17" s="13" t="s">
        <v>1543</v>
      </c>
      <c r="N17" s="11" t="s">
        <v>7</v>
      </c>
      <c r="O17" s="11" t="s">
        <v>51</v>
      </c>
      <c r="P17" s="23" t="s">
        <v>588</v>
      </c>
      <c r="Q17" s="23" t="s">
        <v>588</v>
      </c>
      <c r="R17" s="11">
        <v>-38.675387999999998</v>
      </c>
      <c r="S17" s="11">
        <v>145.602982</v>
      </c>
      <c r="T17" s="11">
        <v>3</v>
      </c>
      <c r="U17" s="11">
        <v>3</v>
      </c>
      <c r="V17" t="s">
        <v>588</v>
      </c>
      <c r="W17" t="s">
        <v>588</v>
      </c>
      <c r="X17" s="11">
        <v>5</v>
      </c>
      <c r="Y17" s="11">
        <v>5</v>
      </c>
      <c r="Z17" s="11" t="s">
        <v>8</v>
      </c>
      <c r="AA17" s="13">
        <v>43096</v>
      </c>
      <c r="AB17" s="11">
        <v>27</v>
      </c>
      <c r="AC17" s="11">
        <v>12</v>
      </c>
      <c r="AD17" s="11">
        <v>2017</v>
      </c>
      <c r="AE17" s="13" t="s">
        <v>1559</v>
      </c>
      <c r="AF17" s="11" t="s">
        <v>7</v>
      </c>
      <c r="AG17" s="11" t="s">
        <v>588</v>
      </c>
      <c r="AH17" s="11" t="s">
        <v>588</v>
      </c>
      <c r="AI17" s="11" t="s">
        <v>588</v>
      </c>
      <c r="AJ17" s="11" t="s">
        <v>588</v>
      </c>
      <c r="AK17" s="13" t="s">
        <v>588</v>
      </c>
      <c r="AL17" s="11" t="s">
        <v>588</v>
      </c>
      <c r="AM17" s="11" t="s">
        <v>588</v>
      </c>
      <c r="AN17" s="11" t="s">
        <v>588</v>
      </c>
      <c r="AO17" s="11" t="s">
        <v>588</v>
      </c>
      <c r="AP17" s="13">
        <v>43103</v>
      </c>
      <c r="AQ17" s="11" t="s">
        <v>12</v>
      </c>
      <c r="AR17" s="11" t="s">
        <v>195</v>
      </c>
      <c r="AS17" s="11">
        <v>3</v>
      </c>
      <c r="AT17" s="11">
        <v>3</v>
      </c>
      <c r="AU17" s="7">
        <v>43105</v>
      </c>
      <c r="AV17" s="13">
        <v>43124</v>
      </c>
      <c r="AW17" s="11" t="s">
        <v>12</v>
      </c>
      <c r="AX17" s="11" t="s">
        <v>20</v>
      </c>
      <c r="AY17" s="11" t="s">
        <v>588</v>
      </c>
      <c r="AZ17" s="11" t="s">
        <v>20</v>
      </c>
      <c r="BA17" s="7">
        <v>43105</v>
      </c>
      <c r="BB17" s="13">
        <v>43124</v>
      </c>
      <c r="BC17" s="11" t="s">
        <v>12</v>
      </c>
      <c r="BD17" s="11" t="s">
        <v>20</v>
      </c>
      <c r="BE17" s="11" t="s">
        <v>588</v>
      </c>
      <c r="BF17" s="11" t="s">
        <v>20</v>
      </c>
      <c r="BG17" s="7">
        <v>43105</v>
      </c>
      <c r="BH17" s="13">
        <v>43124</v>
      </c>
      <c r="BI17" s="11" t="s">
        <v>12</v>
      </c>
      <c r="BJ17" s="11" t="s">
        <v>20</v>
      </c>
      <c r="BK17" s="11" t="s">
        <v>588</v>
      </c>
      <c r="BL17" s="11" t="s">
        <v>20</v>
      </c>
      <c r="BM17" s="11">
        <v>4</v>
      </c>
      <c r="BN17" s="11">
        <v>3</v>
      </c>
      <c r="BO17" s="11" t="s">
        <v>41</v>
      </c>
      <c r="BP17" s="11" t="s">
        <v>588</v>
      </c>
      <c r="BQ17" s="11" t="s">
        <v>588</v>
      </c>
      <c r="BR17" s="11" t="s">
        <v>588</v>
      </c>
      <c r="BS17" s="11" t="s">
        <v>8</v>
      </c>
      <c r="BT17" s="11" t="s">
        <v>9</v>
      </c>
      <c r="BU17" s="11" t="s">
        <v>9</v>
      </c>
      <c r="BV17" s="11" t="s">
        <v>8</v>
      </c>
      <c r="BW17" s="11" t="s">
        <v>96</v>
      </c>
      <c r="BX17" s="11" t="s">
        <v>96</v>
      </c>
      <c r="BY17" s="11" t="s">
        <v>588</v>
      </c>
      <c r="BZ17" s="11" t="s">
        <v>588</v>
      </c>
    </row>
    <row r="18" spans="1:78" x14ac:dyDescent="0.25">
      <c r="A18" s="11">
        <v>201718</v>
      </c>
      <c r="B18" s="11" t="s">
        <v>23</v>
      </c>
      <c r="C18" s="11" t="s">
        <v>23</v>
      </c>
      <c r="D18" s="11" t="s">
        <v>61</v>
      </c>
      <c r="E18" s="11" t="s">
        <v>16</v>
      </c>
      <c r="F18" s="11">
        <v>1</v>
      </c>
      <c r="G18" s="11" t="s">
        <v>1458</v>
      </c>
      <c r="H18" s="11" t="s">
        <v>1458</v>
      </c>
      <c r="I18" s="13">
        <v>43055</v>
      </c>
      <c r="J18" s="11">
        <v>16</v>
      </c>
      <c r="K18" s="11">
        <v>11</v>
      </c>
      <c r="L18" s="11">
        <v>2017</v>
      </c>
      <c r="M18" s="13" t="s">
        <v>1567</v>
      </c>
      <c r="N18" s="11" t="s">
        <v>17</v>
      </c>
      <c r="O18" s="11" t="s">
        <v>19</v>
      </c>
      <c r="P18" s="23">
        <v>-38.673715000000001</v>
      </c>
      <c r="Q18" s="23">
        <v>145.62151</v>
      </c>
      <c r="R18" s="23" t="s">
        <v>588</v>
      </c>
      <c r="S18" s="23" t="s">
        <v>588</v>
      </c>
      <c r="T18" s="11">
        <v>2</v>
      </c>
      <c r="U18" s="11">
        <v>2</v>
      </c>
      <c r="V18" t="s">
        <v>588</v>
      </c>
      <c r="W18" t="s">
        <v>588</v>
      </c>
      <c r="X18" s="11">
        <v>3</v>
      </c>
      <c r="Y18" s="11">
        <v>2</v>
      </c>
      <c r="Z18" s="11" t="s">
        <v>41</v>
      </c>
      <c r="AA18" s="13">
        <v>43057</v>
      </c>
      <c r="AB18" s="11">
        <v>18</v>
      </c>
      <c r="AC18" s="11">
        <v>11</v>
      </c>
      <c r="AD18" s="11">
        <v>2017</v>
      </c>
      <c r="AE18" s="13" t="s">
        <v>1524</v>
      </c>
      <c r="AF18" s="11" t="s">
        <v>17</v>
      </c>
      <c r="AG18" s="13">
        <v>43057</v>
      </c>
      <c r="AH18" s="11">
        <v>18</v>
      </c>
      <c r="AI18" s="11">
        <v>11</v>
      </c>
      <c r="AJ18" s="11">
        <v>2017</v>
      </c>
      <c r="AK18" s="13" t="s">
        <v>1524</v>
      </c>
      <c r="AL18" s="11" t="s">
        <v>17</v>
      </c>
      <c r="AM18" s="11" t="s">
        <v>20</v>
      </c>
      <c r="AN18" s="11" t="s">
        <v>41</v>
      </c>
      <c r="AO18" s="11" t="s">
        <v>20</v>
      </c>
      <c r="AP18" s="11" t="s">
        <v>588</v>
      </c>
      <c r="AQ18" s="11" t="s">
        <v>588</v>
      </c>
      <c r="AR18" s="11" t="s">
        <v>588</v>
      </c>
      <c r="AS18" s="11" t="s">
        <v>588</v>
      </c>
      <c r="AT18" s="11" t="s">
        <v>588</v>
      </c>
      <c r="AU18" s="7" t="s">
        <v>588</v>
      </c>
      <c r="AV18" s="11" t="s">
        <v>588</v>
      </c>
      <c r="AW18" s="11" t="s">
        <v>588</v>
      </c>
      <c r="AX18" s="11" t="s">
        <v>588</v>
      </c>
      <c r="AY18" s="11" t="s">
        <v>588</v>
      </c>
      <c r="AZ18" s="11" t="s">
        <v>588</v>
      </c>
      <c r="BA18" s="7" t="s">
        <v>588</v>
      </c>
      <c r="BB18" s="11" t="s">
        <v>588</v>
      </c>
      <c r="BC18" s="11" t="s">
        <v>588</v>
      </c>
      <c r="BD18" s="11" t="s">
        <v>588</v>
      </c>
      <c r="BE18" s="11" t="s">
        <v>588</v>
      </c>
      <c r="BF18" s="11" t="s">
        <v>588</v>
      </c>
      <c r="BG18" s="7" t="s">
        <v>588</v>
      </c>
      <c r="BH18" s="11" t="s">
        <v>588</v>
      </c>
      <c r="BI18" s="11" t="s">
        <v>588</v>
      </c>
      <c r="BJ18" s="11" t="s">
        <v>588</v>
      </c>
      <c r="BK18" s="11" t="s">
        <v>588</v>
      </c>
      <c r="BL18" s="11" t="s">
        <v>588</v>
      </c>
      <c r="BM18" s="11" t="s">
        <v>588</v>
      </c>
      <c r="BN18" s="11" t="s">
        <v>588</v>
      </c>
      <c r="BO18" s="11" t="s">
        <v>588</v>
      </c>
      <c r="BP18" s="11" t="s">
        <v>588</v>
      </c>
      <c r="BQ18" s="11" t="s">
        <v>588</v>
      </c>
      <c r="BR18" s="11" t="s">
        <v>588</v>
      </c>
      <c r="BS18" s="11" t="s">
        <v>8</v>
      </c>
      <c r="BT18" s="11" t="s">
        <v>9</v>
      </c>
      <c r="BU18" s="11" t="s">
        <v>9</v>
      </c>
      <c r="BV18" s="11" t="s">
        <v>588</v>
      </c>
      <c r="BW18" s="11" t="s">
        <v>588</v>
      </c>
      <c r="BX18" s="11" t="s">
        <v>588</v>
      </c>
      <c r="BY18" s="11" t="s">
        <v>204</v>
      </c>
      <c r="BZ18" s="11" t="s">
        <v>588</v>
      </c>
    </row>
    <row r="19" spans="1:78" x14ac:dyDescent="0.25">
      <c r="A19" s="11">
        <v>201718</v>
      </c>
      <c r="B19" s="11" t="s">
        <v>14</v>
      </c>
      <c r="C19" s="11" t="s">
        <v>14</v>
      </c>
      <c r="D19" s="11" t="s">
        <v>15</v>
      </c>
      <c r="E19" s="11" t="s">
        <v>16</v>
      </c>
      <c r="F19" s="11">
        <v>1</v>
      </c>
      <c r="G19" s="11" t="s">
        <v>1456</v>
      </c>
      <c r="H19" s="11" t="s">
        <v>1456</v>
      </c>
      <c r="I19" s="13">
        <v>43080</v>
      </c>
      <c r="J19" s="11">
        <v>11</v>
      </c>
      <c r="K19" s="11">
        <v>12</v>
      </c>
      <c r="L19" s="11">
        <v>2017</v>
      </c>
      <c r="M19" s="13" t="s">
        <v>1535</v>
      </c>
      <c r="N19" s="11" t="s">
        <v>7</v>
      </c>
      <c r="O19" s="11" t="s">
        <v>36</v>
      </c>
      <c r="P19" s="23">
        <v>-38.661059999999999</v>
      </c>
      <c r="Q19" s="23">
        <v>145.58179000000001</v>
      </c>
      <c r="R19" s="23" t="s">
        <v>588</v>
      </c>
      <c r="S19" s="23" t="s">
        <v>588</v>
      </c>
      <c r="T19" s="11">
        <v>3</v>
      </c>
      <c r="U19" s="11">
        <v>3</v>
      </c>
      <c r="V19" s="1">
        <v>43084</v>
      </c>
      <c r="W19" t="s">
        <v>223</v>
      </c>
      <c r="X19" s="11">
        <v>4</v>
      </c>
      <c r="Y19" s="11">
        <v>4</v>
      </c>
      <c r="Z19" s="11" t="s">
        <v>41</v>
      </c>
      <c r="AA19" s="13">
        <v>43105</v>
      </c>
      <c r="AB19" s="11">
        <v>5</v>
      </c>
      <c r="AC19" s="11">
        <v>1</v>
      </c>
      <c r="AD19" s="11">
        <v>2018</v>
      </c>
      <c r="AE19" s="13" t="s">
        <v>1544</v>
      </c>
      <c r="AF19" s="11" t="s">
        <v>12</v>
      </c>
      <c r="AG19" s="13">
        <v>43107</v>
      </c>
      <c r="AH19" s="11">
        <v>7</v>
      </c>
      <c r="AI19" s="11">
        <v>1</v>
      </c>
      <c r="AJ19" s="11">
        <v>2018</v>
      </c>
      <c r="AK19" s="13" t="s">
        <v>1527</v>
      </c>
      <c r="AL19" s="11" t="s">
        <v>12</v>
      </c>
      <c r="AM19" s="11" t="s">
        <v>25</v>
      </c>
      <c r="AN19" s="11" t="s">
        <v>41</v>
      </c>
      <c r="AO19" s="11" t="s">
        <v>25</v>
      </c>
      <c r="AP19" s="11" t="s">
        <v>588</v>
      </c>
      <c r="AQ19" s="11" t="s">
        <v>588</v>
      </c>
      <c r="AR19" s="11" t="s">
        <v>588</v>
      </c>
      <c r="AS19" s="11" t="s">
        <v>588</v>
      </c>
      <c r="AT19" s="11" t="s">
        <v>588</v>
      </c>
      <c r="AU19" s="7" t="s">
        <v>588</v>
      </c>
      <c r="AV19" s="11" t="s">
        <v>588</v>
      </c>
      <c r="AW19" s="11" t="s">
        <v>588</v>
      </c>
      <c r="AX19" s="11" t="s">
        <v>588</v>
      </c>
      <c r="AY19" s="11" t="s">
        <v>588</v>
      </c>
      <c r="AZ19" s="11" t="s">
        <v>588</v>
      </c>
      <c r="BA19" s="7" t="s">
        <v>588</v>
      </c>
      <c r="BB19" s="11" t="s">
        <v>588</v>
      </c>
      <c r="BC19" s="11" t="s">
        <v>588</v>
      </c>
      <c r="BD19" s="11" t="s">
        <v>588</v>
      </c>
      <c r="BE19" s="11" t="s">
        <v>588</v>
      </c>
      <c r="BF19" s="11" t="s">
        <v>588</v>
      </c>
      <c r="BG19" s="7" t="s">
        <v>588</v>
      </c>
      <c r="BH19" s="11" t="s">
        <v>588</v>
      </c>
      <c r="BI19" s="11" t="s">
        <v>588</v>
      </c>
      <c r="BJ19" s="11" t="s">
        <v>588</v>
      </c>
      <c r="BK19" s="11" t="s">
        <v>588</v>
      </c>
      <c r="BL19" s="11" t="s">
        <v>588</v>
      </c>
      <c r="BM19" s="11" t="s">
        <v>588</v>
      </c>
      <c r="BN19" s="11" t="s">
        <v>588</v>
      </c>
      <c r="BO19" s="11" t="s">
        <v>588</v>
      </c>
      <c r="BP19" s="11" t="s">
        <v>588</v>
      </c>
      <c r="BQ19" s="11" t="s">
        <v>588</v>
      </c>
      <c r="BR19" s="11" t="s">
        <v>588</v>
      </c>
      <c r="BS19" s="11" t="s">
        <v>41</v>
      </c>
      <c r="BT19" s="11" t="s">
        <v>42</v>
      </c>
      <c r="BU19" s="11" t="s">
        <v>42</v>
      </c>
      <c r="BV19" s="11" t="s">
        <v>588</v>
      </c>
      <c r="BW19" s="11" t="s">
        <v>588</v>
      </c>
      <c r="BX19" s="11" t="s">
        <v>588</v>
      </c>
      <c r="BY19" s="11" t="s">
        <v>588</v>
      </c>
      <c r="BZ19" s="11" t="s">
        <v>588</v>
      </c>
    </row>
    <row r="20" spans="1:78" x14ac:dyDescent="0.25">
      <c r="A20" s="11">
        <v>201718</v>
      </c>
      <c r="B20" s="11" t="s">
        <v>75</v>
      </c>
      <c r="C20" s="11" t="s">
        <v>75</v>
      </c>
      <c r="D20" s="11" t="s">
        <v>16</v>
      </c>
      <c r="E20" s="11" t="s">
        <v>16</v>
      </c>
      <c r="F20" s="11">
        <v>1</v>
      </c>
      <c r="G20" s="11" t="s">
        <v>1457</v>
      </c>
      <c r="H20" s="11" t="s">
        <v>1457</v>
      </c>
      <c r="I20" s="13">
        <v>43105</v>
      </c>
      <c r="J20" s="11">
        <v>5</v>
      </c>
      <c r="K20" s="11">
        <v>1</v>
      </c>
      <c r="L20" s="11">
        <v>2018</v>
      </c>
      <c r="M20" s="13" t="s">
        <v>1544</v>
      </c>
      <c r="N20" s="11" t="s">
        <v>12</v>
      </c>
      <c r="O20" s="11" t="s">
        <v>19</v>
      </c>
      <c r="P20" s="23">
        <v>-38.659486999999999</v>
      </c>
      <c r="Q20" s="23">
        <v>145.58129400000001</v>
      </c>
      <c r="R20" s="23" t="s">
        <v>588</v>
      </c>
      <c r="S20" s="23" t="s">
        <v>588</v>
      </c>
      <c r="T20" s="11">
        <v>2</v>
      </c>
      <c r="U20" s="11">
        <v>2</v>
      </c>
      <c r="V20" t="s">
        <v>588</v>
      </c>
      <c r="W20" t="s">
        <v>588</v>
      </c>
      <c r="X20" s="11">
        <v>9</v>
      </c>
      <c r="Y20" s="11">
        <v>8</v>
      </c>
      <c r="Z20" s="11" t="s">
        <v>41</v>
      </c>
      <c r="AA20" s="13">
        <v>43149</v>
      </c>
      <c r="AB20" s="11">
        <v>18</v>
      </c>
      <c r="AC20" s="11">
        <v>2</v>
      </c>
      <c r="AD20" s="11">
        <v>2018</v>
      </c>
      <c r="AE20" s="13" t="s">
        <v>1566</v>
      </c>
      <c r="AF20" s="11" t="s">
        <v>21</v>
      </c>
      <c r="AG20" s="13">
        <v>43152</v>
      </c>
      <c r="AH20" s="11">
        <v>21</v>
      </c>
      <c r="AI20" s="11">
        <v>2</v>
      </c>
      <c r="AJ20" s="11">
        <v>2018</v>
      </c>
      <c r="AK20" s="13" t="s">
        <v>1528</v>
      </c>
      <c r="AL20" s="11" t="s">
        <v>21</v>
      </c>
      <c r="AM20" s="11" t="s">
        <v>25</v>
      </c>
      <c r="AN20" s="11" t="s">
        <v>41</v>
      </c>
      <c r="AO20" s="11" t="s">
        <v>25</v>
      </c>
      <c r="AP20" s="11" t="s">
        <v>588</v>
      </c>
      <c r="AQ20" s="11" t="s">
        <v>588</v>
      </c>
      <c r="AR20" s="11" t="s">
        <v>588</v>
      </c>
      <c r="AS20" s="11" t="s">
        <v>588</v>
      </c>
      <c r="AT20" s="11" t="s">
        <v>588</v>
      </c>
      <c r="AU20" s="7" t="s">
        <v>588</v>
      </c>
      <c r="AV20" s="11" t="s">
        <v>588</v>
      </c>
      <c r="AW20" s="11" t="s">
        <v>588</v>
      </c>
      <c r="AX20" s="11" t="s">
        <v>588</v>
      </c>
      <c r="AY20" s="11" t="s">
        <v>588</v>
      </c>
      <c r="AZ20" s="11" t="s">
        <v>588</v>
      </c>
      <c r="BA20" s="7" t="s">
        <v>588</v>
      </c>
      <c r="BB20" s="11" t="s">
        <v>588</v>
      </c>
      <c r="BC20" s="11" t="s">
        <v>588</v>
      </c>
      <c r="BD20" s="11" t="s">
        <v>588</v>
      </c>
      <c r="BE20" s="11" t="s">
        <v>588</v>
      </c>
      <c r="BF20" s="11" t="s">
        <v>588</v>
      </c>
      <c r="BG20" s="7" t="s">
        <v>588</v>
      </c>
      <c r="BH20" s="11" t="s">
        <v>588</v>
      </c>
      <c r="BI20" s="11" t="s">
        <v>588</v>
      </c>
      <c r="BJ20" s="11" t="s">
        <v>588</v>
      </c>
      <c r="BK20" s="11" t="s">
        <v>588</v>
      </c>
      <c r="BL20" s="11" t="s">
        <v>588</v>
      </c>
      <c r="BM20" s="11" t="s">
        <v>588</v>
      </c>
      <c r="BN20" s="11" t="s">
        <v>588</v>
      </c>
      <c r="BO20" s="11" t="s">
        <v>588</v>
      </c>
      <c r="BP20" s="11" t="s">
        <v>588</v>
      </c>
      <c r="BQ20" s="11" t="s">
        <v>588</v>
      </c>
      <c r="BR20" s="11" t="s">
        <v>588</v>
      </c>
      <c r="BS20" s="11" t="s">
        <v>8</v>
      </c>
      <c r="BT20" s="11" t="s">
        <v>9</v>
      </c>
      <c r="BU20" s="11" t="s">
        <v>9</v>
      </c>
      <c r="BV20" s="11" t="s">
        <v>588</v>
      </c>
      <c r="BW20" s="11" t="s">
        <v>588</v>
      </c>
      <c r="BX20" s="11" t="s">
        <v>588</v>
      </c>
      <c r="BY20" s="11" t="s">
        <v>588</v>
      </c>
      <c r="BZ20" s="11" t="s">
        <v>588</v>
      </c>
    </row>
    <row r="21" spans="1:78" x14ac:dyDescent="0.25">
      <c r="A21" s="11">
        <v>201718</v>
      </c>
      <c r="B21" s="11" t="s">
        <v>1439</v>
      </c>
      <c r="C21" s="25" t="s">
        <v>460</v>
      </c>
      <c r="D21" s="11" t="s">
        <v>1440</v>
      </c>
      <c r="E21" s="11" t="s">
        <v>647</v>
      </c>
      <c r="F21" s="11">
        <v>1</v>
      </c>
      <c r="G21" s="11" t="s">
        <v>1488</v>
      </c>
      <c r="H21" s="11" t="s">
        <v>1586</v>
      </c>
      <c r="I21" s="13">
        <v>43064</v>
      </c>
      <c r="J21" s="11">
        <v>25</v>
      </c>
      <c r="K21" s="11">
        <v>11</v>
      </c>
      <c r="L21" s="11">
        <v>2017</v>
      </c>
      <c r="M21" s="13" t="s">
        <v>1587</v>
      </c>
      <c r="N21" s="11" t="s">
        <v>17</v>
      </c>
      <c r="O21" s="11" t="s">
        <v>10</v>
      </c>
      <c r="P21" s="11">
        <v>-38.643658000000002</v>
      </c>
      <c r="Q21" s="11">
        <v>145.557751</v>
      </c>
      <c r="R21" s="11" t="s">
        <v>588</v>
      </c>
      <c r="S21" s="11" t="s">
        <v>588</v>
      </c>
      <c r="T21" s="11">
        <v>3</v>
      </c>
      <c r="U21" s="11">
        <v>3</v>
      </c>
      <c r="V21" t="s">
        <v>588</v>
      </c>
      <c r="W21" t="s">
        <v>588</v>
      </c>
      <c r="X21" s="11">
        <v>2</v>
      </c>
      <c r="Y21" s="11">
        <v>2</v>
      </c>
      <c r="Z21" s="11" t="s">
        <v>8</v>
      </c>
      <c r="AA21" s="13">
        <v>43084</v>
      </c>
      <c r="AB21" s="11">
        <v>15</v>
      </c>
      <c r="AC21" s="11">
        <v>12</v>
      </c>
      <c r="AD21" s="11">
        <v>2017</v>
      </c>
      <c r="AE21" s="13" t="s">
        <v>1588</v>
      </c>
      <c r="AF21" s="11" t="s">
        <v>7</v>
      </c>
      <c r="AG21" s="11" t="s">
        <v>588</v>
      </c>
      <c r="AH21" s="11" t="s">
        <v>588</v>
      </c>
      <c r="AI21" s="11" t="s">
        <v>588</v>
      </c>
      <c r="AJ21" s="11" t="s">
        <v>588</v>
      </c>
      <c r="AK21" s="13" t="s">
        <v>588</v>
      </c>
      <c r="AL21" s="11" t="s">
        <v>588</v>
      </c>
      <c r="AM21" s="11" t="s">
        <v>588</v>
      </c>
      <c r="AN21" s="11" t="s">
        <v>588</v>
      </c>
      <c r="AO21" s="11" t="s">
        <v>588</v>
      </c>
      <c r="AP21" s="13">
        <v>43100</v>
      </c>
      <c r="AQ21" s="11" t="s">
        <v>7</v>
      </c>
      <c r="AR21" s="11" t="s">
        <v>195</v>
      </c>
      <c r="AS21" s="11">
        <v>3</v>
      </c>
      <c r="AT21" s="11">
        <v>3</v>
      </c>
      <c r="AU21" s="13">
        <v>43100</v>
      </c>
      <c r="AV21" s="13">
        <v>43124</v>
      </c>
      <c r="AW21" s="11" t="s">
        <v>12</v>
      </c>
      <c r="AX21" s="11" t="s">
        <v>20</v>
      </c>
      <c r="AY21" s="11" t="s">
        <v>41</v>
      </c>
      <c r="AZ21" s="11" t="s">
        <v>20</v>
      </c>
      <c r="BA21" s="13">
        <v>43100</v>
      </c>
      <c r="BB21" s="13">
        <v>43124</v>
      </c>
      <c r="BC21" s="11" t="s">
        <v>12</v>
      </c>
      <c r="BD21" s="11" t="s">
        <v>20</v>
      </c>
      <c r="BE21" s="11" t="s">
        <v>41</v>
      </c>
      <c r="BF21" s="11" t="s">
        <v>20</v>
      </c>
      <c r="BG21" s="11" t="s">
        <v>588</v>
      </c>
      <c r="BH21" s="11" t="s">
        <v>588</v>
      </c>
      <c r="BI21" s="11" t="s">
        <v>588</v>
      </c>
      <c r="BJ21" s="11" t="s">
        <v>588</v>
      </c>
      <c r="BK21" s="11" t="s">
        <v>588</v>
      </c>
      <c r="BL21" s="11" t="s">
        <v>588</v>
      </c>
      <c r="BM21" s="11">
        <v>2</v>
      </c>
      <c r="BN21" s="11">
        <v>2</v>
      </c>
      <c r="BO21" s="11" t="s">
        <v>8</v>
      </c>
      <c r="BP21" s="11">
        <v>1</v>
      </c>
      <c r="BQ21" s="13">
        <v>43124</v>
      </c>
      <c r="BR21" s="11" t="s">
        <v>12</v>
      </c>
      <c r="BS21" s="11" t="s">
        <v>41</v>
      </c>
      <c r="BT21" s="11" t="s">
        <v>42</v>
      </c>
      <c r="BU21" s="11" t="s">
        <v>42</v>
      </c>
      <c r="BV21" s="11" t="s">
        <v>41</v>
      </c>
      <c r="BW21" s="11" t="s">
        <v>42</v>
      </c>
      <c r="BX21" s="11" t="s">
        <v>42</v>
      </c>
      <c r="BY21" s="11" t="s">
        <v>588</v>
      </c>
      <c r="BZ21" s="11" t="s">
        <v>588</v>
      </c>
    </row>
    <row r="22" spans="1:78" x14ac:dyDescent="0.25">
      <c r="A22" s="11">
        <v>201718</v>
      </c>
      <c r="B22" s="11" t="s">
        <v>1439</v>
      </c>
      <c r="C22" s="25" t="s">
        <v>460</v>
      </c>
      <c r="D22" s="11" t="s">
        <v>1440</v>
      </c>
      <c r="E22" s="11" t="s">
        <v>647</v>
      </c>
      <c r="F22" s="11">
        <v>2</v>
      </c>
      <c r="G22" s="11" t="s">
        <v>1489</v>
      </c>
      <c r="H22" s="11" t="s">
        <v>1589</v>
      </c>
      <c r="I22" s="11" t="s">
        <v>71</v>
      </c>
      <c r="J22" s="11" t="s">
        <v>71</v>
      </c>
      <c r="K22" s="11" t="s">
        <v>71</v>
      </c>
      <c r="L22" s="11" t="s">
        <v>71</v>
      </c>
      <c r="M22" s="11" t="s">
        <v>71</v>
      </c>
      <c r="N22" s="11" t="s">
        <v>71</v>
      </c>
      <c r="O22" s="11" t="s">
        <v>71</v>
      </c>
      <c r="P22" s="11" t="s">
        <v>588</v>
      </c>
      <c r="Q22" s="11" t="s">
        <v>588</v>
      </c>
      <c r="R22" s="11" t="s">
        <v>588</v>
      </c>
      <c r="S22" s="11" t="s">
        <v>588</v>
      </c>
      <c r="T22" s="11" t="s">
        <v>588</v>
      </c>
      <c r="U22" s="11" t="s">
        <v>588</v>
      </c>
      <c r="V22" t="s">
        <v>588</v>
      </c>
      <c r="W22" t="s">
        <v>588</v>
      </c>
      <c r="X22" s="11">
        <v>0</v>
      </c>
      <c r="Y22" s="11">
        <v>0</v>
      </c>
      <c r="Z22" s="11" t="s">
        <v>8</v>
      </c>
      <c r="AA22" s="11" t="s">
        <v>71</v>
      </c>
      <c r="AB22" s="11" t="s">
        <v>71</v>
      </c>
      <c r="AC22" s="11" t="s">
        <v>71</v>
      </c>
      <c r="AD22" s="11" t="s">
        <v>71</v>
      </c>
      <c r="AE22" s="11" t="s">
        <v>71</v>
      </c>
      <c r="AF22" s="11" t="s">
        <v>71</v>
      </c>
      <c r="AG22" s="11" t="s">
        <v>71</v>
      </c>
      <c r="AH22" s="11" t="s">
        <v>588</v>
      </c>
      <c r="AI22" s="11" t="s">
        <v>588</v>
      </c>
      <c r="AJ22" s="11" t="s">
        <v>588</v>
      </c>
      <c r="AK22" s="13" t="s">
        <v>588</v>
      </c>
      <c r="AL22" s="11" t="s">
        <v>71</v>
      </c>
      <c r="AM22" s="11" t="s">
        <v>588</v>
      </c>
      <c r="AN22" s="11" t="s">
        <v>588</v>
      </c>
      <c r="AO22" s="11" t="s">
        <v>588</v>
      </c>
      <c r="AP22" s="13">
        <v>43179</v>
      </c>
      <c r="AQ22" s="11" t="s">
        <v>22</v>
      </c>
      <c r="AR22" s="11" t="s">
        <v>194</v>
      </c>
      <c r="AS22" s="11">
        <v>2</v>
      </c>
      <c r="AT22" s="11">
        <v>2</v>
      </c>
      <c r="AU22" s="13">
        <v>43179</v>
      </c>
      <c r="AV22" s="13">
        <v>43189</v>
      </c>
      <c r="AW22" s="11" t="s">
        <v>22</v>
      </c>
      <c r="AX22" s="11" t="s">
        <v>20</v>
      </c>
      <c r="AY22" s="11" t="s">
        <v>41</v>
      </c>
      <c r="AZ22" s="11" t="s">
        <v>20</v>
      </c>
      <c r="BA22" s="11" t="s">
        <v>588</v>
      </c>
      <c r="BB22" s="11" t="s">
        <v>588</v>
      </c>
      <c r="BC22" s="11" t="s">
        <v>588</v>
      </c>
      <c r="BD22" s="11" t="s">
        <v>588</v>
      </c>
      <c r="BE22" s="11" t="s">
        <v>588</v>
      </c>
      <c r="BF22" s="11" t="s">
        <v>588</v>
      </c>
      <c r="BG22" s="11" t="s">
        <v>588</v>
      </c>
      <c r="BH22" s="11" t="s">
        <v>588</v>
      </c>
      <c r="BI22" s="11" t="s">
        <v>588</v>
      </c>
      <c r="BJ22" s="11" t="s">
        <v>588</v>
      </c>
      <c r="BK22" s="11" t="s">
        <v>588</v>
      </c>
      <c r="BL22" s="11" t="s">
        <v>588</v>
      </c>
      <c r="BM22" s="11">
        <v>3</v>
      </c>
      <c r="BN22" s="11">
        <v>3</v>
      </c>
      <c r="BO22" s="11" t="s">
        <v>8</v>
      </c>
      <c r="BP22" s="11">
        <v>1</v>
      </c>
      <c r="BQ22" s="13">
        <v>43207</v>
      </c>
      <c r="BR22" s="11" t="s">
        <v>72</v>
      </c>
      <c r="BS22" s="11" t="s">
        <v>41</v>
      </c>
      <c r="BT22" s="11" t="s">
        <v>42</v>
      </c>
      <c r="BU22" s="11" t="s">
        <v>42</v>
      </c>
      <c r="BV22" s="11" t="s">
        <v>41</v>
      </c>
      <c r="BW22" s="11" t="s">
        <v>42</v>
      </c>
      <c r="BX22" s="11" t="s">
        <v>42</v>
      </c>
      <c r="BY22" s="11" t="s">
        <v>588</v>
      </c>
      <c r="BZ22" s="11" t="s">
        <v>588</v>
      </c>
    </row>
    <row r="23" spans="1:78" x14ac:dyDescent="0.25">
      <c r="A23" s="11">
        <v>201718</v>
      </c>
      <c r="B23" s="11" t="s">
        <v>269</v>
      </c>
      <c r="C23" s="11" t="s">
        <v>269</v>
      </c>
      <c r="D23" s="11" t="s">
        <v>270</v>
      </c>
      <c r="E23" s="11" t="s">
        <v>647</v>
      </c>
      <c r="F23" s="11">
        <v>1</v>
      </c>
      <c r="G23" s="11" t="s">
        <v>1490</v>
      </c>
      <c r="H23" s="11" t="s">
        <v>1490</v>
      </c>
      <c r="I23" s="13">
        <v>43052</v>
      </c>
      <c r="J23" s="11">
        <v>13</v>
      </c>
      <c r="K23" s="11">
        <v>11</v>
      </c>
      <c r="L23" s="11">
        <v>2017</v>
      </c>
      <c r="M23" s="13" t="s">
        <v>1552</v>
      </c>
      <c r="N23" s="11" t="s">
        <v>17</v>
      </c>
      <c r="O23" s="11" t="s">
        <v>10</v>
      </c>
      <c r="P23" s="11">
        <v>-38.634500000000003</v>
      </c>
      <c r="Q23" s="11">
        <v>145.55189899999999</v>
      </c>
      <c r="R23" s="11" t="s">
        <v>588</v>
      </c>
      <c r="S23" s="11" t="s">
        <v>588</v>
      </c>
      <c r="T23" s="11">
        <v>3</v>
      </c>
      <c r="U23" s="11">
        <v>3</v>
      </c>
      <c r="V23" s="1">
        <v>43056</v>
      </c>
      <c r="W23" t="s">
        <v>223</v>
      </c>
      <c r="X23" s="11">
        <v>3</v>
      </c>
      <c r="Y23" s="11">
        <v>3</v>
      </c>
      <c r="Z23" s="11" t="s">
        <v>8</v>
      </c>
      <c r="AA23" s="13">
        <v>43067</v>
      </c>
      <c r="AB23" s="11">
        <v>28</v>
      </c>
      <c r="AC23" s="11">
        <v>11</v>
      </c>
      <c r="AD23" s="11">
        <v>2017</v>
      </c>
      <c r="AE23" s="13" t="s">
        <v>1590</v>
      </c>
      <c r="AF23" s="11" t="s">
        <v>17</v>
      </c>
      <c r="AG23" s="11" t="s">
        <v>588</v>
      </c>
      <c r="AH23" s="11" t="s">
        <v>588</v>
      </c>
      <c r="AI23" s="11" t="s">
        <v>588</v>
      </c>
      <c r="AJ23" s="11" t="s">
        <v>588</v>
      </c>
      <c r="AK23" s="13" t="s">
        <v>588</v>
      </c>
      <c r="AL23" s="11" t="s">
        <v>588</v>
      </c>
      <c r="AM23" s="11" t="s">
        <v>588</v>
      </c>
      <c r="AN23" s="11" t="s">
        <v>588</v>
      </c>
      <c r="AO23" s="11" t="s">
        <v>588</v>
      </c>
      <c r="AP23" s="13">
        <v>43084</v>
      </c>
      <c r="AQ23" s="11" t="s">
        <v>7</v>
      </c>
      <c r="AR23" s="11" t="s">
        <v>195</v>
      </c>
      <c r="AS23" s="11">
        <v>2</v>
      </c>
      <c r="AT23" s="11">
        <v>3</v>
      </c>
      <c r="AU23" s="13">
        <v>43100</v>
      </c>
      <c r="AV23" s="13">
        <v>43110</v>
      </c>
      <c r="AW23" s="11" t="s">
        <v>12</v>
      </c>
      <c r="AX23" s="11" t="s">
        <v>20</v>
      </c>
      <c r="AY23" s="11" t="s">
        <v>41</v>
      </c>
      <c r="AZ23" s="11" t="s">
        <v>20</v>
      </c>
      <c r="BA23" s="11" t="s">
        <v>588</v>
      </c>
      <c r="BB23" s="11" t="s">
        <v>588</v>
      </c>
      <c r="BC23" s="11" t="s">
        <v>588</v>
      </c>
      <c r="BD23" s="11" t="s">
        <v>588</v>
      </c>
      <c r="BE23" s="11" t="s">
        <v>588</v>
      </c>
      <c r="BF23" s="11" t="s">
        <v>588</v>
      </c>
      <c r="BG23" s="11" t="s">
        <v>588</v>
      </c>
      <c r="BH23" s="11" t="s">
        <v>588</v>
      </c>
      <c r="BI23" s="11" t="s">
        <v>588</v>
      </c>
      <c r="BJ23" s="11" t="s">
        <v>588</v>
      </c>
      <c r="BK23" s="11" t="s">
        <v>588</v>
      </c>
      <c r="BL23" s="11" t="s">
        <v>588</v>
      </c>
      <c r="BM23" s="11">
        <v>5</v>
      </c>
      <c r="BN23" s="11">
        <v>5</v>
      </c>
      <c r="BO23" s="11" t="s">
        <v>8</v>
      </c>
      <c r="BP23" s="11">
        <v>1</v>
      </c>
      <c r="BQ23" s="13">
        <v>43124</v>
      </c>
      <c r="BR23" s="11" t="s">
        <v>12</v>
      </c>
      <c r="BS23" s="11" t="s">
        <v>41</v>
      </c>
      <c r="BT23" s="11" t="s">
        <v>42</v>
      </c>
      <c r="BU23" s="11" t="s">
        <v>42</v>
      </c>
      <c r="BV23" s="11" t="s">
        <v>41</v>
      </c>
      <c r="BW23" s="11" t="s">
        <v>42</v>
      </c>
      <c r="BX23" s="11" t="s">
        <v>42</v>
      </c>
      <c r="BY23" s="11" t="s">
        <v>588</v>
      </c>
      <c r="BZ23" s="11" t="s">
        <v>588</v>
      </c>
    </row>
    <row r="24" spans="1:78" x14ac:dyDescent="0.25">
      <c r="A24" s="11">
        <v>201718</v>
      </c>
      <c r="B24" s="11" t="s">
        <v>269</v>
      </c>
      <c r="C24" s="11" t="s">
        <v>269</v>
      </c>
      <c r="D24" s="11" t="s">
        <v>270</v>
      </c>
      <c r="E24" s="11" t="s">
        <v>647</v>
      </c>
      <c r="F24" s="11">
        <v>2</v>
      </c>
      <c r="G24" s="11" t="s">
        <v>1491</v>
      </c>
      <c r="H24" s="11" t="s">
        <v>1491</v>
      </c>
      <c r="I24" s="13">
        <v>43143</v>
      </c>
      <c r="J24" s="11">
        <v>12</v>
      </c>
      <c r="K24" s="11">
        <v>2</v>
      </c>
      <c r="L24" s="11">
        <v>2018</v>
      </c>
      <c r="M24" s="13" t="s">
        <v>1538</v>
      </c>
      <c r="N24" s="11" t="s">
        <v>21</v>
      </c>
      <c r="O24" s="11" t="s">
        <v>10</v>
      </c>
      <c r="P24" s="11">
        <v>-38.635069999999999</v>
      </c>
      <c r="Q24" s="11">
        <v>145.55223000000001</v>
      </c>
      <c r="R24" s="11" t="s">
        <v>588</v>
      </c>
      <c r="S24" s="11" t="s">
        <v>588</v>
      </c>
      <c r="T24" s="11">
        <v>3</v>
      </c>
      <c r="U24" s="11">
        <v>3</v>
      </c>
      <c r="V24" t="s">
        <v>588</v>
      </c>
      <c r="W24" t="s">
        <v>588</v>
      </c>
      <c r="X24" s="11">
        <v>2</v>
      </c>
      <c r="Y24" s="11">
        <v>2</v>
      </c>
      <c r="Z24" s="11" t="s">
        <v>8</v>
      </c>
      <c r="AA24" s="13">
        <v>43153</v>
      </c>
      <c r="AB24" s="11">
        <v>22</v>
      </c>
      <c r="AC24" s="11">
        <v>2</v>
      </c>
      <c r="AD24" s="11">
        <v>2018</v>
      </c>
      <c r="AE24" s="13" t="s">
        <v>1539</v>
      </c>
      <c r="AF24" s="11" t="s">
        <v>21</v>
      </c>
      <c r="AG24" s="11" t="s">
        <v>588</v>
      </c>
      <c r="AH24" s="11" t="s">
        <v>588</v>
      </c>
      <c r="AI24" s="11" t="s">
        <v>588</v>
      </c>
      <c r="AJ24" s="11" t="s">
        <v>588</v>
      </c>
      <c r="AK24" s="13" t="s">
        <v>588</v>
      </c>
      <c r="AL24" s="11" t="s">
        <v>588</v>
      </c>
      <c r="AM24" s="11" t="s">
        <v>588</v>
      </c>
      <c r="AN24" s="11" t="s">
        <v>588</v>
      </c>
      <c r="AO24" s="11" t="s">
        <v>588</v>
      </c>
      <c r="AP24" s="13">
        <v>43176</v>
      </c>
      <c r="AQ24" s="11" t="s">
        <v>22</v>
      </c>
      <c r="AR24" s="11" t="s">
        <v>195</v>
      </c>
      <c r="AS24" s="11">
        <v>1</v>
      </c>
      <c r="AT24" s="11">
        <v>3</v>
      </c>
      <c r="AU24" s="13">
        <v>43207</v>
      </c>
      <c r="AV24" s="13">
        <v>43218</v>
      </c>
      <c r="AW24" s="11" t="s">
        <v>72</v>
      </c>
      <c r="AX24" s="11" t="s">
        <v>20</v>
      </c>
      <c r="AY24" s="11" t="s">
        <v>41</v>
      </c>
      <c r="AZ24" s="11" t="s">
        <v>20</v>
      </c>
      <c r="BA24" s="11" t="s">
        <v>588</v>
      </c>
      <c r="BB24" s="11" t="s">
        <v>588</v>
      </c>
      <c r="BC24" s="11" t="s">
        <v>588</v>
      </c>
      <c r="BD24" s="11" t="s">
        <v>588</v>
      </c>
      <c r="BE24" s="11" t="s">
        <v>588</v>
      </c>
      <c r="BF24" s="11" t="s">
        <v>588</v>
      </c>
      <c r="BG24" s="11" t="s">
        <v>588</v>
      </c>
      <c r="BH24" s="11" t="s">
        <v>588</v>
      </c>
      <c r="BI24" s="11" t="s">
        <v>588</v>
      </c>
      <c r="BJ24" s="11" t="s">
        <v>588</v>
      </c>
      <c r="BK24" s="11" t="s">
        <v>588</v>
      </c>
      <c r="BL24" s="11" t="s">
        <v>588</v>
      </c>
      <c r="BM24" s="11">
        <v>4</v>
      </c>
      <c r="BN24" s="11">
        <v>4</v>
      </c>
      <c r="BO24" s="11" t="s">
        <v>41</v>
      </c>
      <c r="BP24" s="11" t="s">
        <v>588</v>
      </c>
      <c r="BQ24" s="11" t="s">
        <v>588</v>
      </c>
      <c r="BR24" s="11" t="s">
        <v>588</v>
      </c>
      <c r="BS24" s="11" t="s">
        <v>41</v>
      </c>
      <c r="BT24" s="11" t="s">
        <v>42</v>
      </c>
      <c r="BU24" s="11" t="s">
        <v>42</v>
      </c>
      <c r="BV24" s="11" t="s">
        <v>41</v>
      </c>
      <c r="BW24" s="11" t="s">
        <v>42</v>
      </c>
      <c r="BX24" s="11" t="s">
        <v>42</v>
      </c>
      <c r="BY24" s="11" t="s">
        <v>588</v>
      </c>
      <c r="BZ24" s="11" t="s">
        <v>588</v>
      </c>
    </row>
    <row r="25" spans="1:78" x14ac:dyDescent="0.25">
      <c r="A25" s="11">
        <v>201718</v>
      </c>
      <c r="B25" s="11" t="s">
        <v>280</v>
      </c>
      <c r="C25" s="11" t="s">
        <v>280</v>
      </c>
      <c r="D25" s="11" t="s">
        <v>571</v>
      </c>
      <c r="E25" s="11" t="s">
        <v>647</v>
      </c>
      <c r="F25" s="11">
        <v>1</v>
      </c>
      <c r="G25" s="11" t="s">
        <v>1492</v>
      </c>
      <c r="H25" s="11" t="s">
        <v>1492</v>
      </c>
      <c r="I25" s="13">
        <v>43084</v>
      </c>
      <c r="J25" s="11">
        <v>15</v>
      </c>
      <c r="K25" s="11">
        <v>12</v>
      </c>
      <c r="L25" s="11">
        <v>2017</v>
      </c>
      <c r="M25" s="13" t="s">
        <v>1588</v>
      </c>
      <c r="N25" s="11" t="s">
        <v>7</v>
      </c>
      <c r="O25" s="11" t="s">
        <v>10</v>
      </c>
      <c r="P25" s="11">
        <v>-38.630032</v>
      </c>
      <c r="Q25" s="11">
        <v>145.549454</v>
      </c>
      <c r="R25" s="11" t="s">
        <v>588</v>
      </c>
      <c r="S25" s="11" t="s">
        <v>588</v>
      </c>
      <c r="T25" s="11">
        <v>1</v>
      </c>
      <c r="U25" s="11">
        <v>3</v>
      </c>
      <c r="V25" t="s">
        <v>588</v>
      </c>
      <c r="W25" t="s">
        <v>588</v>
      </c>
      <c r="X25" s="11">
        <v>2</v>
      </c>
      <c r="Y25" s="11">
        <v>2</v>
      </c>
      <c r="Z25" s="11" t="s">
        <v>41</v>
      </c>
      <c r="AA25" s="13">
        <v>43084</v>
      </c>
      <c r="AB25" s="11">
        <v>15</v>
      </c>
      <c r="AC25" s="11">
        <v>12</v>
      </c>
      <c r="AD25" s="11">
        <v>2017</v>
      </c>
      <c r="AE25" s="13" t="s">
        <v>1588</v>
      </c>
      <c r="AF25" s="11" t="s">
        <v>7</v>
      </c>
      <c r="AG25" s="13">
        <v>43098</v>
      </c>
      <c r="AH25" s="11">
        <v>29</v>
      </c>
      <c r="AI25" s="11">
        <v>12</v>
      </c>
      <c r="AJ25" s="11">
        <v>2017</v>
      </c>
      <c r="AK25" s="13" t="s">
        <v>1525</v>
      </c>
      <c r="AL25" s="11" t="s">
        <v>7</v>
      </c>
      <c r="AM25" s="11" t="s">
        <v>20</v>
      </c>
      <c r="AN25" s="11" t="s">
        <v>41</v>
      </c>
      <c r="AO25" s="11" t="s">
        <v>20</v>
      </c>
      <c r="AP25" s="11" t="s">
        <v>588</v>
      </c>
      <c r="AQ25" s="11" t="s">
        <v>588</v>
      </c>
      <c r="AR25" s="11" t="s">
        <v>588</v>
      </c>
      <c r="AS25" s="11" t="s">
        <v>588</v>
      </c>
      <c r="AT25" s="11" t="s">
        <v>588</v>
      </c>
      <c r="AU25" s="11" t="s">
        <v>588</v>
      </c>
      <c r="AV25" s="11" t="s">
        <v>588</v>
      </c>
      <c r="AW25" s="11" t="s">
        <v>588</v>
      </c>
      <c r="AX25" s="11" t="s">
        <v>588</v>
      </c>
      <c r="AY25" s="11" t="s">
        <v>588</v>
      </c>
      <c r="AZ25" s="11" t="s">
        <v>588</v>
      </c>
      <c r="BA25" s="11" t="s">
        <v>588</v>
      </c>
      <c r="BB25" s="11" t="s">
        <v>588</v>
      </c>
      <c r="BC25" s="11" t="s">
        <v>588</v>
      </c>
      <c r="BD25" s="11" t="s">
        <v>588</v>
      </c>
      <c r="BE25" s="11" t="s">
        <v>588</v>
      </c>
      <c r="BF25" s="11" t="s">
        <v>588</v>
      </c>
      <c r="BG25" s="11" t="s">
        <v>588</v>
      </c>
      <c r="BH25" s="11" t="s">
        <v>588</v>
      </c>
      <c r="BI25" s="11" t="s">
        <v>588</v>
      </c>
      <c r="BJ25" s="11" t="s">
        <v>588</v>
      </c>
      <c r="BK25" s="11" t="s">
        <v>588</v>
      </c>
      <c r="BL25" s="11" t="s">
        <v>588</v>
      </c>
      <c r="BM25" s="11" t="s">
        <v>588</v>
      </c>
      <c r="BN25" s="11" t="s">
        <v>588</v>
      </c>
      <c r="BO25" s="11" t="s">
        <v>588</v>
      </c>
      <c r="BP25" s="11" t="s">
        <v>588</v>
      </c>
      <c r="BQ25" s="11" t="s">
        <v>588</v>
      </c>
      <c r="BR25" s="11" t="s">
        <v>588</v>
      </c>
      <c r="BS25" s="11" t="s">
        <v>41</v>
      </c>
      <c r="BT25" s="11" t="s">
        <v>42</v>
      </c>
      <c r="BU25" s="11" t="s">
        <v>42</v>
      </c>
      <c r="BV25" s="11" t="s">
        <v>588</v>
      </c>
      <c r="BW25" s="11" t="s">
        <v>588</v>
      </c>
      <c r="BX25" s="11" t="s">
        <v>588</v>
      </c>
      <c r="BY25" s="11" t="s">
        <v>588</v>
      </c>
      <c r="BZ25" s="11" t="s">
        <v>588</v>
      </c>
    </row>
    <row r="26" spans="1:78" x14ac:dyDescent="0.25">
      <c r="A26" s="11">
        <v>201718</v>
      </c>
      <c r="B26" s="11" t="s">
        <v>280</v>
      </c>
      <c r="C26" s="11" t="s">
        <v>280</v>
      </c>
      <c r="D26" s="11" t="s">
        <v>571</v>
      </c>
      <c r="E26" s="11" t="s">
        <v>647</v>
      </c>
      <c r="F26" s="11">
        <v>2</v>
      </c>
      <c r="G26" s="11" t="s">
        <v>1493</v>
      </c>
      <c r="H26" s="11" t="s">
        <v>1493</v>
      </c>
      <c r="I26" s="13">
        <v>43098</v>
      </c>
      <c r="J26" s="11">
        <v>29</v>
      </c>
      <c r="K26" s="11">
        <v>12</v>
      </c>
      <c r="L26" s="11">
        <v>2017</v>
      </c>
      <c r="M26" s="13" t="s">
        <v>1525</v>
      </c>
      <c r="N26" s="11" t="s">
        <v>7</v>
      </c>
      <c r="O26" s="11" t="s">
        <v>10</v>
      </c>
      <c r="P26" s="11">
        <v>-38.630710000000001</v>
      </c>
      <c r="Q26" s="11">
        <v>145.54989</v>
      </c>
      <c r="R26" s="11" t="s">
        <v>588</v>
      </c>
      <c r="S26" s="11" t="s">
        <v>588</v>
      </c>
      <c r="T26" s="11">
        <v>2</v>
      </c>
      <c r="U26" s="11">
        <v>3</v>
      </c>
      <c r="V26" s="1">
        <v>43102</v>
      </c>
      <c r="W26" t="s">
        <v>223</v>
      </c>
      <c r="X26" s="11">
        <v>3</v>
      </c>
      <c r="Y26" s="11">
        <v>3</v>
      </c>
      <c r="Z26" s="11" t="s">
        <v>8</v>
      </c>
      <c r="AA26" s="13">
        <v>43124</v>
      </c>
      <c r="AB26" s="11">
        <v>24</v>
      </c>
      <c r="AC26" s="11">
        <v>1</v>
      </c>
      <c r="AD26" s="11">
        <v>2018</v>
      </c>
      <c r="AE26" s="13" t="s">
        <v>1536</v>
      </c>
      <c r="AF26" s="11" t="s">
        <v>12</v>
      </c>
      <c r="AG26" s="11" t="s">
        <v>588</v>
      </c>
      <c r="AH26" s="11" t="s">
        <v>588</v>
      </c>
      <c r="AI26" s="11" t="s">
        <v>588</v>
      </c>
      <c r="AJ26" s="11" t="s">
        <v>588</v>
      </c>
      <c r="AK26" s="13" t="s">
        <v>588</v>
      </c>
      <c r="AL26" s="11" t="s">
        <v>588</v>
      </c>
      <c r="AM26" s="11" t="s">
        <v>588</v>
      </c>
      <c r="AN26" s="11" t="s">
        <v>588</v>
      </c>
      <c r="AO26" s="11" t="s">
        <v>588</v>
      </c>
      <c r="AP26" s="13">
        <v>43143</v>
      </c>
      <c r="AQ26" s="11" t="s">
        <v>21</v>
      </c>
      <c r="AR26" s="11" t="s">
        <v>199</v>
      </c>
      <c r="AS26" s="11">
        <v>2</v>
      </c>
      <c r="AT26" s="11">
        <v>3</v>
      </c>
      <c r="AU26" s="11" t="s">
        <v>588</v>
      </c>
      <c r="AV26" s="11" t="s">
        <v>588</v>
      </c>
      <c r="AW26" s="11" t="s">
        <v>588</v>
      </c>
      <c r="AX26" s="11" t="s">
        <v>588</v>
      </c>
      <c r="AY26" s="11" t="s">
        <v>588</v>
      </c>
      <c r="AZ26" s="11" t="s">
        <v>588</v>
      </c>
      <c r="BA26" s="11" t="s">
        <v>588</v>
      </c>
      <c r="BB26" s="11" t="s">
        <v>588</v>
      </c>
      <c r="BC26" s="11" t="s">
        <v>588</v>
      </c>
      <c r="BD26" s="11" t="s">
        <v>588</v>
      </c>
      <c r="BE26" s="11" t="s">
        <v>588</v>
      </c>
      <c r="BF26" s="11" t="s">
        <v>588</v>
      </c>
      <c r="BG26" s="11" t="s">
        <v>588</v>
      </c>
      <c r="BH26" s="11" t="s">
        <v>588</v>
      </c>
      <c r="BI26" s="11" t="s">
        <v>588</v>
      </c>
      <c r="BJ26" s="11" t="s">
        <v>588</v>
      </c>
      <c r="BK26" s="11" t="s">
        <v>588</v>
      </c>
      <c r="BL26" s="11" t="s">
        <v>588</v>
      </c>
      <c r="BM26" s="11">
        <v>3</v>
      </c>
      <c r="BN26" s="11">
        <v>3</v>
      </c>
      <c r="BO26" s="11" t="s">
        <v>8</v>
      </c>
      <c r="BP26" s="11">
        <v>2</v>
      </c>
      <c r="BQ26" s="13">
        <v>43179</v>
      </c>
      <c r="BR26" s="11" t="s">
        <v>22</v>
      </c>
      <c r="BS26" s="11" t="s">
        <v>41</v>
      </c>
      <c r="BT26" s="11" t="s">
        <v>42</v>
      </c>
      <c r="BU26" s="11" t="s">
        <v>42</v>
      </c>
      <c r="BV26" s="11" t="s">
        <v>8</v>
      </c>
      <c r="BW26" s="11" t="s">
        <v>18</v>
      </c>
      <c r="BX26" s="11" t="s">
        <v>18</v>
      </c>
      <c r="BY26" s="11" t="s">
        <v>588</v>
      </c>
      <c r="BZ26" s="11" t="s">
        <v>588</v>
      </c>
    </row>
    <row r="27" spans="1:78" x14ac:dyDescent="0.25">
      <c r="A27" s="11">
        <v>201718</v>
      </c>
      <c r="B27" s="11" t="s">
        <v>284</v>
      </c>
      <c r="C27" s="11" t="s">
        <v>284</v>
      </c>
      <c r="D27" s="11" t="s">
        <v>569</v>
      </c>
      <c r="E27" s="11" t="s">
        <v>647</v>
      </c>
      <c r="F27" s="11">
        <v>1</v>
      </c>
      <c r="G27" s="11" t="s">
        <v>1494</v>
      </c>
      <c r="H27" s="11" t="s">
        <v>1494</v>
      </c>
      <c r="I27" s="13">
        <v>43066</v>
      </c>
      <c r="J27" s="11">
        <v>27</v>
      </c>
      <c r="K27" s="11">
        <v>11</v>
      </c>
      <c r="L27" s="11">
        <v>2017</v>
      </c>
      <c r="M27" s="13" t="s">
        <v>1553</v>
      </c>
      <c r="N27" s="11" t="s">
        <v>17</v>
      </c>
      <c r="O27" s="11" t="s">
        <v>10</v>
      </c>
      <c r="P27" s="11">
        <v>-38.588549999999998</v>
      </c>
      <c r="Q27" s="11">
        <v>145.51638</v>
      </c>
      <c r="R27" s="11" t="s">
        <v>588</v>
      </c>
      <c r="S27" s="11" t="s">
        <v>588</v>
      </c>
      <c r="T27" s="11">
        <v>1</v>
      </c>
      <c r="U27" s="11">
        <v>3</v>
      </c>
      <c r="V27" t="s">
        <v>588</v>
      </c>
      <c r="W27" t="s">
        <v>588</v>
      </c>
      <c r="X27" s="11">
        <v>2</v>
      </c>
      <c r="Y27" s="11">
        <v>2</v>
      </c>
      <c r="Z27" s="11" t="s">
        <v>41</v>
      </c>
      <c r="AA27" s="13">
        <v>43066</v>
      </c>
      <c r="AB27" s="11">
        <v>27</v>
      </c>
      <c r="AC27" s="11">
        <v>11</v>
      </c>
      <c r="AD27" s="11">
        <v>2017</v>
      </c>
      <c r="AE27" s="13" t="s">
        <v>1553</v>
      </c>
      <c r="AF27" s="11" t="s">
        <v>17</v>
      </c>
      <c r="AG27" s="13">
        <v>43077</v>
      </c>
      <c r="AH27" s="11">
        <v>8</v>
      </c>
      <c r="AI27" s="11">
        <v>12</v>
      </c>
      <c r="AJ27" s="11">
        <v>2017</v>
      </c>
      <c r="AK27" s="13" t="s">
        <v>1543</v>
      </c>
      <c r="AL27" s="11" t="s">
        <v>7</v>
      </c>
      <c r="AM27" s="11" t="s">
        <v>20</v>
      </c>
      <c r="AN27" s="11" t="s">
        <v>8</v>
      </c>
      <c r="AO27" s="11" t="s">
        <v>11</v>
      </c>
      <c r="AP27" s="11" t="s">
        <v>588</v>
      </c>
      <c r="AQ27" s="11" t="s">
        <v>588</v>
      </c>
      <c r="AR27" s="11" t="s">
        <v>588</v>
      </c>
      <c r="AS27" s="11" t="s">
        <v>588</v>
      </c>
      <c r="AT27" s="11" t="s">
        <v>588</v>
      </c>
      <c r="AU27" s="11" t="s">
        <v>588</v>
      </c>
      <c r="AV27" s="11" t="s">
        <v>588</v>
      </c>
      <c r="AW27" s="11" t="s">
        <v>588</v>
      </c>
      <c r="AX27" s="11" t="s">
        <v>588</v>
      </c>
      <c r="AY27" s="11" t="s">
        <v>588</v>
      </c>
      <c r="AZ27" s="11" t="s">
        <v>588</v>
      </c>
      <c r="BA27" s="11" t="s">
        <v>588</v>
      </c>
      <c r="BB27" s="11" t="s">
        <v>588</v>
      </c>
      <c r="BC27" s="11" t="s">
        <v>588</v>
      </c>
      <c r="BD27" s="11" t="s">
        <v>588</v>
      </c>
      <c r="BE27" s="11" t="s">
        <v>588</v>
      </c>
      <c r="BF27" s="11" t="s">
        <v>588</v>
      </c>
      <c r="BG27" s="11" t="s">
        <v>588</v>
      </c>
      <c r="BH27" s="11" t="s">
        <v>588</v>
      </c>
      <c r="BI27" s="11" t="s">
        <v>588</v>
      </c>
      <c r="BJ27" s="11" t="s">
        <v>588</v>
      </c>
      <c r="BK27" s="11" t="s">
        <v>588</v>
      </c>
      <c r="BL27" s="11" t="s">
        <v>588</v>
      </c>
      <c r="BM27" s="11" t="s">
        <v>588</v>
      </c>
      <c r="BN27" s="11" t="s">
        <v>588</v>
      </c>
      <c r="BO27" s="11" t="s">
        <v>588</v>
      </c>
      <c r="BP27" s="11" t="s">
        <v>588</v>
      </c>
      <c r="BQ27" s="11" t="s">
        <v>588</v>
      </c>
      <c r="BR27" s="11" t="s">
        <v>588</v>
      </c>
      <c r="BS27" s="11" t="s">
        <v>8</v>
      </c>
      <c r="BT27" s="11" t="s">
        <v>9</v>
      </c>
      <c r="BU27" s="11" t="s">
        <v>9</v>
      </c>
      <c r="BV27" s="11" t="s">
        <v>588</v>
      </c>
      <c r="BW27" s="11" t="s">
        <v>588</v>
      </c>
      <c r="BX27" s="11" t="s">
        <v>588</v>
      </c>
      <c r="BY27" s="11" t="s">
        <v>588</v>
      </c>
      <c r="BZ27" s="11" t="s">
        <v>588</v>
      </c>
    </row>
    <row r="28" spans="1:78" x14ac:dyDescent="0.25">
      <c r="A28" s="11">
        <v>201718</v>
      </c>
      <c r="B28" s="11" t="s">
        <v>284</v>
      </c>
      <c r="C28" s="11" t="s">
        <v>284</v>
      </c>
      <c r="D28" s="11" t="s">
        <v>569</v>
      </c>
      <c r="E28" s="11" t="s">
        <v>647</v>
      </c>
      <c r="F28" s="11">
        <v>2</v>
      </c>
      <c r="G28" s="11" t="s">
        <v>1495</v>
      </c>
      <c r="H28" s="11" t="s">
        <v>1495</v>
      </c>
      <c r="I28" s="13">
        <v>43091</v>
      </c>
      <c r="J28" s="11">
        <v>22</v>
      </c>
      <c r="K28" s="11">
        <v>12</v>
      </c>
      <c r="L28" s="11">
        <v>2017</v>
      </c>
      <c r="M28" s="13" t="s">
        <v>1549</v>
      </c>
      <c r="N28" s="11" t="s">
        <v>7</v>
      </c>
      <c r="O28" s="11" t="s">
        <v>51</v>
      </c>
      <c r="P28" s="11">
        <v>-38.589910000000003</v>
      </c>
      <c r="Q28" s="11">
        <v>145.51769999999999</v>
      </c>
      <c r="R28" s="11" t="s">
        <v>588</v>
      </c>
      <c r="S28" s="11" t="s">
        <v>588</v>
      </c>
      <c r="T28" s="11">
        <v>3</v>
      </c>
      <c r="U28" s="11">
        <v>3</v>
      </c>
      <c r="V28" t="s">
        <v>588</v>
      </c>
      <c r="W28" t="s">
        <v>588</v>
      </c>
      <c r="X28" s="11">
        <v>2</v>
      </c>
      <c r="Y28" s="11">
        <v>2</v>
      </c>
      <c r="Z28" s="11" t="s">
        <v>41</v>
      </c>
      <c r="AA28" s="13">
        <v>43091</v>
      </c>
      <c r="AB28" s="11">
        <v>22</v>
      </c>
      <c r="AC28" s="11">
        <v>12</v>
      </c>
      <c r="AD28" s="11">
        <v>2017</v>
      </c>
      <c r="AE28" s="13" t="s">
        <v>1549</v>
      </c>
      <c r="AF28" s="11" t="s">
        <v>7</v>
      </c>
      <c r="AG28" s="13">
        <v>43105</v>
      </c>
      <c r="AH28" s="11">
        <v>5</v>
      </c>
      <c r="AI28" s="11">
        <v>1</v>
      </c>
      <c r="AJ28" s="11">
        <v>2018</v>
      </c>
      <c r="AK28" s="13" t="s">
        <v>1544</v>
      </c>
      <c r="AL28" s="11" t="s">
        <v>12</v>
      </c>
      <c r="AM28" s="11" t="s">
        <v>20</v>
      </c>
      <c r="AN28" s="11" t="s">
        <v>8</v>
      </c>
      <c r="AO28" s="11" t="s">
        <v>1441</v>
      </c>
      <c r="AP28" s="11" t="s">
        <v>588</v>
      </c>
      <c r="AQ28" s="11" t="s">
        <v>588</v>
      </c>
      <c r="AR28" s="11" t="s">
        <v>588</v>
      </c>
      <c r="AS28" s="11" t="s">
        <v>588</v>
      </c>
      <c r="AT28" s="11" t="s">
        <v>588</v>
      </c>
      <c r="AU28" s="11" t="s">
        <v>588</v>
      </c>
      <c r="AV28" s="11" t="s">
        <v>588</v>
      </c>
      <c r="AW28" s="11" t="s">
        <v>588</v>
      </c>
      <c r="AX28" s="11" t="s">
        <v>588</v>
      </c>
      <c r="AY28" s="11" t="s">
        <v>588</v>
      </c>
      <c r="AZ28" s="11" t="s">
        <v>588</v>
      </c>
      <c r="BA28" s="11" t="s">
        <v>588</v>
      </c>
      <c r="BB28" s="11" t="s">
        <v>588</v>
      </c>
      <c r="BC28" s="11" t="s">
        <v>588</v>
      </c>
      <c r="BD28" s="11" t="s">
        <v>588</v>
      </c>
      <c r="BE28" s="11" t="s">
        <v>588</v>
      </c>
      <c r="BF28" s="11" t="s">
        <v>588</v>
      </c>
      <c r="BG28" s="11" t="s">
        <v>588</v>
      </c>
      <c r="BH28" s="11" t="s">
        <v>588</v>
      </c>
      <c r="BI28" s="11" t="s">
        <v>588</v>
      </c>
      <c r="BJ28" s="11" t="s">
        <v>588</v>
      </c>
      <c r="BK28" s="11" t="s">
        <v>588</v>
      </c>
      <c r="BL28" s="11" t="s">
        <v>588</v>
      </c>
      <c r="BM28" s="11" t="s">
        <v>588</v>
      </c>
      <c r="BN28" s="11" t="s">
        <v>588</v>
      </c>
      <c r="BO28" s="11" t="s">
        <v>588</v>
      </c>
      <c r="BP28" s="11" t="s">
        <v>588</v>
      </c>
      <c r="BQ28" s="11" t="s">
        <v>588</v>
      </c>
      <c r="BR28" s="11" t="s">
        <v>588</v>
      </c>
      <c r="BS28" s="11" t="s">
        <v>8</v>
      </c>
      <c r="BT28" s="11" t="s">
        <v>9</v>
      </c>
      <c r="BU28" s="11" t="s">
        <v>9</v>
      </c>
      <c r="BV28" s="11" t="s">
        <v>588</v>
      </c>
      <c r="BW28" s="11" t="s">
        <v>588</v>
      </c>
      <c r="BX28" s="11" t="s">
        <v>588</v>
      </c>
      <c r="BY28" s="11" t="s">
        <v>588</v>
      </c>
      <c r="BZ28" s="11" t="s">
        <v>588</v>
      </c>
    </row>
    <row r="29" spans="1:78" x14ac:dyDescent="0.25">
      <c r="A29" s="11">
        <v>201718</v>
      </c>
      <c r="B29" s="11" t="s">
        <v>284</v>
      </c>
      <c r="C29" s="11" t="s">
        <v>284</v>
      </c>
      <c r="D29" s="11" t="s">
        <v>569</v>
      </c>
      <c r="E29" s="11" t="s">
        <v>647</v>
      </c>
      <c r="F29" s="11">
        <v>3</v>
      </c>
      <c r="G29" s="11" t="s">
        <v>1496</v>
      </c>
      <c r="H29" s="11" t="s">
        <v>1496</v>
      </c>
      <c r="I29" s="13">
        <v>43123</v>
      </c>
      <c r="J29" s="11">
        <v>23</v>
      </c>
      <c r="K29" s="11">
        <v>1</v>
      </c>
      <c r="L29" s="11">
        <v>2018</v>
      </c>
      <c r="M29" s="13" t="s">
        <v>1554</v>
      </c>
      <c r="N29" s="11" t="s">
        <v>12</v>
      </c>
      <c r="O29" s="11" t="s">
        <v>10</v>
      </c>
      <c r="P29" s="11">
        <v>-38.589700000000001</v>
      </c>
      <c r="Q29" s="11">
        <v>145.51746</v>
      </c>
      <c r="R29" s="11" t="s">
        <v>588</v>
      </c>
      <c r="S29" s="11" t="s">
        <v>588</v>
      </c>
      <c r="T29" s="11">
        <v>1</v>
      </c>
      <c r="U29" s="11">
        <v>3</v>
      </c>
      <c r="V29" t="s">
        <v>588</v>
      </c>
      <c r="W29" t="s">
        <v>588</v>
      </c>
      <c r="X29" s="11">
        <v>3</v>
      </c>
      <c r="Y29" s="11">
        <v>3</v>
      </c>
      <c r="Z29" s="11" t="s">
        <v>41</v>
      </c>
      <c r="AA29" s="13">
        <v>43157</v>
      </c>
      <c r="AB29" s="11">
        <v>26</v>
      </c>
      <c r="AC29" s="11">
        <v>2</v>
      </c>
      <c r="AD29" s="11">
        <v>2018</v>
      </c>
      <c r="AE29" s="13" t="s">
        <v>1591</v>
      </c>
      <c r="AF29" s="11" t="s">
        <v>21</v>
      </c>
      <c r="AG29" s="13">
        <v>43165</v>
      </c>
      <c r="AH29" s="11">
        <v>6</v>
      </c>
      <c r="AI29" s="11">
        <v>3</v>
      </c>
      <c r="AJ29" s="11">
        <v>2018</v>
      </c>
      <c r="AK29" s="13" t="s">
        <v>1545</v>
      </c>
      <c r="AL29" s="11" t="s">
        <v>22</v>
      </c>
      <c r="AM29" s="11" t="s">
        <v>20</v>
      </c>
      <c r="AN29" s="11" t="s">
        <v>41</v>
      </c>
      <c r="AO29" s="11" t="s">
        <v>20</v>
      </c>
      <c r="AP29" s="11" t="s">
        <v>588</v>
      </c>
      <c r="AQ29" s="11" t="s">
        <v>588</v>
      </c>
      <c r="AR29" s="11" t="s">
        <v>588</v>
      </c>
      <c r="AS29" s="11" t="s">
        <v>588</v>
      </c>
      <c r="AT29" s="11" t="s">
        <v>588</v>
      </c>
      <c r="AU29" s="11" t="s">
        <v>588</v>
      </c>
      <c r="AV29" s="11" t="s">
        <v>588</v>
      </c>
      <c r="AW29" s="11" t="s">
        <v>588</v>
      </c>
      <c r="AX29" s="11" t="s">
        <v>588</v>
      </c>
      <c r="AY29" s="11" t="s">
        <v>588</v>
      </c>
      <c r="AZ29" s="11" t="s">
        <v>588</v>
      </c>
      <c r="BA29" s="11" t="s">
        <v>588</v>
      </c>
      <c r="BB29" s="11" t="s">
        <v>588</v>
      </c>
      <c r="BC29" s="11" t="s">
        <v>588</v>
      </c>
      <c r="BD29" s="11" t="s">
        <v>588</v>
      </c>
      <c r="BE29" s="11" t="s">
        <v>588</v>
      </c>
      <c r="BF29" s="11" t="s">
        <v>588</v>
      </c>
      <c r="BG29" s="11" t="s">
        <v>588</v>
      </c>
      <c r="BH29" s="11" t="s">
        <v>588</v>
      </c>
      <c r="BI29" s="11" t="s">
        <v>588</v>
      </c>
      <c r="BJ29" s="11" t="s">
        <v>588</v>
      </c>
      <c r="BK29" s="11" t="s">
        <v>588</v>
      </c>
      <c r="BL29" s="11" t="s">
        <v>588</v>
      </c>
      <c r="BM29" s="11" t="s">
        <v>588</v>
      </c>
      <c r="BN29" s="11" t="s">
        <v>588</v>
      </c>
      <c r="BO29" s="11" t="s">
        <v>588</v>
      </c>
      <c r="BP29" s="11" t="s">
        <v>588</v>
      </c>
      <c r="BQ29" s="11" t="s">
        <v>588</v>
      </c>
      <c r="BR29" s="11" t="s">
        <v>588</v>
      </c>
      <c r="BS29" s="11" t="s">
        <v>8</v>
      </c>
      <c r="BT29" s="11" t="s">
        <v>9</v>
      </c>
      <c r="BU29" s="11" t="s">
        <v>9</v>
      </c>
      <c r="BV29" s="11" t="s">
        <v>588</v>
      </c>
      <c r="BW29" s="11" t="s">
        <v>588</v>
      </c>
      <c r="BX29" s="11" t="s">
        <v>588</v>
      </c>
      <c r="BY29" s="11" t="s">
        <v>588</v>
      </c>
      <c r="BZ29" s="11" t="s">
        <v>588</v>
      </c>
    </row>
    <row r="30" spans="1:78" x14ac:dyDescent="0.25">
      <c r="A30" s="11">
        <v>201718</v>
      </c>
      <c r="B30" s="11" t="s">
        <v>78</v>
      </c>
      <c r="C30" s="11" t="s">
        <v>400</v>
      </c>
      <c r="D30" s="11" t="s">
        <v>38</v>
      </c>
      <c r="E30" s="11" t="s">
        <v>16</v>
      </c>
      <c r="F30" s="11">
        <v>2</v>
      </c>
      <c r="G30" s="11" t="s">
        <v>210</v>
      </c>
      <c r="H30" s="11" t="s">
        <v>1577</v>
      </c>
      <c r="I30" s="13">
        <v>43104</v>
      </c>
      <c r="J30" s="11">
        <v>4</v>
      </c>
      <c r="K30" s="11">
        <v>1</v>
      </c>
      <c r="L30" s="11">
        <v>2018</v>
      </c>
      <c r="M30" s="13" t="s">
        <v>1578</v>
      </c>
      <c r="N30" s="11" t="s">
        <v>12</v>
      </c>
      <c r="O30" s="11" t="s">
        <v>10</v>
      </c>
      <c r="P30" s="11">
        <v>-38.653610999999998</v>
      </c>
      <c r="Q30" s="11">
        <v>145.56472199999999</v>
      </c>
      <c r="R30" s="23" t="s">
        <v>588</v>
      </c>
      <c r="S30" s="23" t="s">
        <v>588</v>
      </c>
      <c r="T30" s="11">
        <v>3</v>
      </c>
      <c r="U30" s="11">
        <v>3</v>
      </c>
      <c r="V30" s="1">
        <v>43108</v>
      </c>
      <c r="W30" t="s">
        <v>223</v>
      </c>
      <c r="X30" s="11">
        <v>5</v>
      </c>
      <c r="Y30" s="11">
        <v>5</v>
      </c>
      <c r="Z30" s="11" t="s">
        <v>41</v>
      </c>
      <c r="AA30" s="13">
        <v>43111</v>
      </c>
      <c r="AB30" s="11">
        <v>11</v>
      </c>
      <c r="AC30" s="11">
        <v>1</v>
      </c>
      <c r="AD30" s="11">
        <v>2018</v>
      </c>
      <c r="AE30" s="13" t="s">
        <v>1579</v>
      </c>
      <c r="AF30" s="11" t="s">
        <v>12</v>
      </c>
      <c r="AG30" s="13">
        <v>43122</v>
      </c>
      <c r="AH30" s="11">
        <v>22</v>
      </c>
      <c r="AI30" s="11">
        <v>1</v>
      </c>
      <c r="AJ30" s="11">
        <v>2018</v>
      </c>
      <c r="AK30" s="13" t="s">
        <v>1532</v>
      </c>
      <c r="AL30" s="11" t="s">
        <v>12</v>
      </c>
      <c r="AM30" s="11" t="s">
        <v>20</v>
      </c>
      <c r="AN30" s="11" t="s">
        <v>8</v>
      </c>
      <c r="AO30" s="11" t="s">
        <v>48</v>
      </c>
      <c r="AP30" s="11" t="s">
        <v>588</v>
      </c>
      <c r="AQ30" s="11" t="s">
        <v>588</v>
      </c>
      <c r="AR30" s="11" t="s">
        <v>588</v>
      </c>
      <c r="AS30" s="11" t="s">
        <v>588</v>
      </c>
      <c r="AT30" s="11" t="s">
        <v>588</v>
      </c>
      <c r="AU30" s="7" t="s">
        <v>588</v>
      </c>
      <c r="AV30" s="11" t="s">
        <v>588</v>
      </c>
      <c r="AW30" s="11" t="s">
        <v>588</v>
      </c>
      <c r="AX30" s="11" t="s">
        <v>588</v>
      </c>
      <c r="AY30" s="11" t="s">
        <v>588</v>
      </c>
      <c r="AZ30" s="11" t="s">
        <v>588</v>
      </c>
      <c r="BA30" s="7" t="s">
        <v>588</v>
      </c>
      <c r="BB30" s="11" t="s">
        <v>588</v>
      </c>
      <c r="BC30" s="11" t="s">
        <v>588</v>
      </c>
      <c r="BD30" s="11" t="s">
        <v>588</v>
      </c>
      <c r="BE30" s="11" t="s">
        <v>588</v>
      </c>
      <c r="BF30" s="11" t="s">
        <v>588</v>
      </c>
      <c r="BG30" s="7" t="s">
        <v>588</v>
      </c>
      <c r="BH30" s="11" t="s">
        <v>588</v>
      </c>
      <c r="BI30" s="11" t="s">
        <v>588</v>
      </c>
      <c r="BJ30" s="11" t="s">
        <v>588</v>
      </c>
      <c r="BK30" s="11" t="s">
        <v>588</v>
      </c>
      <c r="BL30" s="11" t="s">
        <v>588</v>
      </c>
      <c r="BM30" s="11" t="s">
        <v>588</v>
      </c>
      <c r="BN30" s="11" t="s">
        <v>588</v>
      </c>
      <c r="BO30" s="11" t="s">
        <v>588</v>
      </c>
      <c r="BP30" s="11" t="s">
        <v>588</v>
      </c>
      <c r="BQ30" s="11" t="s">
        <v>588</v>
      </c>
      <c r="BR30" s="11" t="s">
        <v>588</v>
      </c>
      <c r="BS30" s="11" t="s">
        <v>8</v>
      </c>
      <c r="BT30" s="11" t="s">
        <v>13</v>
      </c>
      <c r="BU30" s="11" t="s">
        <v>13</v>
      </c>
      <c r="BV30" s="11" t="s">
        <v>588</v>
      </c>
      <c r="BW30" s="11" t="s">
        <v>588</v>
      </c>
      <c r="BX30" s="11" t="s">
        <v>588</v>
      </c>
      <c r="BY30" s="11" t="s">
        <v>588</v>
      </c>
      <c r="BZ30" s="11" t="s">
        <v>588</v>
      </c>
    </row>
    <row r="31" spans="1:78" x14ac:dyDescent="0.25">
      <c r="A31" s="11">
        <v>201718</v>
      </c>
      <c r="B31" s="11" t="s">
        <v>73</v>
      </c>
      <c r="C31" s="11" t="s">
        <v>73</v>
      </c>
      <c r="D31" s="11" t="s">
        <v>74</v>
      </c>
      <c r="E31" s="11" t="s">
        <v>16</v>
      </c>
      <c r="F31" s="11">
        <v>1</v>
      </c>
      <c r="G31" s="11" t="s">
        <v>1455</v>
      </c>
      <c r="H31" s="11" t="s">
        <v>1455</v>
      </c>
      <c r="I31" s="13">
        <v>43081</v>
      </c>
      <c r="J31" s="11">
        <v>12</v>
      </c>
      <c r="K31" s="11">
        <v>12</v>
      </c>
      <c r="L31" s="11">
        <v>2017</v>
      </c>
      <c r="M31" s="13" t="s">
        <v>1564</v>
      </c>
      <c r="N31" s="11" t="s">
        <v>7</v>
      </c>
      <c r="O31" s="11" t="s">
        <v>10</v>
      </c>
      <c r="P31" s="23">
        <v>-38.642836000000003</v>
      </c>
      <c r="Q31" s="23">
        <v>145.71752799999999</v>
      </c>
      <c r="R31" s="23" t="s">
        <v>588</v>
      </c>
      <c r="S31" s="23" t="s">
        <v>588</v>
      </c>
      <c r="T31" s="11">
        <v>3</v>
      </c>
      <c r="U31" s="11">
        <v>3</v>
      </c>
      <c r="V31" t="s">
        <v>588</v>
      </c>
      <c r="W31" t="s">
        <v>588</v>
      </c>
      <c r="X31" s="11">
        <v>4</v>
      </c>
      <c r="Y31" s="11">
        <v>4</v>
      </c>
      <c r="Z31" s="11" t="s">
        <v>41</v>
      </c>
      <c r="AA31" s="13">
        <v>43086</v>
      </c>
      <c r="AB31" s="11">
        <v>17</v>
      </c>
      <c r="AC31" s="11">
        <v>12</v>
      </c>
      <c r="AD31" s="11">
        <v>2017</v>
      </c>
      <c r="AE31" s="13" t="s">
        <v>1565</v>
      </c>
      <c r="AF31" s="11" t="s">
        <v>7</v>
      </c>
      <c r="AG31" s="13">
        <v>43087</v>
      </c>
      <c r="AH31" s="11">
        <v>18</v>
      </c>
      <c r="AI31" s="11">
        <v>12</v>
      </c>
      <c r="AJ31" s="11">
        <v>2017</v>
      </c>
      <c r="AK31" s="13" t="s">
        <v>1526</v>
      </c>
      <c r="AL31" s="11" t="s">
        <v>7</v>
      </c>
      <c r="AM31" s="11" t="s">
        <v>20</v>
      </c>
      <c r="AN31" s="11" t="s">
        <v>8</v>
      </c>
      <c r="AO31" s="11" t="s">
        <v>48</v>
      </c>
      <c r="AP31" s="11" t="s">
        <v>588</v>
      </c>
      <c r="AQ31" s="11" t="s">
        <v>588</v>
      </c>
      <c r="AR31" s="11" t="s">
        <v>588</v>
      </c>
      <c r="AS31" s="11" t="s">
        <v>588</v>
      </c>
      <c r="AT31" s="11" t="s">
        <v>588</v>
      </c>
      <c r="AU31" s="7" t="s">
        <v>588</v>
      </c>
      <c r="AV31" s="11" t="s">
        <v>588</v>
      </c>
      <c r="AW31" s="11" t="s">
        <v>588</v>
      </c>
      <c r="AX31" s="11" t="s">
        <v>588</v>
      </c>
      <c r="AY31" s="11" t="s">
        <v>588</v>
      </c>
      <c r="AZ31" s="11" t="s">
        <v>588</v>
      </c>
      <c r="BA31" s="7" t="s">
        <v>588</v>
      </c>
      <c r="BB31" s="11" t="s">
        <v>588</v>
      </c>
      <c r="BC31" s="11" t="s">
        <v>588</v>
      </c>
      <c r="BD31" s="11" t="s">
        <v>588</v>
      </c>
      <c r="BE31" s="11" t="s">
        <v>588</v>
      </c>
      <c r="BF31" s="11" t="s">
        <v>588</v>
      </c>
      <c r="BG31" s="7" t="s">
        <v>588</v>
      </c>
      <c r="BH31" s="11" t="s">
        <v>588</v>
      </c>
      <c r="BI31" s="11" t="s">
        <v>588</v>
      </c>
      <c r="BJ31" s="11" t="s">
        <v>588</v>
      </c>
      <c r="BK31" s="11" t="s">
        <v>588</v>
      </c>
      <c r="BL31" s="11" t="s">
        <v>588</v>
      </c>
      <c r="BM31" s="11" t="s">
        <v>588</v>
      </c>
      <c r="BN31" s="11" t="s">
        <v>588</v>
      </c>
      <c r="BO31" s="11" t="s">
        <v>588</v>
      </c>
      <c r="BP31" s="11" t="s">
        <v>588</v>
      </c>
      <c r="BQ31" s="11" t="s">
        <v>588</v>
      </c>
      <c r="BR31" s="11" t="s">
        <v>588</v>
      </c>
      <c r="BS31" s="11" t="s">
        <v>8</v>
      </c>
      <c r="BT31" s="11" t="s">
        <v>9</v>
      </c>
      <c r="BU31" s="11" t="s">
        <v>9</v>
      </c>
      <c r="BV31" s="11" t="s">
        <v>588</v>
      </c>
      <c r="BW31" s="11" t="s">
        <v>588</v>
      </c>
      <c r="BX31" s="11" t="s">
        <v>588</v>
      </c>
      <c r="BY31" s="11" t="s">
        <v>588</v>
      </c>
      <c r="BZ31" s="11" t="s">
        <v>588</v>
      </c>
    </row>
    <row r="32" spans="1:78" x14ac:dyDescent="0.25">
      <c r="A32" s="11">
        <v>201718</v>
      </c>
      <c r="B32" s="11" t="s">
        <v>60</v>
      </c>
      <c r="C32" s="11" t="s">
        <v>60</v>
      </c>
      <c r="D32" s="11" t="s">
        <v>27</v>
      </c>
      <c r="E32" s="11" t="s">
        <v>49</v>
      </c>
      <c r="F32" s="11">
        <v>1</v>
      </c>
      <c r="G32" s="11" t="s">
        <v>1451</v>
      </c>
      <c r="H32" s="11" t="s">
        <v>1451</v>
      </c>
      <c r="I32" s="13">
        <v>42986</v>
      </c>
      <c r="J32" s="11">
        <v>8</v>
      </c>
      <c r="K32" s="11">
        <v>9</v>
      </c>
      <c r="L32" s="11">
        <v>2017</v>
      </c>
      <c r="M32" s="13" t="s">
        <v>1560</v>
      </c>
      <c r="N32" s="11" t="s">
        <v>28</v>
      </c>
      <c r="O32" s="11" t="s">
        <v>10</v>
      </c>
      <c r="P32" s="23">
        <v>-38.641469999999998</v>
      </c>
      <c r="Q32" s="23">
        <v>145.72063800000001</v>
      </c>
      <c r="R32" s="23" t="s">
        <v>588</v>
      </c>
      <c r="S32" s="23" t="s">
        <v>588</v>
      </c>
      <c r="T32" s="11">
        <v>2</v>
      </c>
      <c r="U32" s="11">
        <v>2</v>
      </c>
      <c r="V32" t="s">
        <v>588</v>
      </c>
      <c r="W32" t="s">
        <v>588</v>
      </c>
      <c r="X32" s="11">
        <v>5</v>
      </c>
      <c r="Y32" s="11">
        <v>5</v>
      </c>
      <c r="Z32" s="11" t="s">
        <v>8</v>
      </c>
      <c r="AA32" s="13">
        <v>42998</v>
      </c>
      <c r="AB32" s="11">
        <v>20</v>
      </c>
      <c r="AC32" s="11">
        <v>9</v>
      </c>
      <c r="AD32" s="11">
        <v>2017</v>
      </c>
      <c r="AE32" s="13" t="s">
        <v>1561</v>
      </c>
      <c r="AF32" s="11" t="s">
        <v>28</v>
      </c>
      <c r="AG32" s="11" t="s">
        <v>588</v>
      </c>
      <c r="AH32" s="11" t="s">
        <v>588</v>
      </c>
      <c r="AI32" s="11" t="s">
        <v>588</v>
      </c>
      <c r="AJ32" s="11" t="s">
        <v>588</v>
      </c>
      <c r="AK32" s="13" t="s">
        <v>588</v>
      </c>
      <c r="AL32" s="11" t="s">
        <v>588</v>
      </c>
      <c r="AM32" s="11" t="s">
        <v>588</v>
      </c>
      <c r="AN32" s="11" t="s">
        <v>588</v>
      </c>
      <c r="AO32" s="11" t="s">
        <v>588</v>
      </c>
      <c r="AP32" s="13">
        <v>43018</v>
      </c>
      <c r="AQ32" s="11" t="s">
        <v>29</v>
      </c>
      <c r="AR32" s="11" t="s">
        <v>195</v>
      </c>
      <c r="AS32" s="11">
        <v>1</v>
      </c>
      <c r="AT32" s="11">
        <v>2</v>
      </c>
      <c r="AU32" s="7">
        <v>43022</v>
      </c>
      <c r="AV32" s="13">
        <v>43024</v>
      </c>
      <c r="AW32" s="11" t="s">
        <v>29</v>
      </c>
      <c r="AX32" s="11" t="s">
        <v>20</v>
      </c>
      <c r="AY32" s="11" t="s">
        <v>588</v>
      </c>
      <c r="AZ32" s="11" t="s">
        <v>20</v>
      </c>
      <c r="BA32" s="7" t="s">
        <v>588</v>
      </c>
      <c r="BB32" s="11" t="s">
        <v>588</v>
      </c>
      <c r="BC32" s="11" t="s">
        <v>588</v>
      </c>
      <c r="BD32" s="11" t="s">
        <v>588</v>
      </c>
      <c r="BE32" s="11" t="s">
        <v>588</v>
      </c>
      <c r="BF32" s="11" t="s">
        <v>588</v>
      </c>
      <c r="BG32" s="7" t="s">
        <v>588</v>
      </c>
      <c r="BH32" s="11" t="s">
        <v>588</v>
      </c>
      <c r="BI32" s="11" t="s">
        <v>588</v>
      </c>
      <c r="BJ32" s="11" t="s">
        <v>588</v>
      </c>
      <c r="BK32" s="11" t="s">
        <v>588</v>
      </c>
      <c r="BL32" s="11" t="s">
        <v>588</v>
      </c>
      <c r="BM32" s="11">
        <v>4</v>
      </c>
      <c r="BN32" s="11">
        <v>4</v>
      </c>
      <c r="BO32" s="11" t="s">
        <v>41</v>
      </c>
      <c r="BP32" s="11" t="s">
        <v>588</v>
      </c>
      <c r="BQ32" s="11" t="s">
        <v>588</v>
      </c>
      <c r="BR32" s="11" t="s">
        <v>588</v>
      </c>
      <c r="BS32" s="11" t="s">
        <v>8</v>
      </c>
      <c r="BT32" s="11" t="s">
        <v>9</v>
      </c>
      <c r="BU32" s="11" t="s">
        <v>9</v>
      </c>
      <c r="BV32" s="11" t="s">
        <v>8</v>
      </c>
      <c r="BW32" s="11" t="s">
        <v>96</v>
      </c>
      <c r="BX32" s="11" t="s">
        <v>96</v>
      </c>
      <c r="BY32" s="11" t="s">
        <v>588</v>
      </c>
      <c r="BZ32" s="11" t="s">
        <v>588</v>
      </c>
    </row>
    <row r="33" spans="1:78" x14ac:dyDescent="0.25">
      <c r="A33" s="11">
        <v>201718</v>
      </c>
      <c r="B33" s="11" t="s">
        <v>60</v>
      </c>
      <c r="C33" s="11" t="s">
        <v>60</v>
      </c>
      <c r="D33" s="11" t="s">
        <v>27</v>
      </c>
      <c r="E33" s="11" t="s">
        <v>49</v>
      </c>
      <c r="F33" s="11">
        <v>2</v>
      </c>
      <c r="G33" s="11" t="s">
        <v>1452</v>
      </c>
      <c r="H33" s="11" t="s">
        <v>1452</v>
      </c>
      <c r="I33" s="13">
        <v>43048</v>
      </c>
      <c r="J33" s="11">
        <v>9</v>
      </c>
      <c r="K33" s="11">
        <v>11</v>
      </c>
      <c r="L33" s="11">
        <v>2017</v>
      </c>
      <c r="M33" s="13" t="s">
        <v>1562</v>
      </c>
      <c r="N33" s="11" t="s">
        <v>17</v>
      </c>
      <c r="O33" s="11" t="s">
        <v>10</v>
      </c>
      <c r="P33" s="23" t="s">
        <v>588</v>
      </c>
      <c r="Q33" s="23" t="s">
        <v>588</v>
      </c>
      <c r="R33" s="11">
        <v>-38.640040999999997</v>
      </c>
      <c r="S33" s="11">
        <v>145.719131</v>
      </c>
      <c r="T33" s="11">
        <v>3</v>
      </c>
      <c r="U33" s="11">
        <v>3</v>
      </c>
      <c r="V33" t="s">
        <v>588</v>
      </c>
      <c r="W33" t="s">
        <v>588</v>
      </c>
      <c r="X33" s="11">
        <v>2</v>
      </c>
      <c r="Y33" s="11">
        <v>2</v>
      </c>
      <c r="Z33" s="11" t="s">
        <v>41</v>
      </c>
      <c r="AA33" s="13">
        <v>43048</v>
      </c>
      <c r="AB33" s="11">
        <v>9</v>
      </c>
      <c r="AC33" s="11">
        <v>11</v>
      </c>
      <c r="AD33" s="11">
        <v>2017</v>
      </c>
      <c r="AE33" s="13" t="s">
        <v>1562</v>
      </c>
      <c r="AF33" s="11" t="s">
        <v>17</v>
      </c>
      <c r="AG33" s="13">
        <v>43057</v>
      </c>
      <c r="AH33" s="11">
        <v>18</v>
      </c>
      <c r="AI33" s="11">
        <v>11</v>
      </c>
      <c r="AJ33" s="11">
        <v>2017</v>
      </c>
      <c r="AK33" s="13" t="s">
        <v>1524</v>
      </c>
      <c r="AL33" s="11" t="s">
        <v>17</v>
      </c>
      <c r="AM33" s="11" t="s">
        <v>20</v>
      </c>
      <c r="AN33" s="11" t="s">
        <v>41</v>
      </c>
      <c r="AO33" s="11" t="s">
        <v>20</v>
      </c>
      <c r="AP33" s="11" t="s">
        <v>588</v>
      </c>
      <c r="AQ33" s="11" t="s">
        <v>588</v>
      </c>
      <c r="AR33" s="11" t="s">
        <v>588</v>
      </c>
      <c r="AS33" s="11" t="s">
        <v>588</v>
      </c>
      <c r="AT33" s="11" t="s">
        <v>588</v>
      </c>
      <c r="AU33" s="7" t="s">
        <v>588</v>
      </c>
      <c r="AV33" s="11" t="s">
        <v>588</v>
      </c>
      <c r="AW33" s="11" t="s">
        <v>588</v>
      </c>
      <c r="AX33" s="11" t="s">
        <v>588</v>
      </c>
      <c r="AY33" s="11" t="s">
        <v>588</v>
      </c>
      <c r="AZ33" s="11" t="s">
        <v>588</v>
      </c>
      <c r="BA33" s="7" t="s">
        <v>588</v>
      </c>
      <c r="BB33" s="11" t="s">
        <v>588</v>
      </c>
      <c r="BC33" s="11" t="s">
        <v>588</v>
      </c>
      <c r="BD33" s="11" t="s">
        <v>588</v>
      </c>
      <c r="BE33" s="11" t="s">
        <v>588</v>
      </c>
      <c r="BF33" s="11" t="s">
        <v>588</v>
      </c>
      <c r="BG33" s="7" t="s">
        <v>588</v>
      </c>
      <c r="BH33" s="11" t="s">
        <v>588</v>
      </c>
      <c r="BI33" s="11" t="s">
        <v>588</v>
      </c>
      <c r="BJ33" s="11" t="s">
        <v>588</v>
      </c>
      <c r="BK33" s="11" t="s">
        <v>588</v>
      </c>
      <c r="BL33" s="11" t="s">
        <v>588</v>
      </c>
      <c r="BM33" s="11" t="s">
        <v>588</v>
      </c>
      <c r="BN33" s="11" t="s">
        <v>588</v>
      </c>
      <c r="BO33" s="11" t="s">
        <v>588</v>
      </c>
      <c r="BP33" s="11" t="s">
        <v>588</v>
      </c>
      <c r="BQ33" s="11" t="s">
        <v>588</v>
      </c>
      <c r="BR33" s="11" t="s">
        <v>588</v>
      </c>
      <c r="BS33" s="11" t="s">
        <v>8</v>
      </c>
      <c r="BT33" s="11" t="s">
        <v>9</v>
      </c>
      <c r="BU33" s="11" t="s">
        <v>9</v>
      </c>
      <c r="BV33" s="11" t="s">
        <v>588</v>
      </c>
      <c r="BW33" s="11" t="s">
        <v>588</v>
      </c>
      <c r="BX33" s="11" t="s">
        <v>588</v>
      </c>
      <c r="BY33" s="11" t="s">
        <v>588</v>
      </c>
      <c r="BZ33" s="11" t="s">
        <v>588</v>
      </c>
    </row>
    <row r="34" spans="1:78" x14ac:dyDescent="0.25">
      <c r="A34" s="11">
        <v>201718</v>
      </c>
      <c r="B34" s="11" t="s">
        <v>60</v>
      </c>
      <c r="C34" s="11" t="s">
        <v>60</v>
      </c>
      <c r="D34" s="11" t="s">
        <v>27</v>
      </c>
      <c r="E34" s="11" t="s">
        <v>49</v>
      </c>
      <c r="F34" s="11">
        <v>3</v>
      </c>
      <c r="G34" s="11" t="s">
        <v>1453</v>
      </c>
      <c r="H34" s="11" t="s">
        <v>1453</v>
      </c>
      <c r="I34" s="13">
        <v>43073</v>
      </c>
      <c r="J34" s="11">
        <v>4</v>
      </c>
      <c r="K34" s="11">
        <v>12</v>
      </c>
      <c r="L34" s="11">
        <v>2017</v>
      </c>
      <c r="M34" s="13" t="s">
        <v>1523</v>
      </c>
      <c r="N34" s="11" t="s">
        <v>7</v>
      </c>
      <c r="O34" s="11" t="s">
        <v>10</v>
      </c>
      <c r="P34" s="23" t="s">
        <v>588</v>
      </c>
      <c r="Q34" s="23" t="s">
        <v>588</v>
      </c>
      <c r="R34" s="11">
        <v>-38.640040999999997</v>
      </c>
      <c r="S34" s="11">
        <v>145.719131</v>
      </c>
      <c r="T34" s="11">
        <v>3</v>
      </c>
      <c r="U34" s="11">
        <v>3</v>
      </c>
      <c r="V34" t="s">
        <v>588</v>
      </c>
      <c r="W34" t="s">
        <v>588</v>
      </c>
      <c r="X34" s="11">
        <v>2</v>
      </c>
      <c r="Y34" s="11">
        <v>2</v>
      </c>
      <c r="Z34" s="11" t="s">
        <v>41</v>
      </c>
      <c r="AA34" s="13">
        <v>43438</v>
      </c>
      <c r="AB34" s="11">
        <v>4</v>
      </c>
      <c r="AC34" s="11">
        <v>12</v>
      </c>
      <c r="AD34" s="11">
        <v>2018</v>
      </c>
      <c r="AE34" s="13" t="s">
        <v>1563</v>
      </c>
      <c r="AF34" s="11" t="s">
        <v>7</v>
      </c>
      <c r="AG34" s="13">
        <v>43439</v>
      </c>
      <c r="AH34" s="11">
        <v>5</v>
      </c>
      <c r="AI34" s="11">
        <v>12</v>
      </c>
      <c r="AJ34" s="11">
        <v>2018</v>
      </c>
      <c r="AK34" s="13" t="s">
        <v>1377</v>
      </c>
      <c r="AL34" s="11" t="s">
        <v>7</v>
      </c>
      <c r="AM34" s="11" t="s">
        <v>20</v>
      </c>
      <c r="AN34" s="11" t="s">
        <v>41</v>
      </c>
      <c r="AO34" s="11" t="s">
        <v>20</v>
      </c>
      <c r="AP34" s="11" t="s">
        <v>588</v>
      </c>
      <c r="AQ34" s="11" t="s">
        <v>588</v>
      </c>
      <c r="AR34" s="11" t="s">
        <v>588</v>
      </c>
      <c r="AS34" s="11" t="s">
        <v>588</v>
      </c>
      <c r="AT34" s="11" t="s">
        <v>588</v>
      </c>
      <c r="AU34" s="7" t="s">
        <v>588</v>
      </c>
      <c r="AV34" s="11" t="s">
        <v>588</v>
      </c>
      <c r="AW34" s="11" t="s">
        <v>588</v>
      </c>
      <c r="AX34" s="11" t="s">
        <v>588</v>
      </c>
      <c r="AY34" s="11" t="s">
        <v>588</v>
      </c>
      <c r="AZ34" s="11" t="s">
        <v>588</v>
      </c>
      <c r="BA34" s="7" t="s">
        <v>588</v>
      </c>
      <c r="BB34" s="11" t="s">
        <v>588</v>
      </c>
      <c r="BC34" s="11" t="s">
        <v>588</v>
      </c>
      <c r="BD34" s="11" t="s">
        <v>588</v>
      </c>
      <c r="BE34" s="11" t="s">
        <v>588</v>
      </c>
      <c r="BF34" s="11" t="s">
        <v>588</v>
      </c>
      <c r="BG34" s="7" t="s">
        <v>588</v>
      </c>
      <c r="BH34" s="11" t="s">
        <v>588</v>
      </c>
      <c r="BI34" s="11" t="s">
        <v>588</v>
      </c>
      <c r="BJ34" s="11" t="s">
        <v>588</v>
      </c>
      <c r="BK34" s="11" t="s">
        <v>588</v>
      </c>
      <c r="BL34" s="11" t="s">
        <v>588</v>
      </c>
      <c r="BM34" s="11" t="s">
        <v>588</v>
      </c>
      <c r="BN34" s="11" t="s">
        <v>588</v>
      </c>
      <c r="BO34" s="11" t="s">
        <v>588</v>
      </c>
      <c r="BP34" s="11" t="s">
        <v>588</v>
      </c>
      <c r="BQ34" s="11" t="s">
        <v>588</v>
      </c>
      <c r="BR34" s="11" t="s">
        <v>588</v>
      </c>
      <c r="BS34" s="11" t="s">
        <v>8</v>
      </c>
      <c r="BT34" s="11" t="s">
        <v>9</v>
      </c>
      <c r="BU34" s="11" t="s">
        <v>9</v>
      </c>
      <c r="BV34" s="11" t="s">
        <v>588</v>
      </c>
      <c r="BW34" s="11" t="s">
        <v>588</v>
      </c>
      <c r="BX34" s="11" t="s">
        <v>588</v>
      </c>
      <c r="BY34" s="11" t="s">
        <v>588</v>
      </c>
      <c r="BZ34" s="11" t="s">
        <v>588</v>
      </c>
    </row>
    <row r="35" spans="1:78" x14ac:dyDescent="0.25">
      <c r="A35" s="11">
        <v>201718</v>
      </c>
      <c r="B35" s="11" t="s">
        <v>60</v>
      </c>
      <c r="C35" s="11" t="s">
        <v>60</v>
      </c>
      <c r="D35" s="11" t="s">
        <v>27</v>
      </c>
      <c r="E35" s="11" t="s">
        <v>49</v>
      </c>
      <c r="F35" s="11">
        <v>4</v>
      </c>
      <c r="G35" s="11" t="s">
        <v>1454</v>
      </c>
      <c r="H35" s="11" t="s">
        <v>1454</v>
      </c>
      <c r="I35" s="13">
        <v>43081</v>
      </c>
      <c r="J35" s="11">
        <v>12</v>
      </c>
      <c r="K35" s="11">
        <v>12</v>
      </c>
      <c r="L35" s="11">
        <v>2017</v>
      </c>
      <c r="M35" s="13" t="s">
        <v>1564</v>
      </c>
      <c r="N35" s="11" t="s">
        <v>7</v>
      </c>
      <c r="O35" s="11" t="s">
        <v>10</v>
      </c>
      <c r="P35" s="23">
        <v>-38.641154</v>
      </c>
      <c r="Q35" s="23">
        <v>145.72018600000001</v>
      </c>
      <c r="R35" s="23" t="s">
        <v>588</v>
      </c>
      <c r="S35" s="23" t="s">
        <v>588</v>
      </c>
      <c r="T35" s="11">
        <v>3</v>
      </c>
      <c r="U35" s="11">
        <v>3</v>
      </c>
      <c r="V35" t="s">
        <v>588</v>
      </c>
      <c r="W35" t="s">
        <v>588</v>
      </c>
      <c r="X35" s="11">
        <v>4</v>
      </c>
      <c r="Y35" s="11">
        <v>4</v>
      </c>
      <c r="Z35" s="11" t="s">
        <v>41</v>
      </c>
      <c r="AA35" s="13">
        <v>43087</v>
      </c>
      <c r="AB35" s="11">
        <v>18</v>
      </c>
      <c r="AC35" s="11">
        <v>12</v>
      </c>
      <c r="AD35" s="11">
        <v>2017</v>
      </c>
      <c r="AE35" s="13" t="s">
        <v>1526</v>
      </c>
      <c r="AF35" s="11" t="s">
        <v>7</v>
      </c>
      <c r="AG35" s="13">
        <v>43098</v>
      </c>
      <c r="AH35" s="11">
        <v>29</v>
      </c>
      <c r="AI35" s="11">
        <v>12</v>
      </c>
      <c r="AJ35" s="11">
        <v>2017</v>
      </c>
      <c r="AK35" s="13" t="s">
        <v>1525</v>
      </c>
      <c r="AL35" s="11" t="s">
        <v>7</v>
      </c>
      <c r="AM35" s="11" t="s">
        <v>20</v>
      </c>
      <c r="AN35" s="11" t="s">
        <v>8</v>
      </c>
      <c r="AO35" s="11" t="s">
        <v>48</v>
      </c>
      <c r="AP35" s="11" t="s">
        <v>588</v>
      </c>
      <c r="AQ35" s="11" t="s">
        <v>588</v>
      </c>
      <c r="AR35" s="11" t="s">
        <v>588</v>
      </c>
      <c r="AS35" s="11" t="s">
        <v>588</v>
      </c>
      <c r="AT35" s="11" t="s">
        <v>588</v>
      </c>
      <c r="AU35" s="7" t="s">
        <v>588</v>
      </c>
      <c r="AV35" s="11" t="s">
        <v>588</v>
      </c>
      <c r="AW35" s="11" t="s">
        <v>588</v>
      </c>
      <c r="AX35" s="11" t="s">
        <v>588</v>
      </c>
      <c r="AY35" s="11" t="s">
        <v>588</v>
      </c>
      <c r="AZ35" s="11" t="s">
        <v>588</v>
      </c>
      <c r="BA35" s="7" t="s">
        <v>588</v>
      </c>
      <c r="BB35" s="11" t="s">
        <v>588</v>
      </c>
      <c r="BC35" s="11" t="s">
        <v>588</v>
      </c>
      <c r="BD35" s="11" t="s">
        <v>588</v>
      </c>
      <c r="BE35" s="11" t="s">
        <v>588</v>
      </c>
      <c r="BF35" s="11" t="s">
        <v>588</v>
      </c>
      <c r="BG35" s="7" t="s">
        <v>588</v>
      </c>
      <c r="BH35" s="11" t="s">
        <v>588</v>
      </c>
      <c r="BI35" s="11" t="s">
        <v>588</v>
      </c>
      <c r="BJ35" s="11" t="s">
        <v>588</v>
      </c>
      <c r="BK35" s="11" t="s">
        <v>588</v>
      </c>
      <c r="BL35" s="11" t="s">
        <v>588</v>
      </c>
      <c r="BM35" s="11" t="s">
        <v>588</v>
      </c>
      <c r="BN35" s="11" t="s">
        <v>588</v>
      </c>
      <c r="BO35" s="11" t="s">
        <v>588</v>
      </c>
      <c r="BP35" s="11" t="s">
        <v>588</v>
      </c>
      <c r="BQ35" s="11" t="s">
        <v>588</v>
      </c>
      <c r="BR35" s="11" t="s">
        <v>588</v>
      </c>
      <c r="BS35" s="11" t="s">
        <v>8</v>
      </c>
      <c r="BT35" s="11" t="s">
        <v>9</v>
      </c>
      <c r="BU35" s="11" t="s">
        <v>9</v>
      </c>
      <c r="BV35" s="11" t="s">
        <v>588</v>
      </c>
      <c r="BW35" s="11" t="s">
        <v>588</v>
      </c>
      <c r="BX35" s="11" t="s">
        <v>588</v>
      </c>
      <c r="BY35" s="11" t="s">
        <v>588</v>
      </c>
      <c r="BZ35" s="11" t="s">
        <v>588</v>
      </c>
    </row>
    <row r="36" spans="1:78" x14ac:dyDescent="0.25">
      <c r="A36" s="11">
        <v>201718</v>
      </c>
      <c r="B36" s="11" t="s">
        <v>33</v>
      </c>
      <c r="C36" s="11" t="s">
        <v>33</v>
      </c>
      <c r="D36" s="11" t="s">
        <v>50</v>
      </c>
      <c r="E36" s="11" t="s">
        <v>34</v>
      </c>
      <c r="F36" s="11">
        <v>1</v>
      </c>
      <c r="G36" s="11" t="s">
        <v>1459</v>
      </c>
      <c r="H36" s="11" t="s">
        <v>1459</v>
      </c>
      <c r="I36" s="13">
        <v>43021</v>
      </c>
      <c r="J36" s="11">
        <v>13</v>
      </c>
      <c r="K36" s="11">
        <v>10</v>
      </c>
      <c r="L36" s="11">
        <v>2017</v>
      </c>
      <c r="M36" s="13" t="s">
        <v>1568</v>
      </c>
      <c r="N36" s="11" t="s">
        <v>29</v>
      </c>
      <c r="O36" s="11" t="s">
        <v>10</v>
      </c>
      <c r="P36" s="23">
        <v>-38.634999999999998</v>
      </c>
      <c r="Q36" s="23">
        <v>-145.74972199999999</v>
      </c>
      <c r="R36" s="23" t="s">
        <v>588</v>
      </c>
      <c r="S36" s="23" t="s">
        <v>588</v>
      </c>
      <c r="T36" s="11">
        <v>3</v>
      </c>
      <c r="U36" s="11">
        <v>3</v>
      </c>
      <c r="V36" s="1">
        <v>43023</v>
      </c>
      <c r="W36" t="s">
        <v>223</v>
      </c>
      <c r="X36" s="11">
        <v>9</v>
      </c>
      <c r="Y36" s="11">
        <v>8</v>
      </c>
      <c r="Z36" s="11" t="s">
        <v>41</v>
      </c>
      <c r="AA36" s="13">
        <v>43036</v>
      </c>
      <c r="AB36" s="11">
        <v>28</v>
      </c>
      <c r="AC36" s="11">
        <v>10</v>
      </c>
      <c r="AD36" s="11">
        <v>2017</v>
      </c>
      <c r="AE36" s="13" t="s">
        <v>1569</v>
      </c>
      <c r="AF36" s="11" t="s">
        <v>29</v>
      </c>
      <c r="AG36" s="13">
        <v>43039</v>
      </c>
      <c r="AH36" s="11">
        <v>31</v>
      </c>
      <c r="AI36" s="11">
        <v>10</v>
      </c>
      <c r="AJ36" s="11">
        <v>2017</v>
      </c>
      <c r="AK36" s="13" t="s">
        <v>1529</v>
      </c>
      <c r="AL36" s="11" t="s">
        <v>29</v>
      </c>
      <c r="AM36" s="11" t="s">
        <v>20</v>
      </c>
      <c r="AN36" s="11" t="s">
        <v>41</v>
      </c>
      <c r="AO36" s="11" t="s">
        <v>20</v>
      </c>
      <c r="AP36" s="11" t="s">
        <v>588</v>
      </c>
      <c r="AQ36" s="11" t="s">
        <v>588</v>
      </c>
      <c r="AR36" s="11" t="s">
        <v>588</v>
      </c>
      <c r="AS36" s="11" t="s">
        <v>588</v>
      </c>
      <c r="AT36" s="11" t="s">
        <v>588</v>
      </c>
      <c r="AU36" s="7" t="s">
        <v>588</v>
      </c>
      <c r="AV36" s="11" t="s">
        <v>588</v>
      </c>
      <c r="AW36" s="11" t="s">
        <v>588</v>
      </c>
      <c r="AX36" s="11" t="s">
        <v>588</v>
      </c>
      <c r="AY36" s="11" t="s">
        <v>588</v>
      </c>
      <c r="AZ36" s="11" t="s">
        <v>588</v>
      </c>
      <c r="BA36" s="7" t="s">
        <v>588</v>
      </c>
      <c r="BB36" s="11" t="s">
        <v>588</v>
      </c>
      <c r="BC36" s="11" t="s">
        <v>588</v>
      </c>
      <c r="BD36" s="11" t="s">
        <v>588</v>
      </c>
      <c r="BE36" s="11" t="s">
        <v>588</v>
      </c>
      <c r="BF36" s="11" t="s">
        <v>588</v>
      </c>
      <c r="BG36" s="7" t="s">
        <v>588</v>
      </c>
      <c r="BH36" s="11" t="s">
        <v>588</v>
      </c>
      <c r="BI36" s="11" t="s">
        <v>588</v>
      </c>
      <c r="BJ36" s="11" t="s">
        <v>588</v>
      </c>
      <c r="BK36" s="11" t="s">
        <v>588</v>
      </c>
      <c r="BL36" s="11" t="s">
        <v>588</v>
      </c>
      <c r="BM36" s="11" t="s">
        <v>588</v>
      </c>
      <c r="BN36" s="11" t="s">
        <v>588</v>
      </c>
      <c r="BO36" s="11" t="s">
        <v>588</v>
      </c>
      <c r="BP36" s="11" t="s">
        <v>588</v>
      </c>
      <c r="BQ36" s="11" t="s">
        <v>588</v>
      </c>
      <c r="BR36" s="11" t="s">
        <v>588</v>
      </c>
      <c r="BS36" s="11" t="s">
        <v>8</v>
      </c>
      <c r="BT36" s="11" t="s">
        <v>9</v>
      </c>
      <c r="BU36" s="11" t="s">
        <v>9</v>
      </c>
      <c r="BV36" s="11" t="s">
        <v>588</v>
      </c>
      <c r="BW36" s="11" t="s">
        <v>588</v>
      </c>
      <c r="BX36" s="11" t="s">
        <v>588</v>
      </c>
      <c r="BY36" s="11" t="s">
        <v>588</v>
      </c>
      <c r="BZ36" s="11" t="s">
        <v>588</v>
      </c>
    </row>
    <row r="37" spans="1:78" x14ac:dyDescent="0.25">
      <c r="A37" s="11">
        <v>201718</v>
      </c>
      <c r="B37" s="11" t="s">
        <v>33</v>
      </c>
      <c r="C37" s="11" t="s">
        <v>33</v>
      </c>
      <c r="D37" s="11" t="s">
        <v>50</v>
      </c>
      <c r="E37" s="11" t="s">
        <v>34</v>
      </c>
      <c r="F37" s="11">
        <v>2</v>
      </c>
      <c r="G37" s="11" t="s">
        <v>1460</v>
      </c>
      <c r="H37" s="11" t="s">
        <v>1460</v>
      </c>
      <c r="I37" s="13">
        <v>43063</v>
      </c>
      <c r="J37" s="11">
        <v>24</v>
      </c>
      <c r="K37" s="11">
        <v>11</v>
      </c>
      <c r="L37" s="11">
        <v>2017</v>
      </c>
      <c r="M37" s="13" t="s">
        <v>1570</v>
      </c>
      <c r="N37" s="11" t="s">
        <v>17</v>
      </c>
      <c r="O37" s="11" t="s">
        <v>10</v>
      </c>
      <c r="P37" s="23" t="s">
        <v>588</v>
      </c>
      <c r="Q37" s="23" t="s">
        <v>588</v>
      </c>
      <c r="R37" s="11">
        <v>-38.635300000000001</v>
      </c>
      <c r="S37" s="11">
        <v>145.746002</v>
      </c>
      <c r="T37" s="11">
        <v>3</v>
      </c>
      <c r="U37" s="11">
        <v>3</v>
      </c>
      <c r="V37" s="1">
        <v>43067</v>
      </c>
      <c r="W37" t="s">
        <v>223</v>
      </c>
      <c r="X37" s="11">
        <v>3</v>
      </c>
      <c r="Y37" s="11">
        <v>3</v>
      </c>
      <c r="Z37" s="11" t="s">
        <v>41</v>
      </c>
      <c r="AA37" s="13">
        <v>43068</v>
      </c>
      <c r="AB37" s="11">
        <v>29</v>
      </c>
      <c r="AC37" s="11">
        <v>11</v>
      </c>
      <c r="AD37" s="11">
        <v>2017</v>
      </c>
      <c r="AE37" s="13" t="s">
        <v>1571</v>
      </c>
      <c r="AF37" s="11" t="s">
        <v>17</v>
      </c>
      <c r="AG37" s="13">
        <v>43070</v>
      </c>
      <c r="AH37" s="11">
        <v>1</v>
      </c>
      <c r="AI37" s="11">
        <v>12</v>
      </c>
      <c r="AJ37" s="11">
        <v>2017</v>
      </c>
      <c r="AK37" s="13" t="s">
        <v>1530</v>
      </c>
      <c r="AL37" s="11" t="s">
        <v>7</v>
      </c>
      <c r="AM37" s="11" t="s">
        <v>20</v>
      </c>
      <c r="AN37" s="11" t="s">
        <v>8</v>
      </c>
      <c r="AO37" s="11" t="s">
        <v>32</v>
      </c>
      <c r="AP37" s="11" t="s">
        <v>588</v>
      </c>
      <c r="AQ37" s="11" t="s">
        <v>588</v>
      </c>
      <c r="AR37" s="11" t="s">
        <v>588</v>
      </c>
      <c r="AS37" s="11" t="s">
        <v>588</v>
      </c>
      <c r="AT37" s="11" t="s">
        <v>588</v>
      </c>
      <c r="AU37" s="7" t="s">
        <v>588</v>
      </c>
      <c r="AV37" s="11" t="s">
        <v>588</v>
      </c>
      <c r="AW37" s="11" t="s">
        <v>588</v>
      </c>
      <c r="AX37" s="11" t="s">
        <v>588</v>
      </c>
      <c r="AY37" s="11" t="s">
        <v>588</v>
      </c>
      <c r="AZ37" s="11" t="s">
        <v>588</v>
      </c>
      <c r="BA37" s="7" t="s">
        <v>588</v>
      </c>
      <c r="BB37" s="11" t="s">
        <v>588</v>
      </c>
      <c r="BC37" s="11" t="s">
        <v>588</v>
      </c>
      <c r="BD37" s="11" t="s">
        <v>588</v>
      </c>
      <c r="BE37" s="11" t="s">
        <v>588</v>
      </c>
      <c r="BF37" s="11" t="s">
        <v>588</v>
      </c>
      <c r="BG37" s="7" t="s">
        <v>588</v>
      </c>
      <c r="BH37" s="11" t="s">
        <v>588</v>
      </c>
      <c r="BI37" s="11" t="s">
        <v>588</v>
      </c>
      <c r="BJ37" s="11" t="s">
        <v>588</v>
      </c>
      <c r="BK37" s="11" t="s">
        <v>588</v>
      </c>
      <c r="BL37" s="11" t="s">
        <v>588</v>
      </c>
      <c r="BM37" s="11" t="s">
        <v>588</v>
      </c>
      <c r="BN37" s="11" t="s">
        <v>588</v>
      </c>
      <c r="BO37" s="11" t="s">
        <v>588</v>
      </c>
      <c r="BP37" s="11" t="s">
        <v>588</v>
      </c>
      <c r="BQ37" s="11" t="s">
        <v>588</v>
      </c>
      <c r="BR37" s="11" t="s">
        <v>588</v>
      </c>
      <c r="BS37" s="11" t="s">
        <v>8</v>
      </c>
      <c r="BT37" s="11" t="s">
        <v>9</v>
      </c>
      <c r="BU37" s="11" t="s">
        <v>9</v>
      </c>
      <c r="BV37" s="11" t="s">
        <v>588</v>
      </c>
      <c r="BW37" s="11" t="s">
        <v>588</v>
      </c>
      <c r="BX37" s="11" t="s">
        <v>588</v>
      </c>
      <c r="BY37" s="11" t="s">
        <v>588</v>
      </c>
      <c r="BZ37" s="11" t="s">
        <v>588</v>
      </c>
    </row>
    <row r="38" spans="1:78" x14ac:dyDescent="0.25">
      <c r="A38" s="11">
        <v>201718</v>
      </c>
      <c r="B38" s="11" t="s">
        <v>33</v>
      </c>
      <c r="C38" s="11" t="s">
        <v>33</v>
      </c>
      <c r="D38" s="11" t="s">
        <v>50</v>
      </c>
      <c r="E38" s="11" t="s">
        <v>34</v>
      </c>
      <c r="F38" s="11">
        <v>3</v>
      </c>
      <c r="G38" s="11" t="s">
        <v>1461</v>
      </c>
      <c r="H38" s="11" t="s">
        <v>1461</v>
      </c>
      <c r="I38" s="13">
        <v>43092</v>
      </c>
      <c r="J38" s="11">
        <v>23</v>
      </c>
      <c r="K38" s="11">
        <v>12</v>
      </c>
      <c r="L38" s="11">
        <v>2017</v>
      </c>
      <c r="M38" s="13" t="s">
        <v>1572</v>
      </c>
      <c r="N38" s="11" t="s">
        <v>7</v>
      </c>
      <c r="O38" s="11" t="s">
        <v>10</v>
      </c>
      <c r="P38" s="23" t="s">
        <v>588</v>
      </c>
      <c r="Q38" s="23" t="s">
        <v>588</v>
      </c>
      <c r="R38" s="11">
        <v>-38.635300000000001</v>
      </c>
      <c r="S38" s="11">
        <v>145.746002</v>
      </c>
      <c r="T38" s="11">
        <v>3</v>
      </c>
      <c r="U38" s="11">
        <v>3</v>
      </c>
      <c r="V38" s="1">
        <v>43094</v>
      </c>
      <c r="W38" t="s">
        <v>223</v>
      </c>
      <c r="X38" s="11">
        <v>6</v>
      </c>
      <c r="Y38" s="11">
        <v>5</v>
      </c>
      <c r="Z38" s="11" t="s">
        <v>41</v>
      </c>
      <c r="AA38" s="13">
        <v>43105</v>
      </c>
      <c r="AB38" s="11">
        <v>5</v>
      </c>
      <c r="AC38" s="11">
        <v>1</v>
      </c>
      <c r="AD38" s="11">
        <v>2018</v>
      </c>
      <c r="AE38" s="13" t="s">
        <v>1544</v>
      </c>
      <c r="AF38" s="11" t="s">
        <v>12</v>
      </c>
      <c r="AG38" s="13">
        <v>43107</v>
      </c>
      <c r="AH38" s="11">
        <v>7</v>
      </c>
      <c r="AI38" s="11">
        <v>1</v>
      </c>
      <c r="AJ38" s="11">
        <v>2018</v>
      </c>
      <c r="AK38" s="13" t="s">
        <v>1527</v>
      </c>
      <c r="AL38" s="11" t="s">
        <v>12</v>
      </c>
      <c r="AM38" s="11" t="s">
        <v>20</v>
      </c>
      <c r="AN38" s="11" t="s">
        <v>41</v>
      </c>
      <c r="AO38" s="11" t="s">
        <v>20</v>
      </c>
      <c r="AP38" s="11" t="s">
        <v>588</v>
      </c>
      <c r="AQ38" s="11" t="s">
        <v>588</v>
      </c>
      <c r="AR38" s="11" t="s">
        <v>588</v>
      </c>
      <c r="AS38" s="11" t="s">
        <v>588</v>
      </c>
      <c r="AT38" s="11" t="s">
        <v>588</v>
      </c>
      <c r="AU38" s="7" t="s">
        <v>588</v>
      </c>
      <c r="AV38" s="11" t="s">
        <v>588</v>
      </c>
      <c r="AW38" s="11" t="s">
        <v>588</v>
      </c>
      <c r="AX38" s="11" t="s">
        <v>588</v>
      </c>
      <c r="AY38" s="11" t="s">
        <v>588</v>
      </c>
      <c r="AZ38" s="11" t="s">
        <v>588</v>
      </c>
      <c r="BA38" s="7" t="s">
        <v>588</v>
      </c>
      <c r="BB38" s="11" t="s">
        <v>588</v>
      </c>
      <c r="BC38" s="11" t="s">
        <v>588</v>
      </c>
      <c r="BD38" s="11" t="s">
        <v>588</v>
      </c>
      <c r="BE38" s="11" t="s">
        <v>588</v>
      </c>
      <c r="BF38" s="11" t="s">
        <v>588</v>
      </c>
      <c r="BG38" s="7" t="s">
        <v>588</v>
      </c>
      <c r="BH38" s="11" t="s">
        <v>588</v>
      </c>
      <c r="BI38" s="11" t="s">
        <v>588</v>
      </c>
      <c r="BJ38" s="11" t="s">
        <v>588</v>
      </c>
      <c r="BK38" s="11" t="s">
        <v>588</v>
      </c>
      <c r="BL38" s="11" t="s">
        <v>588</v>
      </c>
      <c r="BM38" s="11" t="s">
        <v>588</v>
      </c>
      <c r="BN38" s="11" t="s">
        <v>588</v>
      </c>
      <c r="BO38" s="11" t="s">
        <v>588</v>
      </c>
      <c r="BP38" s="11" t="s">
        <v>588</v>
      </c>
      <c r="BQ38" s="11" t="s">
        <v>588</v>
      </c>
      <c r="BR38" s="11" t="s">
        <v>588</v>
      </c>
      <c r="BS38" s="11" t="s">
        <v>8</v>
      </c>
      <c r="BT38" s="11" t="s">
        <v>9</v>
      </c>
      <c r="BU38" s="11" t="s">
        <v>9</v>
      </c>
      <c r="BV38" s="11" t="s">
        <v>588</v>
      </c>
      <c r="BW38" s="11" t="s">
        <v>588</v>
      </c>
      <c r="BX38" s="11" t="s">
        <v>588</v>
      </c>
      <c r="BY38" s="11" t="s">
        <v>205</v>
      </c>
      <c r="BZ38" s="11" t="s">
        <v>588</v>
      </c>
    </row>
    <row r="39" spans="1:78" x14ac:dyDescent="0.25">
      <c r="A39" s="11">
        <v>201718</v>
      </c>
      <c r="B39" s="11" t="s">
        <v>308</v>
      </c>
      <c r="C39" s="11" t="s">
        <v>308</v>
      </c>
      <c r="D39" s="11" t="s">
        <v>404</v>
      </c>
      <c r="E39" s="11" t="s">
        <v>647</v>
      </c>
      <c r="F39" s="11">
        <v>1</v>
      </c>
      <c r="G39" s="11" t="s">
        <v>1497</v>
      </c>
      <c r="H39" s="11" t="s">
        <v>1497</v>
      </c>
      <c r="I39" s="13">
        <v>43032</v>
      </c>
      <c r="J39" s="11">
        <v>24</v>
      </c>
      <c r="K39" s="11">
        <v>10</v>
      </c>
      <c r="L39" s="11">
        <v>2017</v>
      </c>
      <c r="M39" s="13" t="s">
        <v>1592</v>
      </c>
      <c r="N39" s="11" t="s">
        <v>29</v>
      </c>
      <c r="O39" s="11" t="s">
        <v>19</v>
      </c>
      <c r="P39" s="11">
        <v>-38.582740000000001</v>
      </c>
      <c r="Q39" s="11">
        <v>145.51174</v>
      </c>
      <c r="R39" s="11" t="s">
        <v>588</v>
      </c>
      <c r="S39" s="11" t="s">
        <v>588</v>
      </c>
      <c r="T39" s="11">
        <v>2</v>
      </c>
      <c r="U39" s="11">
        <v>3</v>
      </c>
      <c r="V39" t="s">
        <v>588</v>
      </c>
      <c r="W39" t="s">
        <v>588</v>
      </c>
      <c r="X39" s="11">
        <v>2</v>
      </c>
      <c r="Y39" s="11">
        <v>2</v>
      </c>
      <c r="Z39" s="11" t="s">
        <v>41</v>
      </c>
      <c r="AA39" s="13">
        <v>43032</v>
      </c>
      <c r="AB39" s="11">
        <v>24</v>
      </c>
      <c r="AC39" s="11">
        <v>10</v>
      </c>
      <c r="AD39" s="11">
        <v>2017</v>
      </c>
      <c r="AE39" s="13" t="s">
        <v>1592</v>
      </c>
      <c r="AF39" s="11" t="s">
        <v>29</v>
      </c>
      <c r="AG39" s="13">
        <v>43043</v>
      </c>
      <c r="AH39" s="11">
        <v>4</v>
      </c>
      <c r="AI39" s="11">
        <v>11</v>
      </c>
      <c r="AJ39" s="11">
        <v>2017</v>
      </c>
      <c r="AK39" s="13" t="s">
        <v>1546</v>
      </c>
      <c r="AL39" s="11" t="s">
        <v>17</v>
      </c>
      <c r="AM39" s="11" t="s">
        <v>20</v>
      </c>
      <c r="AN39" s="11" t="s">
        <v>8</v>
      </c>
      <c r="AO39" s="11" t="s">
        <v>32</v>
      </c>
      <c r="AP39" s="11" t="s">
        <v>588</v>
      </c>
      <c r="AQ39" s="11" t="s">
        <v>588</v>
      </c>
      <c r="AR39" s="11" t="s">
        <v>588</v>
      </c>
      <c r="AS39" s="11" t="s">
        <v>588</v>
      </c>
      <c r="AT39" s="11" t="s">
        <v>588</v>
      </c>
      <c r="AU39" s="11" t="s">
        <v>588</v>
      </c>
      <c r="AV39" s="11" t="s">
        <v>588</v>
      </c>
      <c r="AW39" s="11" t="s">
        <v>588</v>
      </c>
      <c r="AX39" s="11" t="s">
        <v>588</v>
      </c>
      <c r="AY39" s="11" t="s">
        <v>588</v>
      </c>
      <c r="AZ39" s="11" t="s">
        <v>588</v>
      </c>
      <c r="BA39" s="11" t="s">
        <v>588</v>
      </c>
      <c r="BB39" s="11" t="s">
        <v>588</v>
      </c>
      <c r="BC39" s="11" t="s">
        <v>588</v>
      </c>
      <c r="BD39" s="11" t="s">
        <v>588</v>
      </c>
      <c r="BE39" s="11" t="s">
        <v>588</v>
      </c>
      <c r="BF39" s="11" t="s">
        <v>588</v>
      </c>
      <c r="BG39" s="11" t="s">
        <v>588</v>
      </c>
      <c r="BH39" s="11" t="s">
        <v>588</v>
      </c>
      <c r="BI39" s="11" t="s">
        <v>588</v>
      </c>
      <c r="BJ39" s="11" t="s">
        <v>588</v>
      </c>
      <c r="BK39" s="11" t="s">
        <v>588</v>
      </c>
      <c r="BL39" s="11" t="s">
        <v>588</v>
      </c>
      <c r="BM39" s="11" t="s">
        <v>588</v>
      </c>
      <c r="BN39" s="11" t="s">
        <v>588</v>
      </c>
      <c r="BO39" s="11" t="s">
        <v>588</v>
      </c>
      <c r="BP39" s="11" t="s">
        <v>588</v>
      </c>
      <c r="BQ39" s="11" t="s">
        <v>588</v>
      </c>
      <c r="BR39" s="11" t="s">
        <v>588</v>
      </c>
      <c r="BS39" s="11" t="s">
        <v>8</v>
      </c>
      <c r="BT39" s="11" t="s">
        <v>9</v>
      </c>
      <c r="BU39" s="11" t="s">
        <v>9</v>
      </c>
      <c r="BV39" s="11" t="s">
        <v>588</v>
      </c>
      <c r="BW39" s="11" t="s">
        <v>588</v>
      </c>
      <c r="BX39" s="11" t="s">
        <v>588</v>
      </c>
      <c r="BY39" s="11" t="s">
        <v>588</v>
      </c>
      <c r="BZ39" s="11" t="s">
        <v>588</v>
      </c>
    </row>
    <row r="40" spans="1:78" x14ac:dyDescent="0.25">
      <c r="A40" s="11">
        <v>201718</v>
      </c>
      <c r="B40" s="11" t="s">
        <v>308</v>
      </c>
      <c r="C40" s="11" t="s">
        <v>308</v>
      </c>
      <c r="D40" s="11" t="s">
        <v>404</v>
      </c>
      <c r="E40" s="11" t="s">
        <v>647</v>
      </c>
      <c r="F40" s="11">
        <v>2</v>
      </c>
      <c r="G40" s="11" t="s">
        <v>1498</v>
      </c>
      <c r="H40" s="11" t="s">
        <v>1498</v>
      </c>
      <c r="I40" s="13">
        <v>43056</v>
      </c>
      <c r="J40" s="11">
        <v>17</v>
      </c>
      <c r="K40" s="11">
        <v>11</v>
      </c>
      <c r="L40" s="11">
        <v>2017</v>
      </c>
      <c r="M40" s="13" t="s">
        <v>1593</v>
      </c>
      <c r="N40" s="11" t="s">
        <v>17</v>
      </c>
      <c r="O40" s="11" t="s">
        <v>19</v>
      </c>
      <c r="P40" s="11">
        <v>-38.583106999999998</v>
      </c>
      <c r="Q40" s="11">
        <v>145.511551</v>
      </c>
      <c r="R40" s="11" t="s">
        <v>588</v>
      </c>
      <c r="S40" s="11" t="s">
        <v>588</v>
      </c>
      <c r="T40" s="11">
        <v>3</v>
      </c>
      <c r="U40" s="11">
        <v>3</v>
      </c>
      <c r="V40" t="s">
        <v>588</v>
      </c>
      <c r="W40" t="s">
        <v>588</v>
      </c>
      <c r="X40" s="11">
        <v>3</v>
      </c>
      <c r="Y40" s="11">
        <v>3</v>
      </c>
      <c r="Z40" s="11" t="s">
        <v>8</v>
      </c>
      <c r="AA40" s="13">
        <v>43077</v>
      </c>
      <c r="AB40" s="11">
        <v>8</v>
      </c>
      <c r="AC40" s="11">
        <v>12</v>
      </c>
      <c r="AD40" s="11">
        <v>2017</v>
      </c>
      <c r="AE40" s="13" t="s">
        <v>1543</v>
      </c>
      <c r="AF40" s="11" t="s">
        <v>7</v>
      </c>
      <c r="AG40" s="11" t="s">
        <v>588</v>
      </c>
      <c r="AH40" s="11" t="s">
        <v>588</v>
      </c>
      <c r="AI40" s="11" t="s">
        <v>588</v>
      </c>
      <c r="AJ40" s="11" t="s">
        <v>588</v>
      </c>
      <c r="AK40" s="13" t="s">
        <v>588</v>
      </c>
      <c r="AL40" s="11" t="s">
        <v>588</v>
      </c>
      <c r="AM40" s="11" t="s">
        <v>588</v>
      </c>
      <c r="AN40" s="11" t="s">
        <v>588</v>
      </c>
      <c r="AO40" s="11" t="s">
        <v>588</v>
      </c>
      <c r="AP40" s="13">
        <v>43084</v>
      </c>
      <c r="AQ40" s="11" t="s">
        <v>7</v>
      </c>
      <c r="AR40" s="11" t="s">
        <v>195</v>
      </c>
      <c r="AS40" s="11">
        <v>2</v>
      </c>
      <c r="AT40" s="11">
        <v>3</v>
      </c>
      <c r="AU40" s="13">
        <v>43084</v>
      </c>
      <c r="AV40" s="13">
        <v>43091</v>
      </c>
      <c r="AW40" s="11" t="s">
        <v>7</v>
      </c>
      <c r="AX40" s="11" t="s">
        <v>20</v>
      </c>
      <c r="AY40" s="11" t="s">
        <v>41</v>
      </c>
      <c r="AZ40" s="11" t="s">
        <v>41</v>
      </c>
      <c r="BA40" s="13">
        <v>43084</v>
      </c>
      <c r="BB40" s="13">
        <v>43091</v>
      </c>
      <c r="BC40" s="11" t="s">
        <v>7</v>
      </c>
      <c r="BD40" s="11" t="s">
        <v>20</v>
      </c>
      <c r="BE40" s="11" t="s">
        <v>41</v>
      </c>
      <c r="BF40" s="11" t="s">
        <v>41</v>
      </c>
      <c r="BG40" s="11" t="s">
        <v>588</v>
      </c>
      <c r="BH40" s="11" t="s">
        <v>588</v>
      </c>
      <c r="BI40" s="11" t="s">
        <v>588</v>
      </c>
      <c r="BJ40" s="11" t="s">
        <v>588</v>
      </c>
      <c r="BK40" s="11" t="s">
        <v>588</v>
      </c>
      <c r="BL40" s="11" t="s">
        <v>588</v>
      </c>
      <c r="BM40" s="11">
        <v>2</v>
      </c>
      <c r="BN40" s="11">
        <v>2</v>
      </c>
      <c r="BO40" s="11" t="s">
        <v>41</v>
      </c>
      <c r="BP40" s="11" t="s">
        <v>588</v>
      </c>
      <c r="BQ40" s="11" t="s">
        <v>588</v>
      </c>
      <c r="BR40" s="11" t="s">
        <v>588</v>
      </c>
      <c r="BS40" s="11" t="s">
        <v>8</v>
      </c>
      <c r="BT40" s="11" t="s">
        <v>9</v>
      </c>
      <c r="BU40" s="11" t="s">
        <v>9</v>
      </c>
      <c r="BV40" s="11" t="s">
        <v>8</v>
      </c>
      <c r="BW40" t="s">
        <v>9</v>
      </c>
      <c r="BX40" t="s">
        <v>9</v>
      </c>
      <c r="BY40" s="11" t="s">
        <v>588</v>
      </c>
      <c r="BZ40" s="11" t="s">
        <v>588</v>
      </c>
    </row>
    <row r="41" spans="1:78" x14ac:dyDescent="0.25">
      <c r="A41" s="11">
        <v>201718</v>
      </c>
      <c r="B41" s="11" t="s">
        <v>308</v>
      </c>
      <c r="C41" s="11" t="s">
        <v>308</v>
      </c>
      <c r="D41" s="11" t="s">
        <v>404</v>
      </c>
      <c r="E41" s="11" t="s">
        <v>647</v>
      </c>
      <c r="F41" s="11">
        <v>3</v>
      </c>
      <c r="G41" s="11" t="s">
        <v>1499</v>
      </c>
      <c r="H41" s="11" t="s">
        <v>1499</v>
      </c>
      <c r="I41" s="13">
        <v>43101</v>
      </c>
      <c r="J41" s="11">
        <v>1</v>
      </c>
      <c r="K41" s="11">
        <v>1</v>
      </c>
      <c r="L41" s="11">
        <v>2018</v>
      </c>
      <c r="M41" s="13" t="s">
        <v>1594</v>
      </c>
      <c r="N41" s="11" t="s">
        <v>12</v>
      </c>
      <c r="O41" s="11" t="s">
        <v>19</v>
      </c>
      <c r="P41" s="11">
        <v>-38.583106999999998</v>
      </c>
      <c r="Q41" s="11">
        <v>145.511551</v>
      </c>
      <c r="R41" s="11" t="s">
        <v>588</v>
      </c>
      <c r="S41" s="11" t="s">
        <v>588</v>
      </c>
      <c r="T41" s="11">
        <v>1</v>
      </c>
      <c r="U41" s="11">
        <v>3</v>
      </c>
      <c r="V41" t="s">
        <v>588</v>
      </c>
      <c r="W41" t="s">
        <v>588</v>
      </c>
      <c r="X41" s="11">
        <v>4</v>
      </c>
      <c r="Y41" s="11">
        <v>4</v>
      </c>
      <c r="Z41" s="11" t="s">
        <v>8</v>
      </c>
      <c r="AA41" s="13">
        <v>43123</v>
      </c>
      <c r="AB41" s="11">
        <v>23</v>
      </c>
      <c r="AC41" s="11">
        <v>1</v>
      </c>
      <c r="AD41" s="11">
        <v>2018</v>
      </c>
      <c r="AE41" s="13" t="s">
        <v>1554</v>
      </c>
      <c r="AF41" s="11" t="s">
        <v>12</v>
      </c>
      <c r="AG41" s="11" t="s">
        <v>588</v>
      </c>
      <c r="AH41" s="11" t="s">
        <v>588</v>
      </c>
      <c r="AI41" s="11" t="s">
        <v>588</v>
      </c>
      <c r="AJ41" s="11" t="s">
        <v>588</v>
      </c>
      <c r="AK41" s="13" t="s">
        <v>588</v>
      </c>
      <c r="AL41" s="11" t="s">
        <v>588</v>
      </c>
      <c r="AM41" s="11" t="s">
        <v>588</v>
      </c>
      <c r="AN41" s="11" t="s">
        <v>588</v>
      </c>
      <c r="AO41" s="11" t="s">
        <v>588</v>
      </c>
      <c r="AP41" s="13">
        <v>43136</v>
      </c>
      <c r="AQ41" s="11" t="s">
        <v>21</v>
      </c>
      <c r="AR41" s="11" t="s">
        <v>195</v>
      </c>
      <c r="AS41" s="11">
        <v>1</v>
      </c>
      <c r="AT41" s="11">
        <v>1</v>
      </c>
      <c r="AU41" s="11" t="s">
        <v>588</v>
      </c>
      <c r="AV41" s="11" t="s">
        <v>588</v>
      </c>
      <c r="AW41" s="11" t="s">
        <v>588</v>
      </c>
      <c r="AX41" s="11" t="s">
        <v>588</v>
      </c>
      <c r="AY41" s="11" t="s">
        <v>588</v>
      </c>
      <c r="AZ41" s="11" t="s">
        <v>588</v>
      </c>
      <c r="BA41" s="11" t="s">
        <v>588</v>
      </c>
      <c r="BB41" s="11" t="s">
        <v>588</v>
      </c>
      <c r="BC41" s="11" t="s">
        <v>588</v>
      </c>
      <c r="BD41" s="11" t="s">
        <v>588</v>
      </c>
      <c r="BE41" s="11" t="s">
        <v>588</v>
      </c>
      <c r="BF41" s="11" t="s">
        <v>588</v>
      </c>
      <c r="BG41" s="11" t="s">
        <v>588</v>
      </c>
      <c r="BH41" s="11" t="s">
        <v>588</v>
      </c>
      <c r="BI41" s="11" t="s">
        <v>588</v>
      </c>
      <c r="BJ41" s="11" t="s">
        <v>588</v>
      </c>
      <c r="BK41" s="11" t="s">
        <v>588</v>
      </c>
      <c r="BL41" s="11" t="s">
        <v>588</v>
      </c>
      <c r="BM41" s="11">
        <v>4</v>
      </c>
      <c r="BN41" s="11">
        <v>4</v>
      </c>
      <c r="BO41" s="11" t="s">
        <v>8</v>
      </c>
      <c r="BP41" s="11">
        <v>1</v>
      </c>
      <c r="BQ41" s="13">
        <v>43165</v>
      </c>
      <c r="BR41" s="11" t="s">
        <v>22</v>
      </c>
      <c r="BS41" s="11" t="s">
        <v>8</v>
      </c>
      <c r="BT41" s="11" t="s">
        <v>9</v>
      </c>
      <c r="BU41" s="11" t="s">
        <v>9</v>
      </c>
      <c r="BV41" s="11" t="s">
        <v>8</v>
      </c>
      <c r="BW41" s="11" t="s">
        <v>9</v>
      </c>
      <c r="BX41" s="11" t="s">
        <v>9</v>
      </c>
      <c r="BY41" s="11" t="s">
        <v>588</v>
      </c>
      <c r="BZ41" s="11" t="s">
        <v>588</v>
      </c>
    </row>
    <row r="42" spans="1:78" x14ac:dyDescent="0.25">
      <c r="A42" s="11">
        <v>201718</v>
      </c>
      <c r="B42" s="11" t="s">
        <v>553</v>
      </c>
      <c r="C42" s="11" t="s">
        <v>553</v>
      </c>
      <c r="D42" s="11" t="s">
        <v>482</v>
      </c>
      <c r="E42" s="11" t="s">
        <v>647</v>
      </c>
      <c r="F42" s="11">
        <v>1</v>
      </c>
      <c r="G42" s="11" t="s">
        <v>1500</v>
      </c>
      <c r="H42" s="11" t="s">
        <v>1500</v>
      </c>
      <c r="I42" s="13">
        <v>43124</v>
      </c>
      <c r="J42" s="11">
        <v>24</v>
      </c>
      <c r="K42" s="11">
        <v>1</v>
      </c>
      <c r="L42" s="11">
        <v>2018</v>
      </c>
      <c r="M42" s="13" t="s">
        <v>1536</v>
      </c>
      <c r="N42" s="11" t="s">
        <v>12</v>
      </c>
      <c r="O42" s="11" t="s">
        <v>10</v>
      </c>
      <c r="P42" s="11">
        <v>-38.578319999999998</v>
      </c>
      <c r="Q42" s="11">
        <v>145.50718000000001</v>
      </c>
      <c r="R42" s="11" t="s">
        <v>588</v>
      </c>
      <c r="S42" s="11" t="s">
        <v>588</v>
      </c>
      <c r="T42" s="11">
        <v>3</v>
      </c>
      <c r="U42" s="11">
        <v>3</v>
      </c>
      <c r="V42" t="s">
        <v>588</v>
      </c>
      <c r="W42" t="s">
        <v>588</v>
      </c>
      <c r="X42" s="11">
        <v>2</v>
      </c>
      <c r="Y42" s="11">
        <v>2</v>
      </c>
      <c r="Z42" s="11" t="s">
        <v>8</v>
      </c>
      <c r="AA42" s="13">
        <v>43136</v>
      </c>
      <c r="AB42" s="11">
        <v>5</v>
      </c>
      <c r="AC42" s="11">
        <v>2</v>
      </c>
      <c r="AD42" s="11">
        <v>2018</v>
      </c>
      <c r="AE42" s="13" t="s">
        <v>1595</v>
      </c>
      <c r="AF42" s="11" t="s">
        <v>21</v>
      </c>
      <c r="AG42" s="11" t="s">
        <v>588</v>
      </c>
      <c r="AH42" s="11" t="s">
        <v>588</v>
      </c>
      <c r="AI42" s="11" t="s">
        <v>588</v>
      </c>
      <c r="AJ42" s="11" t="s">
        <v>588</v>
      </c>
      <c r="AK42" s="13" t="s">
        <v>588</v>
      </c>
      <c r="AL42" s="11" t="s">
        <v>588</v>
      </c>
      <c r="AM42" s="11" t="s">
        <v>588</v>
      </c>
      <c r="AN42" s="11" t="s">
        <v>588</v>
      </c>
      <c r="AO42" s="11" t="s">
        <v>588</v>
      </c>
      <c r="AP42" s="13">
        <v>43140</v>
      </c>
      <c r="AQ42" s="11" t="s">
        <v>21</v>
      </c>
      <c r="AR42" s="11" t="s">
        <v>195</v>
      </c>
      <c r="AS42" s="11">
        <v>3</v>
      </c>
      <c r="AT42" s="11">
        <v>3</v>
      </c>
      <c r="AU42" s="13">
        <v>43171</v>
      </c>
      <c r="AV42" s="13">
        <v>43175</v>
      </c>
      <c r="AW42" s="11" t="s">
        <v>22</v>
      </c>
      <c r="AX42" s="11" t="s">
        <v>588</v>
      </c>
      <c r="AY42" s="11" t="s">
        <v>588</v>
      </c>
      <c r="AZ42" s="11" t="s">
        <v>588</v>
      </c>
      <c r="BA42" s="11" t="s">
        <v>588</v>
      </c>
      <c r="BB42" s="11" t="s">
        <v>588</v>
      </c>
      <c r="BC42" s="11" t="s">
        <v>588</v>
      </c>
      <c r="BD42" s="11" t="s">
        <v>588</v>
      </c>
      <c r="BE42" s="11" t="s">
        <v>588</v>
      </c>
      <c r="BF42" s="11" t="s">
        <v>588</v>
      </c>
      <c r="BG42" s="11" t="s">
        <v>588</v>
      </c>
      <c r="BH42" s="11" t="s">
        <v>588</v>
      </c>
      <c r="BI42" s="11" t="s">
        <v>588</v>
      </c>
      <c r="BJ42" s="11" t="s">
        <v>588</v>
      </c>
      <c r="BK42" s="11" t="s">
        <v>588</v>
      </c>
      <c r="BL42" s="11" t="s">
        <v>588</v>
      </c>
      <c r="BM42" s="11">
        <v>7</v>
      </c>
      <c r="BN42" s="11">
        <v>7</v>
      </c>
      <c r="BO42" s="11" t="s">
        <v>8</v>
      </c>
      <c r="BP42" s="11">
        <v>2</v>
      </c>
      <c r="BQ42" s="13">
        <v>43175</v>
      </c>
      <c r="BR42" s="11" t="s">
        <v>22</v>
      </c>
      <c r="BS42" s="11" t="s">
        <v>8</v>
      </c>
      <c r="BT42" s="11" t="s">
        <v>13</v>
      </c>
      <c r="BU42" s="11" t="s">
        <v>13</v>
      </c>
      <c r="BV42" s="11" t="s">
        <v>8</v>
      </c>
      <c r="BW42" s="11" t="s">
        <v>9</v>
      </c>
      <c r="BX42" s="11" t="s">
        <v>9</v>
      </c>
      <c r="BY42" s="11" t="s">
        <v>588</v>
      </c>
      <c r="BZ42" s="11" t="s">
        <v>588</v>
      </c>
    </row>
    <row r="43" spans="1:78" x14ac:dyDescent="0.25">
      <c r="A43" s="11">
        <v>201718</v>
      </c>
      <c r="B43" s="11" t="s">
        <v>320</v>
      </c>
      <c r="C43" s="11" t="s">
        <v>320</v>
      </c>
      <c r="D43" s="11" t="s">
        <v>321</v>
      </c>
      <c r="E43" s="11" t="s">
        <v>647</v>
      </c>
      <c r="F43" s="11">
        <v>1</v>
      </c>
      <c r="G43" s="11" t="s">
        <v>1501</v>
      </c>
      <c r="H43" s="11" t="s">
        <v>1501</v>
      </c>
      <c r="I43" s="13">
        <v>42998</v>
      </c>
      <c r="J43" s="11">
        <v>20</v>
      </c>
      <c r="K43" s="11">
        <v>9</v>
      </c>
      <c r="L43" s="11">
        <v>2017</v>
      </c>
      <c r="M43" s="13" t="s">
        <v>1561</v>
      </c>
      <c r="N43" s="11" t="s">
        <v>28</v>
      </c>
      <c r="O43" s="11" t="s">
        <v>36</v>
      </c>
      <c r="P43" s="11">
        <v>-38.573729999999998</v>
      </c>
      <c r="Q43" s="11">
        <v>145.5035</v>
      </c>
      <c r="R43" s="11" t="s">
        <v>588</v>
      </c>
      <c r="S43" s="11" t="s">
        <v>588</v>
      </c>
      <c r="T43" s="11">
        <v>3</v>
      </c>
      <c r="U43" s="11">
        <v>3</v>
      </c>
      <c r="V43" s="1">
        <v>43002</v>
      </c>
      <c r="W43" t="s">
        <v>223</v>
      </c>
      <c r="X43" s="11">
        <v>3</v>
      </c>
      <c r="Y43" s="11">
        <v>3</v>
      </c>
      <c r="Z43" s="11" t="s">
        <v>41</v>
      </c>
      <c r="AA43" s="13">
        <v>43004</v>
      </c>
      <c r="AB43" s="11">
        <v>26</v>
      </c>
      <c r="AC43" s="11">
        <v>9</v>
      </c>
      <c r="AD43" s="11">
        <v>2017</v>
      </c>
      <c r="AE43" s="13" t="s">
        <v>1557</v>
      </c>
      <c r="AF43" s="11" t="s">
        <v>28</v>
      </c>
      <c r="AG43" s="13">
        <v>43018</v>
      </c>
      <c r="AH43" s="11">
        <v>10</v>
      </c>
      <c r="AI43" s="11">
        <v>10</v>
      </c>
      <c r="AJ43" s="11">
        <v>2017</v>
      </c>
      <c r="AK43" s="13" t="s">
        <v>1547</v>
      </c>
      <c r="AL43" s="11" t="s">
        <v>29</v>
      </c>
      <c r="AM43" s="11" t="s">
        <v>20</v>
      </c>
      <c r="AN43" s="11" t="s">
        <v>41</v>
      </c>
      <c r="AO43" s="11" t="s">
        <v>20</v>
      </c>
      <c r="AP43" s="11" t="s">
        <v>588</v>
      </c>
      <c r="AQ43" s="11" t="s">
        <v>588</v>
      </c>
      <c r="AR43" s="11" t="s">
        <v>588</v>
      </c>
      <c r="AS43" s="11" t="s">
        <v>588</v>
      </c>
      <c r="AT43" s="11" t="s">
        <v>588</v>
      </c>
      <c r="AU43" s="11" t="s">
        <v>588</v>
      </c>
      <c r="AV43" s="11" t="s">
        <v>588</v>
      </c>
      <c r="AW43" s="11" t="s">
        <v>588</v>
      </c>
      <c r="AX43" s="11" t="s">
        <v>588</v>
      </c>
      <c r="AY43" s="11" t="s">
        <v>588</v>
      </c>
      <c r="AZ43" s="11" t="s">
        <v>588</v>
      </c>
      <c r="BA43" s="11" t="s">
        <v>588</v>
      </c>
      <c r="BB43" s="11" t="s">
        <v>588</v>
      </c>
      <c r="BC43" s="11" t="s">
        <v>588</v>
      </c>
      <c r="BD43" s="11" t="s">
        <v>588</v>
      </c>
      <c r="BE43" s="11" t="s">
        <v>588</v>
      </c>
      <c r="BF43" s="11" t="s">
        <v>588</v>
      </c>
      <c r="BG43" s="11" t="s">
        <v>588</v>
      </c>
      <c r="BH43" s="11" t="s">
        <v>588</v>
      </c>
      <c r="BI43" s="11" t="s">
        <v>588</v>
      </c>
      <c r="BJ43" s="11" t="s">
        <v>588</v>
      </c>
      <c r="BK43" s="11" t="s">
        <v>588</v>
      </c>
      <c r="BL43" s="11" t="s">
        <v>588</v>
      </c>
      <c r="BM43" s="11" t="s">
        <v>588</v>
      </c>
      <c r="BN43" s="11" t="s">
        <v>588</v>
      </c>
      <c r="BO43" s="11" t="s">
        <v>588</v>
      </c>
      <c r="BP43" s="11" t="s">
        <v>588</v>
      </c>
      <c r="BQ43" s="11" t="s">
        <v>588</v>
      </c>
      <c r="BR43" s="11" t="s">
        <v>588</v>
      </c>
      <c r="BS43" s="11" t="s">
        <v>588</v>
      </c>
      <c r="BT43" s="11" t="s">
        <v>588</v>
      </c>
      <c r="BU43" s="11" t="s">
        <v>588</v>
      </c>
      <c r="BV43" s="11" t="s">
        <v>588</v>
      </c>
      <c r="BW43" s="11" t="s">
        <v>588</v>
      </c>
      <c r="BX43" s="11" t="s">
        <v>588</v>
      </c>
      <c r="BY43" s="11" t="s">
        <v>588</v>
      </c>
      <c r="BZ43" s="11" t="s">
        <v>588</v>
      </c>
    </row>
    <row r="44" spans="1:78" x14ac:dyDescent="0.25">
      <c r="A44" s="11">
        <v>201718</v>
      </c>
      <c r="B44" s="11" t="s">
        <v>320</v>
      </c>
      <c r="C44" s="11" t="s">
        <v>320</v>
      </c>
      <c r="D44" s="11" t="s">
        <v>321</v>
      </c>
      <c r="E44" s="11" t="s">
        <v>647</v>
      </c>
      <c r="F44" s="11">
        <v>2</v>
      </c>
      <c r="G44" s="11" t="s">
        <v>1502</v>
      </c>
      <c r="H44" s="11" t="s">
        <v>1502</v>
      </c>
      <c r="I44" s="13">
        <v>43043</v>
      </c>
      <c r="J44" s="11">
        <v>4</v>
      </c>
      <c r="K44" s="11">
        <v>11</v>
      </c>
      <c r="L44" s="11">
        <v>2017</v>
      </c>
      <c r="M44" s="13" t="s">
        <v>1546</v>
      </c>
      <c r="N44" s="11" t="s">
        <v>17</v>
      </c>
      <c r="O44" s="11" t="s">
        <v>10</v>
      </c>
      <c r="P44" s="11">
        <v>-38.569560000000003</v>
      </c>
      <c r="Q44" s="11">
        <v>145.49923999999999</v>
      </c>
      <c r="R44" s="11" t="s">
        <v>588</v>
      </c>
      <c r="S44" s="11" t="s">
        <v>588</v>
      </c>
      <c r="T44" s="11">
        <v>2</v>
      </c>
      <c r="U44" s="11">
        <v>3</v>
      </c>
      <c r="V44" t="s">
        <v>588</v>
      </c>
      <c r="W44" t="s">
        <v>588</v>
      </c>
      <c r="X44" s="11">
        <v>2</v>
      </c>
      <c r="Y44" s="11">
        <v>2</v>
      </c>
      <c r="Z44" s="11" t="s">
        <v>41</v>
      </c>
      <c r="AA44" s="13">
        <v>43043</v>
      </c>
      <c r="AB44" s="11">
        <v>4</v>
      </c>
      <c r="AC44" s="11">
        <v>11</v>
      </c>
      <c r="AD44" s="11">
        <v>2017</v>
      </c>
      <c r="AE44" s="13" t="s">
        <v>1546</v>
      </c>
      <c r="AF44" s="11" t="s">
        <v>17</v>
      </c>
      <c r="AG44" s="13">
        <v>43049</v>
      </c>
      <c r="AH44" s="11">
        <v>10</v>
      </c>
      <c r="AI44" s="11">
        <v>11</v>
      </c>
      <c r="AJ44" s="11">
        <v>2017</v>
      </c>
      <c r="AK44" s="13" t="s">
        <v>1548</v>
      </c>
      <c r="AL44" s="11" t="s">
        <v>17</v>
      </c>
      <c r="AM44" s="11" t="s">
        <v>20</v>
      </c>
      <c r="AN44" s="11" t="s">
        <v>8</v>
      </c>
      <c r="AO44" s="11" t="s">
        <v>32</v>
      </c>
      <c r="AP44" s="11" t="s">
        <v>588</v>
      </c>
      <c r="AQ44" s="11" t="s">
        <v>588</v>
      </c>
      <c r="AR44" s="11" t="s">
        <v>588</v>
      </c>
      <c r="AS44" s="11" t="s">
        <v>588</v>
      </c>
      <c r="AT44" s="11" t="s">
        <v>588</v>
      </c>
      <c r="AU44" s="13" t="s">
        <v>588</v>
      </c>
      <c r="AV44" s="13" t="s">
        <v>588</v>
      </c>
      <c r="AW44" s="11" t="s">
        <v>588</v>
      </c>
      <c r="AX44" s="11" t="s">
        <v>588</v>
      </c>
      <c r="AY44" s="11" t="s">
        <v>588</v>
      </c>
      <c r="AZ44" s="11" t="s">
        <v>588</v>
      </c>
      <c r="BA44" s="11" t="s">
        <v>588</v>
      </c>
      <c r="BB44" s="11" t="s">
        <v>588</v>
      </c>
      <c r="BC44" s="11" t="s">
        <v>588</v>
      </c>
      <c r="BD44" s="11" t="s">
        <v>588</v>
      </c>
      <c r="BE44" s="11" t="s">
        <v>588</v>
      </c>
      <c r="BF44" s="11" t="s">
        <v>588</v>
      </c>
      <c r="BG44" s="11" t="s">
        <v>588</v>
      </c>
      <c r="BH44" s="11" t="s">
        <v>588</v>
      </c>
      <c r="BI44" s="11" t="s">
        <v>588</v>
      </c>
      <c r="BJ44" s="11" t="s">
        <v>588</v>
      </c>
      <c r="BK44" s="11" t="s">
        <v>588</v>
      </c>
      <c r="BL44" s="11" t="s">
        <v>588</v>
      </c>
      <c r="BM44" s="11" t="s">
        <v>588</v>
      </c>
      <c r="BN44" s="11" t="s">
        <v>588</v>
      </c>
      <c r="BO44" s="11" t="s">
        <v>588</v>
      </c>
      <c r="BP44" s="11" t="s">
        <v>588</v>
      </c>
      <c r="BQ44" s="11" t="s">
        <v>588</v>
      </c>
      <c r="BR44" s="11" t="s">
        <v>588</v>
      </c>
      <c r="BS44" s="11" t="s">
        <v>588</v>
      </c>
      <c r="BT44" s="11" t="s">
        <v>588</v>
      </c>
      <c r="BU44" s="11" t="s">
        <v>588</v>
      </c>
      <c r="BV44" s="11" t="s">
        <v>588</v>
      </c>
      <c r="BW44" s="11" t="s">
        <v>588</v>
      </c>
      <c r="BX44" s="11" t="s">
        <v>588</v>
      </c>
      <c r="BY44" s="11" t="s">
        <v>588</v>
      </c>
      <c r="BZ44" s="11" t="s">
        <v>588</v>
      </c>
    </row>
    <row r="45" spans="1:78" x14ac:dyDescent="0.25">
      <c r="A45" s="11">
        <v>201718</v>
      </c>
      <c r="B45" s="11" t="s">
        <v>320</v>
      </c>
      <c r="C45" s="11" t="s">
        <v>320</v>
      </c>
      <c r="D45" s="11" t="s">
        <v>321</v>
      </c>
      <c r="E45" s="11" t="s">
        <v>647</v>
      </c>
      <c r="F45" s="11">
        <v>3</v>
      </c>
      <c r="G45" s="11" t="s">
        <v>1503</v>
      </c>
      <c r="H45" s="11" t="s">
        <v>1503</v>
      </c>
      <c r="I45" s="13">
        <v>43066</v>
      </c>
      <c r="J45" s="11">
        <v>27</v>
      </c>
      <c r="K45" s="11">
        <v>11</v>
      </c>
      <c r="L45" s="11">
        <v>2017</v>
      </c>
      <c r="M45" s="13" t="s">
        <v>1553</v>
      </c>
      <c r="N45" s="11" t="s">
        <v>17</v>
      </c>
      <c r="O45" s="11" t="s">
        <v>10</v>
      </c>
      <c r="P45" s="11">
        <v>-38.570625</v>
      </c>
      <c r="Q45" s="11">
        <v>145.50036600000001</v>
      </c>
      <c r="R45" s="11" t="s">
        <v>588</v>
      </c>
      <c r="S45" s="11" t="s">
        <v>588</v>
      </c>
      <c r="T45" s="11">
        <v>2</v>
      </c>
      <c r="U45" s="11">
        <v>3</v>
      </c>
      <c r="V45" t="s">
        <v>588</v>
      </c>
      <c r="W45" t="s">
        <v>588</v>
      </c>
      <c r="X45" s="11">
        <v>2</v>
      </c>
      <c r="Y45" s="11">
        <v>2</v>
      </c>
      <c r="Z45" s="11" t="s">
        <v>8</v>
      </c>
      <c r="AA45" s="13">
        <v>43077</v>
      </c>
      <c r="AB45" s="11">
        <v>8</v>
      </c>
      <c r="AC45" s="11">
        <v>12</v>
      </c>
      <c r="AD45" s="11">
        <v>2017</v>
      </c>
      <c r="AE45" s="13" t="s">
        <v>1543</v>
      </c>
      <c r="AF45" s="11" t="s">
        <v>7</v>
      </c>
      <c r="AG45" s="11" t="s">
        <v>588</v>
      </c>
      <c r="AH45" s="11" t="s">
        <v>588</v>
      </c>
      <c r="AI45" s="11" t="s">
        <v>588</v>
      </c>
      <c r="AJ45" s="11" t="s">
        <v>588</v>
      </c>
      <c r="AK45" s="13" t="s">
        <v>588</v>
      </c>
      <c r="AL45" s="11" t="s">
        <v>588</v>
      </c>
      <c r="AM45" s="11" t="s">
        <v>588</v>
      </c>
      <c r="AN45" s="11" t="s">
        <v>588</v>
      </c>
      <c r="AO45" s="11" t="s">
        <v>588</v>
      </c>
      <c r="AP45" s="13">
        <v>43084</v>
      </c>
      <c r="AQ45" s="11" t="s">
        <v>7</v>
      </c>
      <c r="AR45" s="11" t="s">
        <v>195</v>
      </c>
      <c r="AS45" s="11">
        <v>2</v>
      </c>
      <c r="AT45" s="11">
        <v>2</v>
      </c>
      <c r="AU45" s="11" t="s">
        <v>588</v>
      </c>
      <c r="AV45" s="11" t="s">
        <v>588</v>
      </c>
      <c r="AW45" s="11" t="s">
        <v>588</v>
      </c>
      <c r="AX45" s="11" t="s">
        <v>588</v>
      </c>
      <c r="AY45" s="11" t="s">
        <v>588</v>
      </c>
      <c r="AZ45" s="11" t="s">
        <v>588</v>
      </c>
      <c r="BA45" s="11" t="s">
        <v>588</v>
      </c>
      <c r="BB45" s="11" t="s">
        <v>588</v>
      </c>
      <c r="BC45" s="11" t="s">
        <v>588</v>
      </c>
      <c r="BD45" s="11" t="s">
        <v>588</v>
      </c>
      <c r="BE45" s="11" t="s">
        <v>588</v>
      </c>
      <c r="BF45" s="11" t="s">
        <v>588</v>
      </c>
      <c r="BG45" s="11" t="s">
        <v>588</v>
      </c>
      <c r="BH45" s="11" t="s">
        <v>588</v>
      </c>
      <c r="BI45" s="11" t="s">
        <v>588</v>
      </c>
      <c r="BJ45" s="11" t="s">
        <v>588</v>
      </c>
      <c r="BK45" s="11" t="s">
        <v>588</v>
      </c>
      <c r="BL45" s="11" t="s">
        <v>588</v>
      </c>
      <c r="BM45" s="11">
        <v>5</v>
      </c>
      <c r="BN45" s="11">
        <v>5</v>
      </c>
      <c r="BO45" s="11" t="s">
        <v>8</v>
      </c>
      <c r="BP45" s="11">
        <v>2</v>
      </c>
      <c r="BQ45" s="13">
        <v>43124</v>
      </c>
      <c r="BR45" s="11" t="s">
        <v>12</v>
      </c>
      <c r="BS45" s="11" t="s">
        <v>8</v>
      </c>
      <c r="BT45" s="11" t="s">
        <v>9</v>
      </c>
      <c r="BU45" s="11" t="s">
        <v>9</v>
      </c>
      <c r="BV45" s="11" t="s">
        <v>8</v>
      </c>
      <c r="BW45" s="11" t="s">
        <v>9</v>
      </c>
      <c r="BX45" s="11" t="s">
        <v>9</v>
      </c>
      <c r="BY45" s="11" t="s">
        <v>588</v>
      </c>
      <c r="BZ45" s="11" t="s">
        <v>588</v>
      </c>
    </row>
    <row r="46" spans="1:78" x14ac:dyDescent="0.25">
      <c r="A46" s="11">
        <v>201718</v>
      </c>
      <c r="B46" s="11" t="s">
        <v>320</v>
      </c>
      <c r="C46" s="11" t="s">
        <v>320</v>
      </c>
      <c r="D46" s="11" t="s">
        <v>321</v>
      </c>
      <c r="E46" s="11" t="s">
        <v>647</v>
      </c>
      <c r="F46" s="11">
        <v>4</v>
      </c>
      <c r="G46" s="11" t="s">
        <v>1504</v>
      </c>
      <c r="H46" s="11" t="s">
        <v>1504</v>
      </c>
      <c r="I46" s="13">
        <v>43136</v>
      </c>
      <c r="J46" s="11">
        <v>5</v>
      </c>
      <c r="K46" s="11">
        <v>2</v>
      </c>
      <c r="L46" s="11">
        <v>2018</v>
      </c>
      <c r="M46" s="13" t="s">
        <v>1595</v>
      </c>
      <c r="N46" s="11" t="s">
        <v>21</v>
      </c>
      <c r="O46" s="11" t="s">
        <v>10</v>
      </c>
      <c r="P46" s="11">
        <v>-38.570700000000002</v>
      </c>
      <c r="Q46" s="11">
        <v>145.50026</v>
      </c>
      <c r="R46" s="11" t="s">
        <v>588</v>
      </c>
      <c r="S46" s="11" t="s">
        <v>588</v>
      </c>
      <c r="T46" s="11">
        <v>3</v>
      </c>
      <c r="U46" s="11">
        <v>3</v>
      </c>
      <c r="V46" s="1">
        <v>43140</v>
      </c>
      <c r="W46" t="s">
        <v>223</v>
      </c>
      <c r="X46" s="11">
        <v>5</v>
      </c>
      <c r="Y46" s="11">
        <v>5</v>
      </c>
      <c r="Z46" s="11" t="s">
        <v>8</v>
      </c>
      <c r="AA46" s="13">
        <v>43165</v>
      </c>
      <c r="AB46" s="11">
        <v>6</v>
      </c>
      <c r="AC46" s="11">
        <v>3</v>
      </c>
      <c r="AD46" s="11">
        <v>2018</v>
      </c>
      <c r="AE46" s="13" t="s">
        <v>1545</v>
      </c>
      <c r="AF46" s="11" t="s">
        <v>22</v>
      </c>
      <c r="AG46" s="11" t="s">
        <v>588</v>
      </c>
      <c r="AH46" s="11" t="s">
        <v>588</v>
      </c>
      <c r="AI46" s="11" t="s">
        <v>588</v>
      </c>
      <c r="AJ46" s="11" t="s">
        <v>588</v>
      </c>
      <c r="AK46" s="13" t="s">
        <v>588</v>
      </c>
      <c r="AL46" s="11" t="s">
        <v>588</v>
      </c>
      <c r="AM46" s="11" t="s">
        <v>588</v>
      </c>
      <c r="AN46" s="11" t="s">
        <v>588</v>
      </c>
      <c r="AO46" s="11" t="s">
        <v>588</v>
      </c>
      <c r="AP46" s="13">
        <v>43170</v>
      </c>
      <c r="AQ46" s="11" t="s">
        <v>22</v>
      </c>
      <c r="AR46" s="11" t="s">
        <v>195</v>
      </c>
      <c r="AS46" s="11">
        <v>2</v>
      </c>
      <c r="AT46" s="11">
        <v>3</v>
      </c>
      <c r="AU46" s="13">
        <v>43175</v>
      </c>
      <c r="AV46" s="13">
        <v>43186</v>
      </c>
      <c r="AW46" s="11" t="s">
        <v>22</v>
      </c>
      <c r="AX46" s="11" t="s">
        <v>20</v>
      </c>
      <c r="AY46" s="11" t="s">
        <v>41</v>
      </c>
      <c r="AZ46" s="11" t="s">
        <v>41</v>
      </c>
      <c r="BA46" s="13">
        <v>43186</v>
      </c>
      <c r="BB46" s="13">
        <v>43207</v>
      </c>
      <c r="BC46" s="11" t="s">
        <v>72</v>
      </c>
      <c r="BD46" s="11" t="s">
        <v>20</v>
      </c>
      <c r="BE46" s="11" t="s">
        <v>41</v>
      </c>
      <c r="BF46" s="11" t="s">
        <v>41</v>
      </c>
      <c r="BG46" s="11" t="s">
        <v>588</v>
      </c>
      <c r="BH46" s="11" t="s">
        <v>588</v>
      </c>
      <c r="BI46" s="11" t="s">
        <v>588</v>
      </c>
      <c r="BJ46" s="11" t="s">
        <v>588</v>
      </c>
      <c r="BK46" s="11" t="s">
        <v>588</v>
      </c>
      <c r="BL46" s="11" t="s">
        <v>588</v>
      </c>
      <c r="BM46" s="11">
        <v>6</v>
      </c>
      <c r="BN46" s="11">
        <v>6</v>
      </c>
      <c r="BO46" s="11" t="s">
        <v>41</v>
      </c>
      <c r="BP46" s="11" t="s">
        <v>588</v>
      </c>
      <c r="BQ46" s="11" t="s">
        <v>588</v>
      </c>
      <c r="BR46" s="11" t="s">
        <v>588</v>
      </c>
      <c r="BS46" s="11" t="s">
        <v>8</v>
      </c>
      <c r="BT46" s="11" t="s">
        <v>13</v>
      </c>
      <c r="BU46" s="11" t="s">
        <v>13</v>
      </c>
      <c r="BV46" s="11" t="s">
        <v>8</v>
      </c>
      <c r="BW46" s="11" t="s">
        <v>18</v>
      </c>
      <c r="BX46" s="11" t="s">
        <v>18</v>
      </c>
      <c r="BY46" s="11" t="s">
        <v>588</v>
      </c>
      <c r="BZ46" s="11" t="s">
        <v>588</v>
      </c>
    </row>
    <row r="47" spans="1:78" x14ac:dyDescent="0.25">
      <c r="A47" s="11">
        <v>201718</v>
      </c>
      <c r="B47" s="11" t="s">
        <v>324</v>
      </c>
      <c r="C47" s="11" t="s">
        <v>324</v>
      </c>
      <c r="D47" s="11" t="s">
        <v>326</v>
      </c>
      <c r="E47" s="11" t="s">
        <v>647</v>
      </c>
      <c r="F47" s="11">
        <v>1</v>
      </c>
      <c r="G47" s="11" t="s">
        <v>1505</v>
      </c>
      <c r="H47" s="11" t="s">
        <v>1505</v>
      </c>
      <c r="I47" s="13">
        <v>43084</v>
      </c>
      <c r="J47" s="11">
        <v>15</v>
      </c>
      <c r="K47" s="11">
        <v>12</v>
      </c>
      <c r="L47" s="11">
        <v>2017</v>
      </c>
      <c r="M47" s="13" t="s">
        <v>1588</v>
      </c>
      <c r="N47" s="11" t="s">
        <v>7</v>
      </c>
      <c r="O47" s="11" t="s">
        <v>10</v>
      </c>
      <c r="P47" s="11">
        <v>-38.567259999999997</v>
      </c>
      <c r="Q47" s="11">
        <v>-145.56726</v>
      </c>
      <c r="R47" s="11" t="s">
        <v>588</v>
      </c>
      <c r="S47" s="11" t="s">
        <v>588</v>
      </c>
      <c r="T47" s="11">
        <v>1</v>
      </c>
      <c r="U47" s="11">
        <v>3</v>
      </c>
      <c r="V47" t="s">
        <v>588</v>
      </c>
      <c r="W47" t="s">
        <v>588</v>
      </c>
      <c r="X47" s="11">
        <v>2</v>
      </c>
      <c r="Y47" s="11">
        <v>2</v>
      </c>
      <c r="Z47" s="11" t="s">
        <v>41</v>
      </c>
      <c r="AA47" s="13">
        <v>43084</v>
      </c>
      <c r="AB47" s="11">
        <v>15</v>
      </c>
      <c r="AC47" s="11">
        <v>12</v>
      </c>
      <c r="AD47" s="11">
        <v>2017</v>
      </c>
      <c r="AE47" s="13" t="s">
        <v>1588</v>
      </c>
      <c r="AF47" s="11" t="s">
        <v>7</v>
      </c>
      <c r="AG47" s="13">
        <v>43091</v>
      </c>
      <c r="AH47" s="11">
        <v>22</v>
      </c>
      <c r="AI47" s="11">
        <v>12</v>
      </c>
      <c r="AJ47" s="11">
        <v>2017</v>
      </c>
      <c r="AK47" s="13" t="s">
        <v>1549</v>
      </c>
      <c r="AL47" s="11" t="s">
        <v>7</v>
      </c>
      <c r="AM47" s="11" t="s">
        <v>20</v>
      </c>
      <c r="AN47" s="11" t="s">
        <v>41</v>
      </c>
      <c r="AO47" s="11" t="s">
        <v>20</v>
      </c>
      <c r="AP47" s="11" t="s">
        <v>588</v>
      </c>
      <c r="AQ47" s="11" t="s">
        <v>588</v>
      </c>
      <c r="AR47" s="11" t="s">
        <v>588</v>
      </c>
      <c r="AS47" s="11" t="s">
        <v>588</v>
      </c>
      <c r="AT47" s="11" t="s">
        <v>588</v>
      </c>
      <c r="AU47" s="11" t="s">
        <v>588</v>
      </c>
      <c r="AV47" s="11" t="s">
        <v>588</v>
      </c>
      <c r="AW47" s="11" t="s">
        <v>588</v>
      </c>
      <c r="AX47" s="11" t="s">
        <v>588</v>
      </c>
      <c r="AY47" s="11" t="s">
        <v>588</v>
      </c>
      <c r="AZ47" s="11" t="s">
        <v>588</v>
      </c>
      <c r="BA47" s="11" t="s">
        <v>588</v>
      </c>
      <c r="BB47" s="11" t="s">
        <v>588</v>
      </c>
      <c r="BC47" s="11" t="s">
        <v>588</v>
      </c>
      <c r="BD47" s="11" t="s">
        <v>588</v>
      </c>
      <c r="BE47" s="11" t="s">
        <v>588</v>
      </c>
      <c r="BF47" s="11" t="s">
        <v>588</v>
      </c>
      <c r="BG47" s="11" t="s">
        <v>588</v>
      </c>
      <c r="BH47" s="11" t="s">
        <v>588</v>
      </c>
      <c r="BI47" s="11" t="s">
        <v>588</v>
      </c>
      <c r="BJ47" s="11" t="s">
        <v>588</v>
      </c>
      <c r="BK47" s="11" t="s">
        <v>588</v>
      </c>
      <c r="BL47" s="11" t="s">
        <v>588</v>
      </c>
      <c r="BM47" s="11" t="s">
        <v>588</v>
      </c>
      <c r="BN47" s="11" t="s">
        <v>588</v>
      </c>
      <c r="BO47" s="11" t="s">
        <v>588</v>
      </c>
      <c r="BP47" s="11" t="s">
        <v>588</v>
      </c>
      <c r="BQ47" s="11" t="s">
        <v>588</v>
      </c>
      <c r="BR47" s="11" t="s">
        <v>588</v>
      </c>
      <c r="BS47" s="11" t="s">
        <v>8</v>
      </c>
      <c r="BT47" s="11" t="s">
        <v>9</v>
      </c>
      <c r="BU47" s="11" t="s">
        <v>9</v>
      </c>
      <c r="BV47" s="11" t="s">
        <v>588</v>
      </c>
      <c r="BW47" s="11" t="s">
        <v>588</v>
      </c>
      <c r="BX47" s="11" t="s">
        <v>588</v>
      </c>
      <c r="BY47" s="11" t="s">
        <v>588</v>
      </c>
      <c r="BZ47" s="11" t="s">
        <v>588</v>
      </c>
    </row>
    <row r="48" spans="1:78" x14ac:dyDescent="0.25">
      <c r="A48" s="11">
        <v>201718</v>
      </c>
      <c r="B48" s="11" t="s">
        <v>552</v>
      </c>
      <c r="C48" s="11" t="s">
        <v>552</v>
      </c>
      <c r="D48" s="11" t="s">
        <v>482</v>
      </c>
      <c r="E48" s="11" t="s">
        <v>647</v>
      </c>
      <c r="F48" s="11">
        <v>1</v>
      </c>
      <c r="G48" s="11" t="s">
        <v>1506</v>
      </c>
      <c r="H48" s="11" t="s">
        <v>1506</v>
      </c>
      <c r="I48" s="13">
        <v>43043</v>
      </c>
      <c r="J48" s="11">
        <v>4</v>
      </c>
      <c r="K48" s="11">
        <v>11</v>
      </c>
      <c r="L48" s="11">
        <v>2017</v>
      </c>
      <c r="M48" s="13" t="s">
        <v>1546</v>
      </c>
      <c r="N48" s="11" t="s">
        <v>17</v>
      </c>
      <c r="O48" s="11" t="s">
        <v>36</v>
      </c>
      <c r="P48" s="11">
        <v>-38.580350000000003</v>
      </c>
      <c r="Q48" s="11">
        <v>145.50937999999999</v>
      </c>
      <c r="R48" s="11" t="s">
        <v>588</v>
      </c>
      <c r="S48" s="11" t="s">
        <v>588</v>
      </c>
      <c r="T48" s="11">
        <v>3</v>
      </c>
      <c r="U48" s="11">
        <v>3</v>
      </c>
      <c r="V48" s="1">
        <v>43045</v>
      </c>
      <c r="W48" t="s">
        <v>223</v>
      </c>
      <c r="X48" s="11">
        <v>4</v>
      </c>
      <c r="Y48" s="11">
        <v>4</v>
      </c>
      <c r="Z48" s="11" t="s">
        <v>8</v>
      </c>
      <c r="AA48" s="13">
        <v>43066</v>
      </c>
      <c r="AB48" s="11">
        <v>27</v>
      </c>
      <c r="AC48" s="11">
        <v>11</v>
      </c>
      <c r="AD48" s="11">
        <v>2017</v>
      </c>
      <c r="AE48" s="13" t="s">
        <v>1553</v>
      </c>
      <c r="AF48" s="11" t="s">
        <v>17</v>
      </c>
      <c r="AG48" s="11" t="s">
        <v>588</v>
      </c>
      <c r="AH48" s="11" t="s">
        <v>588</v>
      </c>
      <c r="AI48" s="11" t="s">
        <v>588</v>
      </c>
      <c r="AJ48" s="11" t="s">
        <v>588</v>
      </c>
      <c r="AK48" s="13" t="s">
        <v>588</v>
      </c>
      <c r="AL48" s="11" t="s">
        <v>588</v>
      </c>
      <c r="AM48" s="11" t="s">
        <v>588</v>
      </c>
      <c r="AN48" s="11" t="s">
        <v>588</v>
      </c>
      <c r="AO48" s="11" t="s">
        <v>588</v>
      </c>
      <c r="AP48" s="13" t="s">
        <v>1442</v>
      </c>
      <c r="AQ48" s="11" t="s">
        <v>7</v>
      </c>
      <c r="AR48" s="11" t="s">
        <v>588</v>
      </c>
      <c r="AS48" s="11">
        <v>2</v>
      </c>
      <c r="AT48" s="11">
        <v>3</v>
      </c>
      <c r="AU48" s="13" t="s">
        <v>588</v>
      </c>
      <c r="AV48" s="13" t="s">
        <v>588</v>
      </c>
      <c r="AW48" s="11" t="s">
        <v>588</v>
      </c>
      <c r="AX48" s="11" t="s">
        <v>588</v>
      </c>
      <c r="AY48" s="11" t="s">
        <v>588</v>
      </c>
      <c r="AZ48" s="11" t="s">
        <v>588</v>
      </c>
      <c r="BA48" s="11" t="s">
        <v>588</v>
      </c>
      <c r="BB48" s="11" t="s">
        <v>588</v>
      </c>
      <c r="BC48" s="11" t="s">
        <v>588</v>
      </c>
      <c r="BD48" s="11" t="s">
        <v>588</v>
      </c>
      <c r="BE48" s="11" t="s">
        <v>588</v>
      </c>
      <c r="BF48" s="11" t="s">
        <v>588</v>
      </c>
      <c r="BG48" s="11" t="s">
        <v>588</v>
      </c>
      <c r="BH48" s="11" t="s">
        <v>588</v>
      </c>
      <c r="BI48" s="11" t="s">
        <v>588</v>
      </c>
      <c r="BJ48" s="11" t="s">
        <v>588</v>
      </c>
      <c r="BK48" s="11" t="s">
        <v>588</v>
      </c>
      <c r="BL48" s="11" t="s">
        <v>588</v>
      </c>
      <c r="BM48" s="11">
        <v>7</v>
      </c>
      <c r="BN48" s="11">
        <v>7</v>
      </c>
      <c r="BO48" s="11" t="s">
        <v>8</v>
      </c>
      <c r="BP48" s="11">
        <v>2</v>
      </c>
      <c r="BQ48" s="13">
        <v>43108</v>
      </c>
      <c r="BR48" s="11" t="s">
        <v>21</v>
      </c>
      <c r="BS48" s="11" t="s">
        <v>8</v>
      </c>
      <c r="BT48" s="11" t="s">
        <v>52</v>
      </c>
      <c r="BU48" s="11" t="s">
        <v>52</v>
      </c>
      <c r="BV48" s="11" t="s">
        <v>8</v>
      </c>
      <c r="BW48" s="11" t="s">
        <v>18</v>
      </c>
      <c r="BX48" s="11" t="s">
        <v>18</v>
      </c>
      <c r="BY48" s="11" t="s">
        <v>588</v>
      </c>
      <c r="BZ48" s="11" t="s">
        <v>588</v>
      </c>
    </row>
    <row r="49" spans="1:78" x14ac:dyDescent="0.25">
      <c r="A49" s="11">
        <v>201718</v>
      </c>
      <c r="B49" s="11" t="s">
        <v>1443</v>
      </c>
      <c r="C49" t="s">
        <v>425</v>
      </c>
      <c r="D49" s="11" t="s">
        <v>558</v>
      </c>
      <c r="E49" s="11" t="s">
        <v>647</v>
      </c>
      <c r="F49" s="11">
        <v>1</v>
      </c>
      <c r="G49" s="11" t="s">
        <v>1507</v>
      </c>
      <c r="H49" s="11" t="s">
        <v>1507</v>
      </c>
      <c r="I49" s="13">
        <v>43078</v>
      </c>
      <c r="J49" s="11">
        <v>9</v>
      </c>
      <c r="K49" s="11">
        <v>12</v>
      </c>
      <c r="L49" s="11">
        <v>2017</v>
      </c>
      <c r="M49" s="13" t="s">
        <v>1596</v>
      </c>
      <c r="N49" s="11" t="s">
        <v>7</v>
      </c>
      <c r="O49" s="11" t="s">
        <v>10</v>
      </c>
      <c r="P49" s="11" t="s">
        <v>588</v>
      </c>
      <c r="Q49" s="11" t="s">
        <v>588</v>
      </c>
      <c r="R49" s="11" t="s">
        <v>588</v>
      </c>
      <c r="S49" s="11" t="s">
        <v>588</v>
      </c>
      <c r="T49" s="11">
        <v>2</v>
      </c>
      <c r="U49" s="11">
        <v>3</v>
      </c>
      <c r="V49" t="s">
        <v>588</v>
      </c>
      <c r="W49" t="s">
        <v>588</v>
      </c>
      <c r="X49" s="11">
        <v>2</v>
      </c>
      <c r="Y49" s="11">
        <v>2</v>
      </c>
      <c r="Z49" s="11" t="s">
        <v>41</v>
      </c>
      <c r="AA49" s="13">
        <v>43078</v>
      </c>
      <c r="AB49" s="11">
        <v>9</v>
      </c>
      <c r="AC49" s="11">
        <v>12</v>
      </c>
      <c r="AD49" s="11">
        <v>2017</v>
      </c>
      <c r="AE49" s="13" t="s">
        <v>1596</v>
      </c>
      <c r="AF49" s="11" t="s">
        <v>7</v>
      </c>
      <c r="AG49" s="13">
        <v>43090</v>
      </c>
      <c r="AH49" s="11">
        <v>21</v>
      </c>
      <c r="AI49" s="11">
        <v>12</v>
      </c>
      <c r="AJ49" s="11">
        <v>2017</v>
      </c>
      <c r="AK49" s="13" t="s">
        <v>1531</v>
      </c>
      <c r="AL49" s="11" t="s">
        <v>7</v>
      </c>
      <c r="AM49" s="13" t="s">
        <v>20</v>
      </c>
      <c r="AN49" s="11" t="s">
        <v>8</v>
      </c>
      <c r="AO49" s="11" t="s">
        <v>11</v>
      </c>
      <c r="AP49" s="13" t="s">
        <v>588</v>
      </c>
      <c r="AQ49" s="11" t="s">
        <v>588</v>
      </c>
      <c r="AR49" s="11" t="s">
        <v>588</v>
      </c>
      <c r="AS49" s="11" t="s">
        <v>588</v>
      </c>
      <c r="AT49" s="11" t="s">
        <v>588</v>
      </c>
      <c r="AU49" s="11" t="s">
        <v>588</v>
      </c>
      <c r="AV49" s="11" t="s">
        <v>588</v>
      </c>
      <c r="AW49" s="11" t="s">
        <v>588</v>
      </c>
      <c r="AX49" s="11" t="s">
        <v>588</v>
      </c>
      <c r="AY49" s="11" t="s">
        <v>588</v>
      </c>
      <c r="AZ49" s="11" t="s">
        <v>588</v>
      </c>
      <c r="BA49" s="11" t="s">
        <v>588</v>
      </c>
      <c r="BB49" s="11" t="s">
        <v>588</v>
      </c>
      <c r="BC49" s="11" t="s">
        <v>588</v>
      </c>
      <c r="BD49" s="11" t="s">
        <v>588</v>
      </c>
      <c r="BE49" s="11" t="s">
        <v>588</v>
      </c>
      <c r="BF49" s="11" t="s">
        <v>588</v>
      </c>
      <c r="BG49" s="11" t="s">
        <v>588</v>
      </c>
      <c r="BH49" s="11" t="s">
        <v>588</v>
      </c>
      <c r="BI49" s="11" t="s">
        <v>588</v>
      </c>
      <c r="BJ49" s="11" t="s">
        <v>588</v>
      </c>
      <c r="BK49" s="11" t="s">
        <v>588</v>
      </c>
      <c r="BL49" s="11" t="s">
        <v>588</v>
      </c>
      <c r="BM49" s="11" t="s">
        <v>588</v>
      </c>
      <c r="BN49" s="11" t="s">
        <v>588</v>
      </c>
      <c r="BO49" s="11" t="s">
        <v>588</v>
      </c>
      <c r="BP49" s="11" t="s">
        <v>588</v>
      </c>
      <c r="BQ49" s="11" t="s">
        <v>588</v>
      </c>
      <c r="BR49" s="11" t="s">
        <v>588</v>
      </c>
      <c r="BS49" s="11" t="s">
        <v>8</v>
      </c>
      <c r="BT49" s="11" t="s">
        <v>9</v>
      </c>
      <c r="BU49" s="11" t="s">
        <v>9</v>
      </c>
      <c r="BV49" s="11" t="s">
        <v>588</v>
      </c>
      <c r="BW49" s="11" t="s">
        <v>588</v>
      </c>
      <c r="BX49" s="11" t="s">
        <v>588</v>
      </c>
      <c r="BY49" s="11" t="s">
        <v>588</v>
      </c>
      <c r="BZ49" s="11" t="s">
        <v>588</v>
      </c>
    </row>
    <row r="50" spans="1:78" x14ac:dyDescent="0.25">
      <c r="A50" s="11">
        <v>201718</v>
      </c>
      <c r="B50" s="11" t="s">
        <v>35</v>
      </c>
      <c r="C50" s="11" t="s">
        <v>35</v>
      </c>
      <c r="D50" s="11" t="s">
        <v>24</v>
      </c>
      <c r="E50" s="11" t="s">
        <v>63</v>
      </c>
      <c r="F50" s="11">
        <v>1</v>
      </c>
      <c r="G50" s="11" t="s">
        <v>1462</v>
      </c>
      <c r="H50" s="11" t="s">
        <v>1462</v>
      </c>
      <c r="I50" s="13">
        <v>42995</v>
      </c>
      <c r="J50" s="11">
        <v>17</v>
      </c>
      <c r="K50" s="11">
        <v>9</v>
      </c>
      <c r="L50" s="11">
        <v>2017</v>
      </c>
      <c r="M50" s="13" t="s">
        <v>1573</v>
      </c>
      <c r="N50" s="11" t="s">
        <v>28</v>
      </c>
      <c r="O50" s="11" t="s">
        <v>51</v>
      </c>
      <c r="P50" s="11">
        <v>-38.672297999999998</v>
      </c>
      <c r="Q50" s="11">
        <v>145.63986199999999</v>
      </c>
      <c r="R50" s="23" t="s">
        <v>588</v>
      </c>
      <c r="S50" s="23" t="s">
        <v>588</v>
      </c>
      <c r="T50" s="11">
        <v>3</v>
      </c>
      <c r="U50" s="11">
        <v>3</v>
      </c>
      <c r="V50" t="s">
        <v>588</v>
      </c>
      <c r="W50" t="s">
        <v>588</v>
      </c>
      <c r="X50" s="11">
        <v>2</v>
      </c>
      <c r="Y50" s="11">
        <v>2</v>
      </c>
      <c r="Z50" s="11" t="s">
        <v>8</v>
      </c>
      <c r="AA50" s="13">
        <v>42995</v>
      </c>
      <c r="AB50" s="11">
        <v>17</v>
      </c>
      <c r="AC50" s="11">
        <v>9</v>
      </c>
      <c r="AD50" s="11">
        <v>2017</v>
      </c>
      <c r="AE50" s="13" t="s">
        <v>1573</v>
      </c>
      <c r="AF50" s="11" t="s">
        <v>28</v>
      </c>
      <c r="AG50" s="11" t="s">
        <v>588</v>
      </c>
      <c r="AH50" s="11" t="s">
        <v>588</v>
      </c>
      <c r="AI50" s="11" t="s">
        <v>588</v>
      </c>
      <c r="AJ50" s="11" t="s">
        <v>588</v>
      </c>
      <c r="AK50" s="13" t="s">
        <v>588</v>
      </c>
      <c r="AL50" s="11" t="s">
        <v>588</v>
      </c>
      <c r="AM50" s="11" t="s">
        <v>588</v>
      </c>
      <c r="AN50" s="11" t="s">
        <v>588</v>
      </c>
      <c r="AO50" s="11" t="s">
        <v>588</v>
      </c>
      <c r="AP50" s="13">
        <v>43019</v>
      </c>
      <c r="AQ50" s="11" t="s">
        <v>29</v>
      </c>
      <c r="AR50" s="11" t="s">
        <v>195</v>
      </c>
      <c r="AS50" s="11">
        <v>2</v>
      </c>
      <c r="AT50" s="11">
        <v>3</v>
      </c>
      <c r="AU50" s="7" t="s">
        <v>588</v>
      </c>
      <c r="AV50" s="11" t="s">
        <v>588</v>
      </c>
      <c r="AW50" s="11" t="s">
        <v>588</v>
      </c>
      <c r="AX50" s="11" t="s">
        <v>588</v>
      </c>
      <c r="AY50" s="11" t="s">
        <v>588</v>
      </c>
      <c r="AZ50" s="11" t="s">
        <v>588</v>
      </c>
      <c r="BA50" s="7" t="s">
        <v>588</v>
      </c>
      <c r="BB50" s="11" t="s">
        <v>588</v>
      </c>
      <c r="BC50" s="11" t="s">
        <v>588</v>
      </c>
      <c r="BD50" s="11" t="s">
        <v>588</v>
      </c>
      <c r="BE50" s="11" t="s">
        <v>588</v>
      </c>
      <c r="BF50" s="11" t="s">
        <v>588</v>
      </c>
      <c r="BG50" s="7" t="s">
        <v>588</v>
      </c>
      <c r="BH50" s="11" t="s">
        <v>588</v>
      </c>
      <c r="BI50" s="11" t="s">
        <v>588</v>
      </c>
      <c r="BJ50" s="11" t="s">
        <v>588</v>
      </c>
      <c r="BK50" s="11" t="s">
        <v>588</v>
      </c>
      <c r="BL50" s="11" t="s">
        <v>588</v>
      </c>
      <c r="BM50" s="11">
        <v>9</v>
      </c>
      <c r="BN50" s="11">
        <v>9</v>
      </c>
      <c r="BO50" s="11" t="s">
        <v>8</v>
      </c>
      <c r="BP50" s="11">
        <v>2</v>
      </c>
      <c r="BQ50" s="13">
        <v>43058</v>
      </c>
      <c r="BR50" s="11" t="s">
        <v>17</v>
      </c>
      <c r="BS50" s="11" t="s">
        <v>8</v>
      </c>
      <c r="BT50" s="11" t="s">
        <v>9</v>
      </c>
      <c r="BU50" s="11" t="s">
        <v>9</v>
      </c>
      <c r="BV50" s="11" t="s">
        <v>8</v>
      </c>
      <c r="BW50" s="11" t="s">
        <v>9</v>
      </c>
      <c r="BX50" s="11" t="s">
        <v>9</v>
      </c>
      <c r="BY50" s="11" t="s">
        <v>206</v>
      </c>
      <c r="BZ50" s="11" t="s">
        <v>588</v>
      </c>
    </row>
    <row r="51" spans="1:78" x14ac:dyDescent="0.25">
      <c r="A51" s="11">
        <v>201718</v>
      </c>
      <c r="B51" s="11" t="s">
        <v>35</v>
      </c>
      <c r="C51" s="11" t="s">
        <v>35</v>
      </c>
      <c r="D51" s="11" t="s">
        <v>24</v>
      </c>
      <c r="E51" s="11" t="s">
        <v>63</v>
      </c>
      <c r="F51" s="11">
        <v>2</v>
      </c>
      <c r="G51" s="11" t="s">
        <v>1463</v>
      </c>
      <c r="H51" s="11" t="s">
        <v>1463</v>
      </c>
      <c r="I51" s="13">
        <v>43090</v>
      </c>
      <c r="J51" s="11">
        <v>21</v>
      </c>
      <c r="K51" s="11">
        <v>12</v>
      </c>
      <c r="L51" s="11">
        <v>2017</v>
      </c>
      <c r="M51" s="13" t="s">
        <v>1531</v>
      </c>
      <c r="N51" s="11" t="s">
        <v>7</v>
      </c>
      <c r="O51" s="11" t="s">
        <v>51</v>
      </c>
      <c r="P51" s="11">
        <v>-38.672297999999998</v>
      </c>
      <c r="Q51" s="11">
        <v>145.63986199999999</v>
      </c>
      <c r="R51" s="23" t="s">
        <v>588</v>
      </c>
      <c r="S51" s="23" t="s">
        <v>588</v>
      </c>
      <c r="T51" s="11">
        <v>3</v>
      </c>
      <c r="U51" s="11">
        <v>3</v>
      </c>
      <c r="V51" t="s">
        <v>588</v>
      </c>
      <c r="W51" t="s">
        <v>588</v>
      </c>
      <c r="X51" s="11">
        <v>4</v>
      </c>
      <c r="Y51" s="11">
        <v>4</v>
      </c>
      <c r="Z51" s="11" t="s">
        <v>8</v>
      </c>
      <c r="AA51" s="13">
        <v>43099</v>
      </c>
      <c r="AB51" s="11">
        <v>30</v>
      </c>
      <c r="AC51" s="11">
        <v>12</v>
      </c>
      <c r="AD51" s="11">
        <v>2017</v>
      </c>
      <c r="AE51" s="13" t="s">
        <v>1574</v>
      </c>
      <c r="AF51" s="11" t="s">
        <v>7</v>
      </c>
      <c r="AG51" s="11" t="s">
        <v>588</v>
      </c>
      <c r="AH51" s="11" t="s">
        <v>588</v>
      </c>
      <c r="AI51" s="11" t="s">
        <v>588</v>
      </c>
      <c r="AJ51" s="11" t="s">
        <v>588</v>
      </c>
      <c r="AK51" s="13" t="s">
        <v>588</v>
      </c>
      <c r="AL51" s="11" t="s">
        <v>588</v>
      </c>
      <c r="AM51" s="11" t="s">
        <v>588</v>
      </c>
      <c r="AN51" s="11" t="s">
        <v>588</v>
      </c>
      <c r="AO51" s="11" t="s">
        <v>588</v>
      </c>
      <c r="AP51" s="13">
        <v>43122</v>
      </c>
      <c r="AQ51" s="11" t="s">
        <v>12</v>
      </c>
      <c r="AR51" s="11" t="s">
        <v>199</v>
      </c>
      <c r="AS51" s="11">
        <v>1</v>
      </c>
      <c r="AT51" s="11">
        <v>3</v>
      </c>
      <c r="AU51" s="7" t="s">
        <v>588</v>
      </c>
      <c r="AV51" s="11" t="s">
        <v>588</v>
      </c>
      <c r="AW51" s="11" t="s">
        <v>588</v>
      </c>
      <c r="AX51" s="11" t="s">
        <v>588</v>
      </c>
      <c r="AY51" s="11" t="s">
        <v>588</v>
      </c>
      <c r="AZ51" s="11" t="s">
        <v>588</v>
      </c>
      <c r="BA51" s="7" t="s">
        <v>588</v>
      </c>
      <c r="BB51" s="11" t="s">
        <v>588</v>
      </c>
      <c r="BC51" s="11" t="s">
        <v>588</v>
      </c>
      <c r="BD51" s="11" t="s">
        <v>588</v>
      </c>
      <c r="BE51" s="11" t="s">
        <v>588</v>
      </c>
      <c r="BF51" s="11" t="s">
        <v>588</v>
      </c>
      <c r="BG51" s="7" t="s">
        <v>588</v>
      </c>
      <c r="BH51" s="11" t="s">
        <v>588</v>
      </c>
      <c r="BI51" s="11" t="s">
        <v>588</v>
      </c>
      <c r="BJ51" s="11" t="s">
        <v>588</v>
      </c>
      <c r="BK51" s="11" t="s">
        <v>588</v>
      </c>
      <c r="BL51" s="11" t="s">
        <v>588</v>
      </c>
      <c r="BM51" s="11">
        <v>5</v>
      </c>
      <c r="BN51" s="11">
        <v>5</v>
      </c>
      <c r="BO51" s="11" t="s">
        <v>8</v>
      </c>
      <c r="BP51" s="11">
        <v>1</v>
      </c>
      <c r="BQ51" s="13">
        <v>43138</v>
      </c>
      <c r="BR51" s="11" t="s">
        <v>21</v>
      </c>
      <c r="BS51" s="11" t="s">
        <v>8</v>
      </c>
      <c r="BT51" s="11" t="s">
        <v>9</v>
      </c>
      <c r="BU51" s="11" t="s">
        <v>9</v>
      </c>
      <c r="BV51" s="11" t="s">
        <v>8</v>
      </c>
      <c r="BW51" s="11" t="s">
        <v>9</v>
      </c>
      <c r="BX51" s="11" t="s">
        <v>9</v>
      </c>
      <c r="BY51" s="11" t="s">
        <v>207</v>
      </c>
      <c r="BZ51" s="11" t="s">
        <v>588</v>
      </c>
    </row>
    <row r="52" spans="1:78" x14ac:dyDescent="0.25">
      <c r="A52" s="11">
        <v>201718</v>
      </c>
      <c r="B52" s="11" t="s">
        <v>586</v>
      </c>
      <c r="C52" t="s">
        <v>301</v>
      </c>
      <c r="D52" s="11" t="s">
        <v>568</v>
      </c>
      <c r="E52" s="11" t="s">
        <v>647</v>
      </c>
      <c r="F52" s="11">
        <v>1</v>
      </c>
      <c r="G52" s="11" t="s">
        <v>1508</v>
      </c>
      <c r="H52" s="11" t="s">
        <v>1508</v>
      </c>
      <c r="I52" s="13">
        <v>43041</v>
      </c>
      <c r="J52" s="11">
        <v>2</v>
      </c>
      <c r="K52" s="11">
        <v>11</v>
      </c>
      <c r="L52" s="11">
        <v>2017</v>
      </c>
      <c r="M52" s="13" t="s">
        <v>1597</v>
      </c>
      <c r="N52" s="11" t="s">
        <v>17</v>
      </c>
      <c r="O52" s="11" t="s">
        <v>10</v>
      </c>
      <c r="P52" s="11" t="s">
        <v>588</v>
      </c>
      <c r="Q52" s="11" t="s">
        <v>588</v>
      </c>
      <c r="R52" s="11" t="s">
        <v>588</v>
      </c>
      <c r="S52" s="11" t="s">
        <v>588</v>
      </c>
      <c r="T52" s="11">
        <v>1</v>
      </c>
      <c r="U52" s="11">
        <v>3</v>
      </c>
      <c r="V52" t="s">
        <v>588</v>
      </c>
      <c r="W52" t="s">
        <v>588</v>
      </c>
      <c r="X52" s="11">
        <v>2</v>
      </c>
      <c r="Y52" s="11">
        <v>2</v>
      </c>
      <c r="Z52" s="11" t="s">
        <v>41</v>
      </c>
      <c r="AA52" s="13">
        <v>43041</v>
      </c>
      <c r="AB52" s="11">
        <v>2</v>
      </c>
      <c r="AC52" s="11">
        <v>11</v>
      </c>
      <c r="AD52" s="11">
        <v>2017</v>
      </c>
      <c r="AE52" s="13" t="s">
        <v>1597</v>
      </c>
      <c r="AF52" s="11" t="s">
        <v>17</v>
      </c>
      <c r="AG52" s="13">
        <v>43054</v>
      </c>
      <c r="AH52" s="11">
        <v>15</v>
      </c>
      <c r="AI52" s="11">
        <v>11</v>
      </c>
      <c r="AJ52" s="11">
        <v>2017</v>
      </c>
      <c r="AK52" s="13" t="s">
        <v>1550</v>
      </c>
      <c r="AL52" s="11" t="s">
        <v>17</v>
      </c>
      <c r="AM52" s="13" t="s">
        <v>20</v>
      </c>
      <c r="AN52" s="11" t="s">
        <v>8</v>
      </c>
      <c r="AO52" s="11" t="s">
        <v>32</v>
      </c>
      <c r="AP52" s="13" t="s">
        <v>588</v>
      </c>
      <c r="AQ52" s="11" t="s">
        <v>588</v>
      </c>
      <c r="AR52" s="11" t="s">
        <v>588</v>
      </c>
      <c r="AS52" s="11" t="s">
        <v>588</v>
      </c>
      <c r="AT52" s="11" t="s">
        <v>588</v>
      </c>
      <c r="AU52" s="13" t="s">
        <v>588</v>
      </c>
      <c r="AV52" s="13" t="s">
        <v>588</v>
      </c>
      <c r="AW52" s="11" t="s">
        <v>588</v>
      </c>
      <c r="AX52" s="11" t="s">
        <v>588</v>
      </c>
      <c r="AY52" s="11" t="s">
        <v>588</v>
      </c>
      <c r="AZ52" s="11" t="s">
        <v>588</v>
      </c>
      <c r="BA52" s="11" t="s">
        <v>588</v>
      </c>
      <c r="BB52" s="11" t="s">
        <v>588</v>
      </c>
      <c r="BC52" s="11" t="s">
        <v>588</v>
      </c>
      <c r="BD52" s="11" t="s">
        <v>588</v>
      </c>
      <c r="BE52" s="11" t="s">
        <v>588</v>
      </c>
      <c r="BF52" s="11" t="s">
        <v>588</v>
      </c>
      <c r="BG52" s="11" t="s">
        <v>588</v>
      </c>
      <c r="BH52" s="11" t="s">
        <v>588</v>
      </c>
      <c r="BI52" s="11" t="s">
        <v>588</v>
      </c>
      <c r="BJ52" s="11" t="s">
        <v>588</v>
      </c>
      <c r="BK52" s="11" t="s">
        <v>588</v>
      </c>
      <c r="BL52" s="11" t="s">
        <v>588</v>
      </c>
      <c r="BM52" s="11" t="s">
        <v>588</v>
      </c>
      <c r="BN52" s="11" t="s">
        <v>588</v>
      </c>
      <c r="BO52" s="11" t="s">
        <v>588</v>
      </c>
      <c r="BP52" s="11" t="s">
        <v>588</v>
      </c>
      <c r="BQ52" s="11" t="s">
        <v>588</v>
      </c>
      <c r="BR52" s="11" t="s">
        <v>588</v>
      </c>
      <c r="BS52" s="11" t="s">
        <v>8</v>
      </c>
      <c r="BT52" s="11" t="s">
        <v>9</v>
      </c>
      <c r="BU52" s="11" t="s">
        <v>9</v>
      </c>
      <c r="BV52" s="11" t="s">
        <v>588</v>
      </c>
      <c r="BW52" s="11" t="s">
        <v>588</v>
      </c>
      <c r="BX52" s="11" t="s">
        <v>588</v>
      </c>
      <c r="BY52" s="11" t="s">
        <v>588</v>
      </c>
      <c r="BZ52" s="11" t="s">
        <v>588</v>
      </c>
    </row>
    <row r="53" spans="1:78" x14ac:dyDescent="0.25">
      <c r="A53" s="11">
        <v>201718</v>
      </c>
      <c r="B53" s="11" t="s">
        <v>586</v>
      </c>
      <c r="C53" t="s">
        <v>301</v>
      </c>
      <c r="D53" s="11" t="s">
        <v>568</v>
      </c>
      <c r="E53" s="11" t="s">
        <v>647</v>
      </c>
      <c r="F53" s="11">
        <v>2</v>
      </c>
      <c r="G53" s="11" t="s">
        <v>1509</v>
      </c>
      <c r="H53" s="11" t="s">
        <v>1509</v>
      </c>
      <c r="I53" s="13">
        <v>43054</v>
      </c>
      <c r="J53" s="11">
        <v>15</v>
      </c>
      <c r="K53" s="11">
        <v>11</v>
      </c>
      <c r="L53" s="11">
        <v>2017</v>
      </c>
      <c r="M53" s="13" t="s">
        <v>1550</v>
      </c>
      <c r="N53" s="11" t="s">
        <v>17</v>
      </c>
      <c r="O53" s="11" t="s">
        <v>51</v>
      </c>
      <c r="P53" s="11">
        <v>-38.557510000000001</v>
      </c>
      <c r="Q53" s="11">
        <v>145.48811000000001</v>
      </c>
      <c r="R53" s="11" t="s">
        <v>588</v>
      </c>
      <c r="S53" s="11" t="s">
        <v>588</v>
      </c>
      <c r="T53" s="11">
        <v>2</v>
      </c>
      <c r="U53" s="11">
        <v>3</v>
      </c>
      <c r="V53" s="1">
        <v>43058</v>
      </c>
      <c r="W53" t="s">
        <v>223</v>
      </c>
      <c r="X53" s="11">
        <v>4</v>
      </c>
      <c r="Y53" s="11">
        <v>4</v>
      </c>
      <c r="Z53" s="11" t="s">
        <v>41</v>
      </c>
      <c r="AA53" s="13">
        <v>43062</v>
      </c>
      <c r="AB53" s="11">
        <v>23</v>
      </c>
      <c r="AC53" s="11">
        <v>11</v>
      </c>
      <c r="AD53" s="11">
        <v>2017</v>
      </c>
      <c r="AE53" s="13" t="s">
        <v>1598</v>
      </c>
      <c r="AF53" s="11" t="s">
        <v>17</v>
      </c>
      <c r="AG53" s="13">
        <v>43082</v>
      </c>
      <c r="AH53" s="11">
        <v>13</v>
      </c>
      <c r="AI53" s="11">
        <v>12</v>
      </c>
      <c r="AJ53" s="11">
        <v>2017</v>
      </c>
      <c r="AK53" s="13" t="s">
        <v>1551</v>
      </c>
      <c r="AL53" s="11" t="s">
        <v>7</v>
      </c>
      <c r="AM53" s="11" t="s">
        <v>20</v>
      </c>
      <c r="AN53" s="11" t="s">
        <v>41</v>
      </c>
      <c r="AO53" s="11" t="s">
        <v>20</v>
      </c>
      <c r="AP53" s="13" t="s">
        <v>588</v>
      </c>
      <c r="AQ53" s="11" t="s">
        <v>588</v>
      </c>
      <c r="AR53" s="11" t="s">
        <v>588</v>
      </c>
      <c r="AS53" s="11" t="s">
        <v>588</v>
      </c>
      <c r="AT53" s="11" t="s">
        <v>588</v>
      </c>
      <c r="AU53" s="11" t="s">
        <v>588</v>
      </c>
      <c r="AV53" s="11" t="s">
        <v>588</v>
      </c>
      <c r="AW53" s="11" t="s">
        <v>588</v>
      </c>
      <c r="AX53" s="11" t="s">
        <v>588</v>
      </c>
      <c r="AY53" s="11" t="s">
        <v>588</v>
      </c>
      <c r="AZ53" s="11" t="s">
        <v>588</v>
      </c>
      <c r="BA53" s="11" t="s">
        <v>588</v>
      </c>
      <c r="BB53" s="11" t="s">
        <v>588</v>
      </c>
      <c r="BC53" s="11" t="s">
        <v>588</v>
      </c>
      <c r="BD53" s="11" t="s">
        <v>588</v>
      </c>
      <c r="BE53" s="11" t="s">
        <v>588</v>
      </c>
      <c r="BF53" s="11" t="s">
        <v>588</v>
      </c>
      <c r="BG53" s="11" t="s">
        <v>588</v>
      </c>
      <c r="BH53" s="11" t="s">
        <v>588</v>
      </c>
      <c r="BI53" s="11" t="s">
        <v>588</v>
      </c>
      <c r="BJ53" s="11" t="s">
        <v>588</v>
      </c>
      <c r="BK53" s="11" t="s">
        <v>588</v>
      </c>
      <c r="BL53" s="11" t="s">
        <v>588</v>
      </c>
      <c r="BM53" s="11" t="s">
        <v>588</v>
      </c>
      <c r="BN53" s="11" t="s">
        <v>588</v>
      </c>
      <c r="BO53" s="11" t="s">
        <v>588</v>
      </c>
      <c r="BP53" s="11" t="s">
        <v>588</v>
      </c>
      <c r="BQ53" s="11" t="s">
        <v>588</v>
      </c>
      <c r="BR53" s="11" t="s">
        <v>588</v>
      </c>
      <c r="BS53" s="11" t="s">
        <v>8</v>
      </c>
      <c r="BT53" s="11" t="s">
        <v>9</v>
      </c>
      <c r="BU53" s="11" t="s">
        <v>9</v>
      </c>
      <c r="BV53" s="11" t="s">
        <v>588</v>
      </c>
      <c r="BW53" s="11" t="s">
        <v>588</v>
      </c>
      <c r="BX53" s="11" t="s">
        <v>588</v>
      </c>
      <c r="BY53" s="11" t="s">
        <v>588</v>
      </c>
      <c r="BZ53" s="11" t="s">
        <v>588</v>
      </c>
    </row>
    <row r="54" spans="1:78" x14ac:dyDescent="0.25">
      <c r="A54" s="11">
        <v>201718</v>
      </c>
      <c r="B54" s="11" t="s">
        <v>586</v>
      </c>
      <c r="C54" t="s">
        <v>301</v>
      </c>
      <c r="D54" s="11" t="s">
        <v>568</v>
      </c>
      <c r="E54" s="11" t="s">
        <v>647</v>
      </c>
      <c r="F54" s="11">
        <v>3</v>
      </c>
      <c r="G54" s="11" t="s">
        <v>1510</v>
      </c>
      <c r="H54" s="11" t="s">
        <v>1510</v>
      </c>
      <c r="I54" s="13">
        <v>43097</v>
      </c>
      <c r="J54" s="11">
        <v>28</v>
      </c>
      <c r="K54" s="11">
        <v>12</v>
      </c>
      <c r="L54" s="11">
        <v>2017</v>
      </c>
      <c r="M54" s="13" t="s">
        <v>1599</v>
      </c>
      <c r="N54" s="11" t="s">
        <v>7</v>
      </c>
      <c r="O54" s="11" t="s">
        <v>10</v>
      </c>
      <c r="P54" s="11">
        <v>-38.557603999999998</v>
      </c>
      <c r="Q54" s="11">
        <v>145.48642100000001</v>
      </c>
      <c r="R54" s="11" t="s">
        <v>588</v>
      </c>
      <c r="S54" s="11" t="s">
        <v>588</v>
      </c>
      <c r="T54" s="11">
        <v>2</v>
      </c>
      <c r="U54" s="11">
        <v>3</v>
      </c>
      <c r="V54" t="s">
        <v>588</v>
      </c>
      <c r="W54" t="s">
        <v>588</v>
      </c>
      <c r="X54" s="11">
        <v>3</v>
      </c>
      <c r="Y54" s="11">
        <v>3</v>
      </c>
      <c r="Z54" s="11" t="s">
        <v>41</v>
      </c>
      <c r="AA54" s="13">
        <v>43104</v>
      </c>
      <c r="AB54" s="11">
        <v>4</v>
      </c>
      <c r="AC54" s="11">
        <v>1</v>
      </c>
      <c r="AD54" s="11">
        <v>2018</v>
      </c>
      <c r="AE54" s="13" t="s">
        <v>1578</v>
      </c>
      <c r="AF54" s="11" t="s">
        <v>12</v>
      </c>
      <c r="AG54" s="13">
        <v>43124</v>
      </c>
      <c r="AH54" s="11">
        <v>24</v>
      </c>
      <c r="AI54" s="11">
        <v>1</v>
      </c>
      <c r="AJ54" s="11">
        <v>2018</v>
      </c>
      <c r="AK54" s="13" t="s">
        <v>1536</v>
      </c>
      <c r="AL54" s="11" t="s">
        <v>12</v>
      </c>
      <c r="AM54" s="11" t="s">
        <v>20</v>
      </c>
      <c r="AN54" s="11" t="s">
        <v>41</v>
      </c>
      <c r="AO54" s="11" t="s">
        <v>20</v>
      </c>
      <c r="AP54" s="13" t="s">
        <v>588</v>
      </c>
      <c r="AQ54" s="11" t="s">
        <v>588</v>
      </c>
      <c r="AR54" s="11" t="s">
        <v>588</v>
      </c>
      <c r="AS54" s="11" t="s">
        <v>588</v>
      </c>
      <c r="AT54" s="11" t="s">
        <v>588</v>
      </c>
      <c r="AU54" s="13" t="s">
        <v>588</v>
      </c>
      <c r="AV54" s="13" t="s">
        <v>588</v>
      </c>
      <c r="AW54" s="11" t="s">
        <v>588</v>
      </c>
      <c r="AX54" s="11" t="s">
        <v>588</v>
      </c>
      <c r="AY54" s="11" t="s">
        <v>588</v>
      </c>
      <c r="AZ54" s="11" t="s">
        <v>588</v>
      </c>
      <c r="BA54" s="11" t="s">
        <v>588</v>
      </c>
      <c r="BB54" s="11" t="s">
        <v>588</v>
      </c>
      <c r="BC54" s="11" t="s">
        <v>588</v>
      </c>
      <c r="BD54" s="11" t="s">
        <v>588</v>
      </c>
      <c r="BE54" s="11" t="s">
        <v>588</v>
      </c>
      <c r="BF54" s="11" t="s">
        <v>588</v>
      </c>
      <c r="BG54" s="11" t="s">
        <v>588</v>
      </c>
      <c r="BH54" s="11" t="s">
        <v>588</v>
      </c>
      <c r="BI54" s="11" t="s">
        <v>588</v>
      </c>
      <c r="BJ54" s="11" t="s">
        <v>588</v>
      </c>
      <c r="BK54" s="11" t="s">
        <v>588</v>
      </c>
      <c r="BL54" s="11" t="s">
        <v>588</v>
      </c>
      <c r="BM54" s="11" t="s">
        <v>588</v>
      </c>
      <c r="BN54" s="11" t="s">
        <v>588</v>
      </c>
      <c r="BO54" s="11" t="s">
        <v>588</v>
      </c>
      <c r="BP54" s="11" t="s">
        <v>588</v>
      </c>
      <c r="BQ54" s="11" t="s">
        <v>588</v>
      </c>
      <c r="BR54" s="11" t="s">
        <v>588</v>
      </c>
      <c r="BS54" s="11" t="s">
        <v>8</v>
      </c>
      <c r="BT54" s="11" t="s">
        <v>9</v>
      </c>
      <c r="BU54" s="11" t="s">
        <v>9</v>
      </c>
      <c r="BV54" s="11" t="s">
        <v>588</v>
      </c>
      <c r="BW54" s="11" t="s">
        <v>588</v>
      </c>
      <c r="BX54" s="11" t="s">
        <v>588</v>
      </c>
      <c r="BY54" s="11" t="s">
        <v>588</v>
      </c>
      <c r="BZ54" s="11" t="s">
        <v>588</v>
      </c>
    </row>
    <row r="55" spans="1:78" x14ac:dyDescent="0.25">
      <c r="A55" s="11">
        <v>201718</v>
      </c>
      <c r="B55" s="11" t="s">
        <v>76</v>
      </c>
      <c r="C55" s="11" t="s">
        <v>76</v>
      </c>
      <c r="D55" s="11" t="s">
        <v>30</v>
      </c>
      <c r="E55" s="11" t="s">
        <v>16</v>
      </c>
      <c r="F55" s="11">
        <v>1</v>
      </c>
      <c r="G55" s="11" t="s">
        <v>1464</v>
      </c>
      <c r="H55" s="11" t="s">
        <v>1464</v>
      </c>
      <c r="I55" s="13">
        <v>43095</v>
      </c>
      <c r="J55" s="11">
        <v>26</v>
      </c>
      <c r="K55" s="11">
        <v>12</v>
      </c>
      <c r="L55" s="11">
        <v>2017</v>
      </c>
      <c r="M55" s="13" t="s">
        <v>1575</v>
      </c>
      <c r="N55" s="11" t="s">
        <v>7</v>
      </c>
      <c r="O55" s="11" t="s">
        <v>10</v>
      </c>
      <c r="P55" s="23" t="s">
        <v>588</v>
      </c>
      <c r="Q55" s="23" t="s">
        <v>588</v>
      </c>
      <c r="R55" s="11">
        <v>-38.676025000000003</v>
      </c>
      <c r="S55" s="11">
        <v>145.650375</v>
      </c>
      <c r="T55" s="11">
        <v>1</v>
      </c>
      <c r="U55" s="11">
        <v>1</v>
      </c>
      <c r="V55" t="s">
        <v>588</v>
      </c>
      <c r="W55" t="s">
        <v>588</v>
      </c>
      <c r="X55" s="11">
        <v>4</v>
      </c>
      <c r="Y55" s="11">
        <v>4</v>
      </c>
      <c r="Z55" s="11" t="s">
        <v>8</v>
      </c>
      <c r="AA55" s="13">
        <v>43099</v>
      </c>
      <c r="AB55" s="11">
        <v>30</v>
      </c>
      <c r="AC55" s="11">
        <v>12</v>
      </c>
      <c r="AD55" s="11">
        <v>2017</v>
      </c>
      <c r="AE55" s="13" t="s">
        <v>1574</v>
      </c>
      <c r="AF55" s="11" t="s">
        <v>7</v>
      </c>
      <c r="AG55" s="11" t="s">
        <v>588</v>
      </c>
      <c r="AH55" s="11" t="s">
        <v>588</v>
      </c>
      <c r="AI55" s="11" t="s">
        <v>588</v>
      </c>
      <c r="AJ55" s="11" t="s">
        <v>588</v>
      </c>
      <c r="AK55" s="13" t="s">
        <v>588</v>
      </c>
      <c r="AL55" s="11" t="s">
        <v>588</v>
      </c>
      <c r="AM55" s="11" t="s">
        <v>588</v>
      </c>
      <c r="AN55" s="11" t="s">
        <v>588</v>
      </c>
      <c r="AO55" s="11" t="s">
        <v>588</v>
      </c>
      <c r="AP55" s="13">
        <v>43124</v>
      </c>
      <c r="AQ55" s="11" t="s">
        <v>12</v>
      </c>
      <c r="AR55" s="11" t="s">
        <v>194</v>
      </c>
      <c r="AS55" s="11">
        <v>1</v>
      </c>
      <c r="AT55" s="11">
        <v>1</v>
      </c>
      <c r="AU55" s="7" t="s">
        <v>588</v>
      </c>
      <c r="AV55" s="11" t="s">
        <v>588</v>
      </c>
      <c r="AW55" s="11" t="s">
        <v>588</v>
      </c>
      <c r="AX55" s="11" t="s">
        <v>588</v>
      </c>
      <c r="AY55" s="11" t="s">
        <v>588</v>
      </c>
      <c r="AZ55" s="11" t="s">
        <v>588</v>
      </c>
      <c r="BA55" s="7" t="s">
        <v>588</v>
      </c>
      <c r="BB55" s="11" t="s">
        <v>588</v>
      </c>
      <c r="BC55" s="11" t="s">
        <v>588</v>
      </c>
      <c r="BD55" s="11" t="s">
        <v>588</v>
      </c>
      <c r="BE55" s="11" t="s">
        <v>588</v>
      </c>
      <c r="BF55" s="11" t="s">
        <v>588</v>
      </c>
      <c r="BG55" s="7" t="s">
        <v>588</v>
      </c>
      <c r="BH55" s="11" t="s">
        <v>588</v>
      </c>
      <c r="BI55" s="11" t="s">
        <v>588</v>
      </c>
      <c r="BJ55" s="11" t="s">
        <v>588</v>
      </c>
      <c r="BK55" s="11" t="s">
        <v>588</v>
      </c>
      <c r="BL55" s="11" t="s">
        <v>588</v>
      </c>
      <c r="BM55" s="11">
        <v>5</v>
      </c>
      <c r="BN55" s="11">
        <v>5</v>
      </c>
      <c r="BO55" s="11" t="s">
        <v>8</v>
      </c>
      <c r="BP55" s="11">
        <v>1</v>
      </c>
      <c r="BQ55" s="13">
        <v>43143</v>
      </c>
      <c r="BR55" s="11" t="s">
        <v>21</v>
      </c>
      <c r="BS55" s="11" t="s">
        <v>8</v>
      </c>
      <c r="BT55" s="11" t="s">
        <v>9</v>
      </c>
      <c r="BU55" s="11" t="s">
        <v>9</v>
      </c>
      <c r="BV55" s="11" t="s">
        <v>8</v>
      </c>
      <c r="BW55" s="11" t="s">
        <v>9</v>
      </c>
      <c r="BX55" s="11" t="s">
        <v>9</v>
      </c>
      <c r="BY55" s="11" t="s">
        <v>208</v>
      </c>
      <c r="BZ55" s="11" t="s">
        <v>588</v>
      </c>
    </row>
    <row r="56" spans="1:78" x14ac:dyDescent="0.25">
      <c r="A56" s="11">
        <v>201718</v>
      </c>
      <c r="B56" s="11" t="s">
        <v>77</v>
      </c>
      <c r="C56" s="11" t="s">
        <v>37</v>
      </c>
      <c r="D56" s="11" t="s">
        <v>38</v>
      </c>
      <c r="E56" s="11" t="s">
        <v>16</v>
      </c>
      <c r="F56" s="11">
        <v>1</v>
      </c>
      <c r="G56" s="11" t="s">
        <v>209</v>
      </c>
      <c r="H56" s="11" t="s">
        <v>1576</v>
      </c>
      <c r="I56" s="13">
        <v>43087</v>
      </c>
      <c r="J56" s="11">
        <v>18</v>
      </c>
      <c r="K56" s="11">
        <v>12</v>
      </c>
      <c r="L56" s="11">
        <v>2017</v>
      </c>
      <c r="M56" s="13" t="s">
        <v>1526</v>
      </c>
      <c r="N56" s="11" t="s">
        <v>7</v>
      </c>
      <c r="O56" s="11" t="s">
        <v>10</v>
      </c>
      <c r="P56" s="23" t="s">
        <v>588</v>
      </c>
      <c r="Q56" s="23" t="s">
        <v>588</v>
      </c>
      <c r="R56" s="11">
        <v>-38.656638999999998</v>
      </c>
      <c r="S56" s="11">
        <v>145.574905</v>
      </c>
      <c r="T56" s="11">
        <v>2</v>
      </c>
      <c r="U56" s="11">
        <v>3</v>
      </c>
      <c r="V56" t="s">
        <v>588</v>
      </c>
      <c r="W56" t="s">
        <v>588</v>
      </c>
      <c r="X56" s="11">
        <v>2</v>
      </c>
      <c r="Y56" s="11">
        <v>2</v>
      </c>
      <c r="Z56" s="11" t="s">
        <v>41</v>
      </c>
      <c r="AA56" s="13">
        <v>43087</v>
      </c>
      <c r="AB56" s="11">
        <v>18</v>
      </c>
      <c r="AC56" s="11">
        <v>12</v>
      </c>
      <c r="AD56" s="11">
        <v>2017</v>
      </c>
      <c r="AE56" s="13" t="s">
        <v>1526</v>
      </c>
      <c r="AF56" s="11" t="s">
        <v>7</v>
      </c>
      <c r="AG56" s="13">
        <v>43090</v>
      </c>
      <c r="AH56" s="11">
        <v>21</v>
      </c>
      <c r="AI56" s="11">
        <v>12</v>
      </c>
      <c r="AJ56" s="11">
        <v>2017</v>
      </c>
      <c r="AK56" s="13" t="s">
        <v>1531</v>
      </c>
      <c r="AL56" s="11" t="s">
        <v>7</v>
      </c>
      <c r="AM56" s="11" t="s">
        <v>20</v>
      </c>
      <c r="AN56" s="11" t="s">
        <v>8</v>
      </c>
      <c r="AO56" s="11" t="s">
        <v>11</v>
      </c>
      <c r="AP56" s="11" t="s">
        <v>588</v>
      </c>
      <c r="AQ56" s="11" t="s">
        <v>588</v>
      </c>
      <c r="AR56" s="11" t="s">
        <v>588</v>
      </c>
      <c r="AS56" s="11" t="s">
        <v>588</v>
      </c>
      <c r="AT56" s="11" t="s">
        <v>588</v>
      </c>
      <c r="AU56" s="7" t="s">
        <v>588</v>
      </c>
      <c r="AV56" s="11" t="s">
        <v>588</v>
      </c>
      <c r="AW56" s="11" t="s">
        <v>588</v>
      </c>
      <c r="AX56" s="11" t="s">
        <v>588</v>
      </c>
      <c r="AY56" s="11" t="s">
        <v>588</v>
      </c>
      <c r="AZ56" s="11" t="s">
        <v>588</v>
      </c>
      <c r="BA56" s="7" t="s">
        <v>588</v>
      </c>
      <c r="BB56" s="11" t="s">
        <v>588</v>
      </c>
      <c r="BC56" s="11" t="s">
        <v>588</v>
      </c>
      <c r="BD56" s="11" t="s">
        <v>588</v>
      </c>
      <c r="BE56" s="11" t="s">
        <v>588</v>
      </c>
      <c r="BF56" s="11" t="s">
        <v>588</v>
      </c>
      <c r="BG56" s="7" t="s">
        <v>588</v>
      </c>
      <c r="BH56" s="11" t="s">
        <v>588</v>
      </c>
      <c r="BI56" s="11" t="s">
        <v>588</v>
      </c>
      <c r="BJ56" s="11" t="s">
        <v>588</v>
      </c>
      <c r="BK56" s="11" t="s">
        <v>588</v>
      </c>
      <c r="BL56" s="11" t="s">
        <v>588</v>
      </c>
      <c r="BM56" s="11" t="s">
        <v>588</v>
      </c>
      <c r="BN56" s="11" t="s">
        <v>588</v>
      </c>
      <c r="BO56" s="11" t="s">
        <v>588</v>
      </c>
      <c r="BP56" s="11" t="s">
        <v>588</v>
      </c>
      <c r="BQ56" s="11" t="s">
        <v>588</v>
      </c>
      <c r="BR56" s="11" t="s">
        <v>588</v>
      </c>
      <c r="BS56" s="11" t="s">
        <v>8</v>
      </c>
      <c r="BT56" s="11" t="s">
        <v>18</v>
      </c>
      <c r="BU56" s="11" t="s">
        <v>18</v>
      </c>
      <c r="BV56" s="11" t="s">
        <v>588</v>
      </c>
      <c r="BW56" s="11" t="s">
        <v>588</v>
      </c>
      <c r="BX56" s="11" t="s">
        <v>588</v>
      </c>
      <c r="BY56" s="11" t="s">
        <v>588</v>
      </c>
      <c r="BZ56" s="11" t="s">
        <v>588</v>
      </c>
    </row>
    <row r="57" spans="1:78" x14ac:dyDescent="0.25">
      <c r="A57" s="11">
        <v>201718</v>
      </c>
      <c r="B57" s="11" t="s">
        <v>77</v>
      </c>
      <c r="C57" s="11" t="s">
        <v>37</v>
      </c>
      <c r="D57" s="11" t="s">
        <v>38</v>
      </c>
      <c r="E57" s="11" t="s">
        <v>16</v>
      </c>
      <c r="F57" s="11">
        <v>3</v>
      </c>
      <c r="G57" s="11" t="s">
        <v>211</v>
      </c>
      <c r="H57" s="11" t="s">
        <v>1580</v>
      </c>
      <c r="I57" s="13">
        <v>43133</v>
      </c>
      <c r="J57" s="11">
        <v>2</v>
      </c>
      <c r="K57" s="11">
        <v>2</v>
      </c>
      <c r="L57" s="11">
        <v>2018</v>
      </c>
      <c r="M57" s="13" t="s">
        <v>1540</v>
      </c>
      <c r="N57" s="11" t="s">
        <v>21</v>
      </c>
      <c r="O57" s="11" t="s">
        <v>10</v>
      </c>
      <c r="P57" s="11">
        <v>-38.656666000000001</v>
      </c>
      <c r="Q57" s="11">
        <v>145.57472200000001</v>
      </c>
      <c r="R57" s="23" t="s">
        <v>588</v>
      </c>
      <c r="S57" s="23" t="s">
        <v>588</v>
      </c>
      <c r="T57" s="11">
        <v>3</v>
      </c>
      <c r="U57" s="11">
        <v>3</v>
      </c>
      <c r="V57" s="1">
        <v>43135</v>
      </c>
      <c r="W57" t="s">
        <v>223</v>
      </c>
      <c r="X57" s="11">
        <v>7</v>
      </c>
      <c r="Y57" s="11">
        <v>7</v>
      </c>
      <c r="Z57" s="11" t="s">
        <v>41</v>
      </c>
      <c r="AA57" s="13">
        <v>43169</v>
      </c>
      <c r="AB57" s="11">
        <v>10</v>
      </c>
      <c r="AC57" s="11">
        <v>3</v>
      </c>
      <c r="AD57" s="11">
        <v>2018</v>
      </c>
      <c r="AE57" s="13" t="s">
        <v>1581</v>
      </c>
      <c r="AF57" s="11" t="s">
        <v>22</v>
      </c>
      <c r="AG57" s="13">
        <v>43170</v>
      </c>
      <c r="AH57" s="11">
        <v>11</v>
      </c>
      <c r="AI57" s="11">
        <v>3</v>
      </c>
      <c r="AJ57" s="11">
        <v>2018</v>
      </c>
      <c r="AK57" s="13" t="s">
        <v>1533</v>
      </c>
      <c r="AL57" s="11" t="s">
        <v>22</v>
      </c>
      <c r="AM57" s="11" t="s">
        <v>20</v>
      </c>
      <c r="AN57" s="11" t="s">
        <v>8</v>
      </c>
      <c r="AO57" s="11" t="s">
        <v>48</v>
      </c>
      <c r="AP57" s="11" t="s">
        <v>588</v>
      </c>
      <c r="AQ57" s="11" t="s">
        <v>588</v>
      </c>
      <c r="AR57" s="11" t="s">
        <v>588</v>
      </c>
      <c r="AS57" s="11" t="s">
        <v>588</v>
      </c>
      <c r="AT57" s="11" t="s">
        <v>588</v>
      </c>
      <c r="AU57" s="7" t="s">
        <v>588</v>
      </c>
      <c r="AV57" s="11" t="s">
        <v>588</v>
      </c>
      <c r="AW57" s="11" t="s">
        <v>588</v>
      </c>
      <c r="AX57" s="11" t="s">
        <v>588</v>
      </c>
      <c r="AY57" s="11" t="s">
        <v>588</v>
      </c>
      <c r="AZ57" s="11" t="s">
        <v>588</v>
      </c>
      <c r="BA57" s="7" t="s">
        <v>588</v>
      </c>
      <c r="BB57" s="11" t="s">
        <v>588</v>
      </c>
      <c r="BC57" s="11" t="s">
        <v>588</v>
      </c>
      <c r="BD57" s="11" t="s">
        <v>588</v>
      </c>
      <c r="BE57" s="11" t="s">
        <v>588</v>
      </c>
      <c r="BF57" s="11" t="s">
        <v>588</v>
      </c>
      <c r="BG57" s="7" t="s">
        <v>588</v>
      </c>
      <c r="BH57" s="11" t="s">
        <v>588</v>
      </c>
      <c r="BI57" s="11" t="s">
        <v>588</v>
      </c>
      <c r="BJ57" s="11" t="s">
        <v>588</v>
      </c>
      <c r="BK57" s="11" t="s">
        <v>588</v>
      </c>
      <c r="BL57" s="11" t="s">
        <v>588</v>
      </c>
      <c r="BM57" s="11" t="s">
        <v>588</v>
      </c>
      <c r="BN57" s="11" t="s">
        <v>588</v>
      </c>
      <c r="BO57" s="11" t="s">
        <v>588</v>
      </c>
      <c r="BP57" s="11" t="s">
        <v>588</v>
      </c>
      <c r="BQ57" s="11" t="s">
        <v>588</v>
      </c>
      <c r="BR57" s="11" t="s">
        <v>588</v>
      </c>
      <c r="BS57" s="11" t="s">
        <v>8</v>
      </c>
      <c r="BT57" s="11" t="s">
        <v>9</v>
      </c>
      <c r="BU57" s="11" t="s">
        <v>9</v>
      </c>
      <c r="BV57" s="11" t="s">
        <v>588</v>
      </c>
      <c r="BW57" s="11" t="s">
        <v>588</v>
      </c>
      <c r="BX57" s="11" t="s">
        <v>588</v>
      </c>
      <c r="BY57" s="11" t="s">
        <v>588</v>
      </c>
      <c r="BZ57" s="11" t="s">
        <v>588</v>
      </c>
    </row>
    <row r="58" spans="1:78" x14ac:dyDescent="0.25">
      <c r="A58" s="11">
        <v>201718</v>
      </c>
      <c r="B58" s="11" t="s">
        <v>351</v>
      </c>
      <c r="C58" s="11" t="s">
        <v>351</v>
      </c>
      <c r="D58" s="11" t="s">
        <v>564</v>
      </c>
      <c r="E58" s="11" t="s">
        <v>647</v>
      </c>
      <c r="F58" s="11">
        <v>1</v>
      </c>
      <c r="G58" s="11" t="s">
        <v>1511</v>
      </c>
      <c r="H58" s="11" t="s">
        <v>1511</v>
      </c>
      <c r="I58" s="13">
        <v>43043</v>
      </c>
      <c r="J58" s="11">
        <v>4</v>
      </c>
      <c r="K58" s="11">
        <v>11</v>
      </c>
      <c r="L58" s="11">
        <v>2017</v>
      </c>
      <c r="M58" s="13" t="s">
        <v>1546</v>
      </c>
      <c r="N58" s="11" t="s">
        <v>17</v>
      </c>
      <c r="O58" s="11" t="s">
        <v>10</v>
      </c>
      <c r="P58" s="11">
        <v>-38.602739999999997</v>
      </c>
      <c r="Q58" s="11">
        <v>145.53032999999999</v>
      </c>
      <c r="R58" s="11" t="s">
        <v>588</v>
      </c>
      <c r="S58" s="11" t="s">
        <v>588</v>
      </c>
      <c r="T58" s="11">
        <v>1</v>
      </c>
      <c r="U58" s="11">
        <v>3</v>
      </c>
      <c r="V58" s="1">
        <v>43047</v>
      </c>
      <c r="W58" t="s">
        <v>223</v>
      </c>
      <c r="X58" s="11">
        <v>3</v>
      </c>
      <c r="Y58" s="11">
        <v>3</v>
      </c>
      <c r="Z58" s="11" t="s">
        <v>41</v>
      </c>
      <c r="AA58" s="13">
        <v>43046</v>
      </c>
      <c r="AB58" s="11">
        <v>7</v>
      </c>
      <c r="AC58" s="11">
        <v>11</v>
      </c>
      <c r="AD58" s="11">
        <v>2017</v>
      </c>
      <c r="AE58" s="13" t="s">
        <v>1600</v>
      </c>
      <c r="AF58" s="11" t="s">
        <v>17</v>
      </c>
      <c r="AG58" s="13">
        <v>43052</v>
      </c>
      <c r="AH58" s="11">
        <v>13</v>
      </c>
      <c r="AI58" s="11">
        <v>11</v>
      </c>
      <c r="AJ58" s="11">
        <v>2017</v>
      </c>
      <c r="AK58" s="13" t="s">
        <v>1552</v>
      </c>
      <c r="AL58" s="11" t="s">
        <v>17</v>
      </c>
      <c r="AM58" s="11" t="s">
        <v>20</v>
      </c>
      <c r="AN58" s="11" t="s">
        <v>41</v>
      </c>
      <c r="AO58" s="11" t="s">
        <v>20</v>
      </c>
      <c r="AP58" s="13" t="s">
        <v>588</v>
      </c>
      <c r="AQ58" s="11" t="s">
        <v>588</v>
      </c>
      <c r="AR58" s="11" t="s">
        <v>588</v>
      </c>
      <c r="AS58" s="11" t="s">
        <v>588</v>
      </c>
      <c r="AT58" s="11" t="s">
        <v>588</v>
      </c>
      <c r="AU58" s="11" t="s">
        <v>588</v>
      </c>
      <c r="AV58" s="11" t="s">
        <v>588</v>
      </c>
      <c r="AW58" s="11" t="s">
        <v>588</v>
      </c>
      <c r="AX58" s="11" t="s">
        <v>588</v>
      </c>
      <c r="AY58" s="11" t="s">
        <v>588</v>
      </c>
      <c r="AZ58" s="11" t="s">
        <v>588</v>
      </c>
      <c r="BA58" s="11" t="s">
        <v>588</v>
      </c>
      <c r="BB58" s="11" t="s">
        <v>588</v>
      </c>
      <c r="BC58" s="11" t="s">
        <v>588</v>
      </c>
      <c r="BD58" s="11" t="s">
        <v>588</v>
      </c>
      <c r="BE58" s="11" t="s">
        <v>588</v>
      </c>
      <c r="BF58" s="11" t="s">
        <v>588</v>
      </c>
      <c r="BG58" s="11" t="s">
        <v>588</v>
      </c>
      <c r="BH58" s="11" t="s">
        <v>588</v>
      </c>
      <c r="BI58" s="11" t="s">
        <v>588</v>
      </c>
      <c r="BJ58" s="11" t="s">
        <v>588</v>
      </c>
      <c r="BK58" s="11" t="s">
        <v>588</v>
      </c>
      <c r="BL58" s="11" t="s">
        <v>588</v>
      </c>
      <c r="BM58" s="11" t="s">
        <v>588</v>
      </c>
      <c r="BN58" s="11" t="s">
        <v>588</v>
      </c>
      <c r="BO58" s="11" t="s">
        <v>588</v>
      </c>
      <c r="BP58" s="11" t="s">
        <v>588</v>
      </c>
      <c r="BQ58" s="11" t="s">
        <v>588</v>
      </c>
      <c r="BR58" s="11" t="s">
        <v>588</v>
      </c>
      <c r="BS58" s="11" t="s">
        <v>41</v>
      </c>
      <c r="BT58" s="11" t="s">
        <v>42</v>
      </c>
      <c r="BU58" s="11" t="s">
        <v>42</v>
      </c>
      <c r="BV58" s="11" t="s">
        <v>588</v>
      </c>
      <c r="BW58" s="11" t="s">
        <v>588</v>
      </c>
      <c r="BX58" s="11" t="s">
        <v>588</v>
      </c>
      <c r="BY58" s="11" t="s">
        <v>588</v>
      </c>
      <c r="BZ58" s="11" t="s">
        <v>588</v>
      </c>
    </row>
    <row r="59" spans="1:78" x14ac:dyDescent="0.25">
      <c r="A59" s="11">
        <v>201718</v>
      </c>
      <c r="B59" s="11" t="s">
        <v>351</v>
      </c>
      <c r="C59" s="11" t="s">
        <v>351</v>
      </c>
      <c r="D59" s="11" t="s">
        <v>564</v>
      </c>
      <c r="E59" s="11" t="s">
        <v>647</v>
      </c>
      <c r="F59" s="11">
        <v>2</v>
      </c>
      <c r="G59" s="11" t="s">
        <v>1512</v>
      </c>
      <c r="H59" s="11" t="s">
        <v>1512</v>
      </c>
      <c r="I59" s="13">
        <v>43087</v>
      </c>
      <c r="J59" s="11">
        <v>18</v>
      </c>
      <c r="K59" s="11">
        <v>12</v>
      </c>
      <c r="L59" s="11">
        <v>2017</v>
      </c>
      <c r="M59" s="13" t="s">
        <v>1526</v>
      </c>
      <c r="N59" s="11" t="s">
        <v>7</v>
      </c>
      <c r="O59" s="11" t="s">
        <v>10</v>
      </c>
      <c r="P59" s="11">
        <v>-38.602600000000002</v>
      </c>
      <c r="Q59" s="11">
        <v>145.53018</v>
      </c>
      <c r="R59" s="11" t="s">
        <v>588</v>
      </c>
      <c r="S59" s="11" t="s">
        <v>588</v>
      </c>
      <c r="T59" s="11">
        <v>3</v>
      </c>
      <c r="U59" s="11">
        <v>3</v>
      </c>
      <c r="V59" t="s">
        <v>588</v>
      </c>
      <c r="W59" t="s">
        <v>588</v>
      </c>
      <c r="X59" s="11">
        <v>2</v>
      </c>
      <c r="Y59" s="11">
        <v>2</v>
      </c>
      <c r="Z59" s="11" t="s">
        <v>41</v>
      </c>
      <c r="AA59" s="13">
        <v>43087</v>
      </c>
      <c r="AB59" s="11">
        <v>18</v>
      </c>
      <c r="AC59" s="11">
        <v>12</v>
      </c>
      <c r="AD59" s="11">
        <v>2017</v>
      </c>
      <c r="AE59" s="13" t="s">
        <v>1526</v>
      </c>
      <c r="AF59" s="11" t="s">
        <v>7</v>
      </c>
      <c r="AG59" s="13">
        <v>43098</v>
      </c>
      <c r="AH59" s="11">
        <v>29</v>
      </c>
      <c r="AI59" s="11">
        <v>12</v>
      </c>
      <c r="AJ59" s="11">
        <v>2017</v>
      </c>
      <c r="AK59" s="13" t="s">
        <v>1525</v>
      </c>
      <c r="AL59" s="11" t="s">
        <v>7</v>
      </c>
      <c r="AM59" s="11" t="s">
        <v>20</v>
      </c>
      <c r="AN59" s="11" t="s">
        <v>8</v>
      </c>
      <c r="AO59" s="11" t="s">
        <v>11</v>
      </c>
      <c r="AP59" s="13" t="s">
        <v>588</v>
      </c>
      <c r="AQ59" s="11" t="s">
        <v>588</v>
      </c>
      <c r="AR59" s="11" t="s">
        <v>588</v>
      </c>
      <c r="AS59" s="11" t="s">
        <v>588</v>
      </c>
      <c r="AT59" s="11" t="s">
        <v>588</v>
      </c>
      <c r="AU59" s="13" t="s">
        <v>588</v>
      </c>
      <c r="AV59" s="13" t="s">
        <v>588</v>
      </c>
      <c r="AW59" s="11" t="s">
        <v>588</v>
      </c>
      <c r="AX59" s="11" t="s">
        <v>588</v>
      </c>
      <c r="AY59" s="11" t="s">
        <v>588</v>
      </c>
      <c r="AZ59" s="11" t="s">
        <v>588</v>
      </c>
      <c r="BA59" s="11" t="s">
        <v>588</v>
      </c>
      <c r="BB59" s="11" t="s">
        <v>588</v>
      </c>
      <c r="BC59" s="11" t="s">
        <v>588</v>
      </c>
      <c r="BD59" s="11" t="s">
        <v>588</v>
      </c>
      <c r="BE59" s="11" t="s">
        <v>588</v>
      </c>
      <c r="BF59" s="11" t="s">
        <v>588</v>
      </c>
      <c r="BG59" s="11" t="s">
        <v>588</v>
      </c>
      <c r="BH59" s="11" t="s">
        <v>588</v>
      </c>
      <c r="BI59" s="11" t="s">
        <v>588</v>
      </c>
      <c r="BJ59" s="11" t="s">
        <v>588</v>
      </c>
      <c r="BK59" s="11" t="s">
        <v>588</v>
      </c>
      <c r="BL59" s="11" t="s">
        <v>588</v>
      </c>
      <c r="BM59" s="11" t="s">
        <v>588</v>
      </c>
      <c r="BN59" s="11" t="s">
        <v>588</v>
      </c>
      <c r="BO59" s="11" t="s">
        <v>588</v>
      </c>
      <c r="BP59" s="11" t="s">
        <v>588</v>
      </c>
      <c r="BQ59" s="11" t="s">
        <v>588</v>
      </c>
      <c r="BR59" s="11" t="s">
        <v>588</v>
      </c>
      <c r="BS59" s="11" t="s">
        <v>41</v>
      </c>
      <c r="BT59" s="11" t="s">
        <v>42</v>
      </c>
      <c r="BU59" s="11" t="s">
        <v>42</v>
      </c>
      <c r="BV59" s="11" t="s">
        <v>588</v>
      </c>
      <c r="BW59" s="11" t="s">
        <v>588</v>
      </c>
      <c r="BX59" s="11" t="s">
        <v>588</v>
      </c>
      <c r="BY59" s="11" t="s">
        <v>588</v>
      </c>
      <c r="BZ59" s="11" t="s">
        <v>588</v>
      </c>
    </row>
    <row r="60" spans="1:78" x14ac:dyDescent="0.25">
      <c r="A60" s="11">
        <v>201718</v>
      </c>
      <c r="B60" s="11" t="s">
        <v>351</v>
      </c>
      <c r="C60" s="11" t="s">
        <v>351</v>
      </c>
      <c r="D60" s="11" t="s">
        <v>564</v>
      </c>
      <c r="E60" s="11" t="s">
        <v>647</v>
      </c>
      <c r="F60" s="11">
        <v>3</v>
      </c>
      <c r="G60" s="11" t="s">
        <v>1513</v>
      </c>
      <c r="H60" s="11" t="s">
        <v>1513</v>
      </c>
      <c r="I60" s="13">
        <v>43098</v>
      </c>
      <c r="J60" s="11">
        <v>29</v>
      </c>
      <c r="K60" s="11">
        <v>12</v>
      </c>
      <c r="L60" s="11">
        <v>2017</v>
      </c>
      <c r="M60" s="13" t="s">
        <v>1525</v>
      </c>
      <c r="N60" s="11" t="s">
        <v>7</v>
      </c>
      <c r="O60" s="11" t="s">
        <v>10</v>
      </c>
      <c r="P60" s="11">
        <v>-38.602760000000004</v>
      </c>
      <c r="Q60" s="11">
        <v>145.53030000000001</v>
      </c>
      <c r="R60" s="11" t="s">
        <v>588</v>
      </c>
      <c r="S60" s="11" t="s">
        <v>588</v>
      </c>
      <c r="T60" s="11">
        <v>1</v>
      </c>
      <c r="U60" s="11">
        <v>3</v>
      </c>
      <c r="V60" t="s">
        <v>588</v>
      </c>
      <c r="W60" t="s">
        <v>588</v>
      </c>
      <c r="X60" s="11">
        <v>2</v>
      </c>
      <c r="Y60" s="11">
        <v>2</v>
      </c>
      <c r="Z60" s="11" t="s">
        <v>41</v>
      </c>
      <c r="AA60" s="13">
        <v>43098</v>
      </c>
      <c r="AB60" s="11">
        <v>29</v>
      </c>
      <c r="AC60" s="11">
        <v>12</v>
      </c>
      <c r="AD60" s="11">
        <v>2017</v>
      </c>
      <c r="AE60" s="13" t="s">
        <v>1525</v>
      </c>
      <c r="AF60" s="11" t="s">
        <v>7</v>
      </c>
      <c r="AG60" s="13">
        <v>43105</v>
      </c>
      <c r="AH60" s="11">
        <v>5</v>
      </c>
      <c r="AI60" s="11">
        <v>1</v>
      </c>
      <c r="AJ60" s="11">
        <v>2018</v>
      </c>
      <c r="AK60" s="13" t="s">
        <v>1544</v>
      </c>
      <c r="AL60" s="11" t="s">
        <v>12</v>
      </c>
      <c r="AM60" s="11" t="s">
        <v>20</v>
      </c>
      <c r="AN60" s="11" t="s">
        <v>41</v>
      </c>
      <c r="AO60" s="11" t="s">
        <v>20</v>
      </c>
      <c r="AP60" s="13" t="s">
        <v>588</v>
      </c>
      <c r="AQ60" s="11" t="s">
        <v>588</v>
      </c>
      <c r="AR60" s="11" t="s">
        <v>588</v>
      </c>
      <c r="AS60" s="11" t="s">
        <v>588</v>
      </c>
      <c r="AT60" s="11" t="s">
        <v>588</v>
      </c>
      <c r="AU60" s="11" t="s">
        <v>588</v>
      </c>
      <c r="AV60" s="11" t="s">
        <v>588</v>
      </c>
      <c r="AW60" s="11" t="s">
        <v>588</v>
      </c>
      <c r="AX60" s="11" t="s">
        <v>588</v>
      </c>
      <c r="AY60" s="11" t="s">
        <v>588</v>
      </c>
      <c r="AZ60" s="11" t="s">
        <v>588</v>
      </c>
      <c r="BA60" s="11" t="s">
        <v>588</v>
      </c>
      <c r="BB60" s="11" t="s">
        <v>588</v>
      </c>
      <c r="BC60" s="11" t="s">
        <v>588</v>
      </c>
      <c r="BD60" s="11" t="s">
        <v>588</v>
      </c>
      <c r="BE60" s="11" t="s">
        <v>588</v>
      </c>
      <c r="BF60" s="11" t="s">
        <v>588</v>
      </c>
      <c r="BG60" s="11" t="s">
        <v>588</v>
      </c>
      <c r="BH60" s="11" t="s">
        <v>588</v>
      </c>
      <c r="BI60" s="11" t="s">
        <v>588</v>
      </c>
      <c r="BJ60" s="11" t="s">
        <v>588</v>
      </c>
      <c r="BK60" s="11" t="s">
        <v>588</v>
      </c>
      <c r="BL60" s="11" t="s">
        <v>588</v>
      </c>
      <c r="BM60" s="11" t="s">
        <v>588</v>
      </c>
      <c r="BN60" s="11" t="s">
        <v>588</v>
      </c>
      <c r="BO60" s="11" t="s">
        <v>588</v>
      </c>
      <c r="BP60" s="11" t="s">
        <v>588</v>
      </c>
      <c r="BQ60" s="11" t="s">
        <v>588</v>
      </c>
      <c r="BR60" s="11" t="s">
        <v>588</v>
      </c>
      <c r="BS60" s="11" t="s">
        <v>8</v>
      </c>
      <c r="BT60" s="11" t="s">
        <v>13</v>
      </c>
      <c r="BU60" s="11" t="s">
        <v>13</v>
      </c>
      <c r="BV60" s="11" t="s">
        <v>588</v>
      </c>
      <c r="BW60" s="11" t="s">
        <v>588</v>
      </c>
      <c r="BX60" s="11" t="s">
        <v>588</v>
      </c>
      <c r="BY60" s="11" t="s">
        <v>588</v>
      </c>
      <c r="BZ60" s="11" t="s">
        <v>588</v>
      </c>
    </row>
    <row r="61" spans="1:78" x14ac:dyDescent="0.25">
      <c r="A61" s="11">
        <v>201718</v>
      </c>
      <c r="B61" s="11" t="s">
        <v>351</v>
      </c>
      <c r="C61" s="11" t="s">
        <v>351</v>
      </c>
      <c r="D61" s="11" t="s">
        <v>564</v>
      </c>
      <c r="E61" s="11" t="s">
        <v>647</v>
      </c>
      <c r="F61" s="11">
        <v>4</v>
      </c>
      <c r="G61" s="11" t="s">
        <v>1514</v>
      </c>
      <c r="H61" s="11" t="s">
        <v>1514</v>
      </c>
      <c r="I61" s="13">
        <v>43105</v>
      </c>
      <c r="J61" s="11">
        <v>5</v>
      </c>
      <c r="K61" s="11">
        <v>1</v>
      </c>
      <c r="L61" s="11">
        <v>2018</v>
      </c>
      <c r="M61" s="13" t="s">
        <v>1544</v>
      </c>
      <c r="N61" s="11" t="s">
        <v>12</v>
      </c>
      <c r="O61" s="11" t="s">
        <v>10</v>
      </c>
      <c r="P61" s="11">
        <v>-38.60219</v>
      </c>
      <c r="Q61" s="11">
        <v>145.52986999999999</v>
      </c>
      <c r="R61" s="11" t="s">
        <v>588</v>
      </c>
      <c r="S61" s="11" t="s">
        <v>588</v>
      </c>
      <c r="T61" s="11">
        <v>1</v>
      </c>
      <c r="U61" s="11">
        <v>3</v>
      </c>
      <c r="V61" t="s">
        <v>588</v>
      </c>
      <c r="W61" t="s">
        <v>588</v>
      </c>
      <c r="X61" s="11">
        <v>2</v>
      </c>
      <c r="Y61" s="11">
        <v>2</v>
      </c>
      <c r="Z61" s="11" t="s">
        <v>41</v>
      </c>
      <c r="AA61" s="13">
        <v>43105</v>
      </c>
      <c r="AB61" s="11">
        <v>5</v>
      </c>
      <c r="AC61" s="11">
        <v>1</v>
      </c>
      <c r="AD61" s="11">
        <v>2018</v>
      </c>
      <c r="AE61" s="13" t="s">
        <v>1544</v>
      </c>
      <c r="AF61" s="11" t="s">
        <v>12</v>
      </c>
      <c r="AG61" s="13">
        <v>43133</v>
      </c>
      <c r="AH61" s="11">
        <v>2</v>
      </c>
      <c r="AI61" s="11">
        <v>2</v>
      </c>
      <c r="AJ61" s="11">
        <v>2018</v>
      </c>
      <c r="AK61" s="13" t="s">
        <v>1540</v>
      </c>
      <c r="AL61" s="11" t="s">
        <v>21</v>
      </c>
      <c r="AM61" s="11" t="s">
        <v>20</v>
      </c>
      <c r="AN61" s="11" t="s">
        <v>8</v>
      </c>
      <c r="AO61" s="11" t="s">
        <v>11</v>
      </c>
      <c r="AP61" s="13" t="s">
        <v>588</v>
      </c>
      <c r="AQ61" s="11" t="s">
        <v>588</v>
      </c>
      <c r="AR61" s="11" t="s">
        <v>588</v>
      </c>
      <c r="AS61" s="11" t="s">
        <v>588</v>
      </c>
      <c r="AT61" s="11" t="s">
        <v>588</v>
      </c>
      <c r="AU61" s="13" t="s">
        <v>588</v>
      </c>
      <c r="AV61" s="13" t="s">
        <v>588</v>
      </c>
      <c r="AW61" s="11" t="s">
        <v>588</v>
      </c>
      <c r="AX61" s="11" t="s">
        <v>588</v>
      </c>
      <c r="AY61" s="11" t="s">
        <v>588</v>
      </c>
      <c r="AZ61" s="11" t="s">
        <v>588</v>
      </c>
      <c r="BA61" s="11" t="s">
        <v>588</v>
      </c>
      <c r="BB61" s="11" t="s">
        <v>588</v>
      </c>
      <c r="BC61" s="11" t="s">
        <v>588</v>
      </c>
      <c r="BD61" s="11" t="s">
        <v>588</v>
      </c>
      <c r="BE61" s="11" t="s">
        <v>588</v>
      </c>
      <c r="BF61" s="11" t="s">
        <v>588</v>
      </c>
      <c r="BG61" s="11" t="s">
        <v>588</v>
      </c>
      <c r="BH61" s="11" t="s">
        <v>588</v>
      </c>
      <c r="BI61" s="11" t="s">
        <v>588</v>
      </c>
      <c r="BJ61" s="11" t="s">
        <v>588</v>
      </c>
      <c r="BK61" s="11" t="s">
        <v>588</v>
      </c>
      <c r="BL61" s="11" t="s">
        <v>588</v>
      </c>
      <c r="BM61" s="11" t="s">
        <v>588</v>
      </c>
      <c r="BN61" s="11" t="s">
        <v>588</v>
      </c>
      <c r="BO61" s="11" t="s">
        <v>588</v>
      </c>
      <c r="BP61" s="11" t="s">
        <v>588</v>
      </c>
      <c r="BQ61" s="11" t="s">
        <v>588</v>
      </c>
      <c r="BR61" s="11" t="s">
        <v>588</v>
      </c>
      <c r="BS61" s="11" t="s">
        <v>41</v>
      </c>
      <c r="BT61" s="11" t="s">
        <v>42</v>
      </c>
      <c r="BU61" s="11" t="s">
        <v>42</v>
      </c>
      <c r="BV61" s="11" t="s">
        <v>588</v>
      </c>
      <c r="BW61" s="11" t="s">
        <v>588</v>
      </c>
      <c r="BX61" s="11" t="s">
        <v>588</v>
      </c>
      <c r="BY61" s="11" t="s">
        <v>588</v>
      </c>
      <c r="BZ61" s="11" t="s">
        <v>588</v>
      </c>
    </row>
    <row r="62" spans="1:78" x14ac:dyDescent="0.25">
      <c r="A62" s="11">
        <v>201718</v>
      </c>
      <c r="B62" s="11" t="s">
        <v>359</v>
      </c>
      <c r="C62" s="11" t="s">
        <v>359</v>
      </c>
      <c r="D62" s="11" t="s">
        <v>440</v>
      </c>
      <c r="E62" s="11" t="s">
        <v>360</v>
      </c>
      <c r="F62" s="11">
        <v>1</v>
      </c>
      <c r="G62" s="11" t="s">
        <v>1515</v>
      </c>
      <c r="H62" s="11" t="s">
        <v>1515</v>
      </c>
      <c r="I62" s="13">
        <v>43049</v>
      </c>
      <c r="J62" s="11">
        <v>10</v>
      </c>
      <c r="K62" s="11">
        <v>11</v>
      </c>
      <c r="L62" s="11">
        <v>2017</v>
      </c>
      <c r="M62" s="13" t="s">
        <v>1548</v>
      </c>
      <c r="N62" s="11" t="s">
        <v>17</v>
      </c>
      <c r="O62" s="11" t="s">
        <v>51</v>
      </c>
      <c r="P62" s="11">
        <v>-38.591369999999998</v>
      </c>
      <c r="Q62" s="11">
        <v>145.51908</v>
      </c>
      <c r="R62" s="11" t="s">
        <v>588</v>
      </c>
      <c r="S62" s="11" t="s">
        <v>588</v>
      </c>
      <c r="T62" s="11">
        <v>3</v>
      </c>
      <c r="U62" s="11">
        <v>3</v>
      </c>
      <c r="V62" s="1">
        <v>43053</v>
      </c>
      <c r="W62" t="s">
        <v>223</v>
      </c>
      <c r="X62" s="11">
        <v>4</v>
      </c>
      <c r="Y62" s="11">
        <v>4</v>
      </c>
      <c r="Z62" s="11" t="s">
        <v>41</v>
      </c>
      <c r="AA62" s="13">
        <v>43056</v>
      </c>
      <c r="AB62" s="11">
        <v>17</v>
      </c>
      <c r="AC62" s="11">
        <v>11</v>
      </c>
      <c r="AD62" s="11">
        <v>2017</v>
      </c>
      <c r="AE62" s="13" t="s">
        <v>1593</v>
      </c>
      <c r="AF62" s="11" t="s">
        <v>17</v>
      </c>
      <c r="AG62" s="13">
        <v>43066</v>
      </c>
      <c r="AH62" s="11">
        <v>27</v>
      </c>
      <c r="AI62" s="11">
        <v>11</v>
      </c>
      <c r="AJ62" s="11">
        <v>2017</v>
      </c>
      <c r="AK62" s="13" t="s">
        <v>1553</v>
      </c>
      <c r="AL62" s="11" t="s">
        <v>17</v>
      </c>
      <c r="AM62" s="11" t="s">
        <v>20</v>
      </c>
      <c r="AN62" s="11" t="s">
        <v>8</v>
      </c>
      <c r="AO62" s="11" t="s">
        <v>11</v>
      </c>
      <c r="AP62" s="13" t="s">
        <v>588</v>
      </c>
      <c r="AQ62" s="11" t="s">
        <v>588</v>
      </c>
      <c r="AR62" s="11" t="s">
        <v>588</v>
      </c>
      <c r="AS62" s="11" t="s">
        <v>588</v>
      </c>
      <c r="AT62" s="11" t="s">
        <v>588</v>
      </c>
      <c r="AU62" s="11" t="s">
        <v>588</v>
      </c>
      <c r="AV62" s="11" t="s">
        <v>588</v>
      </c>
      <c r="AW62" s="11" t="s">
        <v>588</v>
      </c>
      <c r="AX62" s="11" t="s">
        <v>588</v>
      </c>
      <c r="AY62" s="11" t="s">
        <v>588</v>
      </c>
      <c r="AZ62" s="11" t="s">
        <v>588</v>
      </c>
      <c r="BA62" s="11" t="s">
        <v>588</v>
      </c>
      <c r="BB62" s="11" t="s">
        <v>588</v>
      </c>
      <c r="BC62" s="11" t="s">
        <v>588</v>
      </c>
      <c r="BD62" s="11" t="s">
        <v>588</v>
      </c>
      <c r="BE62" s="11" t="s">
        <v>588</v>
      </c>
      <c r="BF62" s="11" t="s">
        <v>588</v>
      </c>
      <c r="BG62" s="11" t="s">
        <v>588</v>
      </c>
      <c r="BH62" s="11" t="s">
        <v>588</v>
      </c>
      <c r="BI62" s="11" t="s">
        <v>588</v>
      </c>
      <c r="BJ62" s="11" t="s">
        <v>588</v>
      </c>
      <c r="BK62" s="11" t="s">
        <v>588</v>
      </c>
      <c r="BL62" s="11" t="s">
        <v>588</v>
      </c>
      <c r="BM62" s="11" t="s">
        <v>588</v>
      </c>
      <c r="BN62" s="11" t="s">
        <v>588</v>
      </c>
      <c r="BO62" s="11" t="s">
        <v>588</v>
      </c>
      <c r="BP62" s="11" t="s">
        <v>588</v>
      </c>
      <c r="BQ62" s="11" t="s">
        <v>588</v>
      </c>
      <c r="BR62" s="11" t="s">
        <v>588</v>
      </c>
      <c r="BS62" s="11" t="s">
        <v>8</v>
      </c>
      <c r="BT62" s="11" t="s">
        <v>13</v>
      </c>
      <c r="BU62" s="11" t="s">
        <v>13</v>
      </c>
      <c r="BV62" s="11" t="s">
        <v>588</v>
      </c>
      <c r="BW62" s="11" t="s">
        <v>588</v>
      </c>
      <c r="BX62" s="11" t="s">
        <v>588</v>
      </c>
      <c r="BY62" s="11" t="s">
        <v>588</v>
      </c>
      <c r="BZ62" s="11" t="s">
        <v>588</v>
      </c>
    </row>
    <row r="63" spans="1:78" x14ac:dyDescent="0.25">
      <c r="A63" s="11">
        <v>201718</v>
      </c>
      <c r="B63" s="11" t="s">
        <v>359</v>
      </c>
      <c r="C63" s="11" t="s">
        <v>359</v>
      </c>
      <c r="D63" s="11" t="s">
        <v>440</v>
      </c>
      <c r="E63" s="11" t="s">
        <v>360</v>
      </c>
      <c r="F63" s="11">
        <v>2</v>
      </c>
      <c r="G63" s="11" t="s">
        <v>1516</v>
      </c>
      <c r="H63" s="11" t="s">
        <v>1516</v>
      </c>
      <c r="I63" s="13">
        <v>43077</v>
      </c>
      <c r="J63" s="11">
        <v>8</v>
      </c>
      <c r="K63" s="11">
        <v>12</v>
      </c>
      <c r="L63" s="11">
        <v>2017</v>
      </c>
      <c r="M63" s="13" t="s">
        <v>1543</v>
      </c>
      <c r="N63" s="11" t="s">
        <v>7</v>
      </c>
      <c r="O63" s="11" t="s">
        <v>10</v>
      </c>
      <c r="P63" s="11">
        <v>-38.59064</v>
      </c>
      <c r="Q63" s="11">
        <v>145.51835</v>
      </c>
      <c r="R63" s="11" t="s">
        <v>588</v>
      </c>
      <c r="S63" s="11" t="s">
        <v>588</v>
      </c>
      <c r="T63" s="11">
        <v>3</v>
      </c>
      <c r="U63" s="11">
        <v>3</v>
      </c>
      <c r="V63" t="s">
        <v>588</v>
      </c>
      <c r="W63" t="s">
        <v>588</v>
      </c>
      <c r="X63" s="11">
        <v>2</v>
      </c>
      <c r="Y63" s="11">
        <v>2</v>
      </c>
      <c r="Z63" s="11" t="s">
        <v>41</v>
      </c>
      <c r="AA63" s="13">
        <v>43077</v>
      </c>
      <c r="AB63" s="11">
        <v>8</v>
      </c>
      <c r="AC63" s="11">
        <v>12</v>
      </c>
      <c r="AD63" s="11">
        <v>2017</v>
      </c>
      <c r="AE63" s="13" t="s">
        <v>1543</v>
      </c>
      <c r="AF63" s="11" t="s">
        <v>7</v>
      </c>
      <c r="AG63" s="13">
        <v>43091</v>
      </c>
      <c r="AH63" s="11">
        <v>22</v>
      </c>
      <c r="AI63" s="11">
        <v>12</v>
      </c>
      <c r="AJ63" s="11">
        <v>2017</v>
      </c>
      <c r="AK63" s="13" t="s">
        <v>1549</v>
      </c>
      <c r="AL63" s="11" t="s">
        <v>7</v>
      </c>
      <c r="AM63" s="11" t="s">
        <v>20</v>
      </c>
      <c r="AN63" s="11" t="s">
        <v>41</v>
      </c>
      <c r="AO63" s="11" t="s">
        <v>20</v>
      </c>
      <c r="AP63" s="13" t="s">
        <v>588</v>
      </c>
      <c r="AQ63" s="11" t="s">
        <v>588</v>
      </c>
      <c r="AR63" s="11" t="s">
        <v>588</v>
      </c>
      <c r="AS63" s="11" t="s">
        <v>588</v>
      </c>
      <c r="AT63" s="11" t="s">
        <v>588</v>
      </c>
      <c r="AU63" s="13" t="s">
        <v>588</v>
      </c>
      <c r="AV63" s="13" t="s">
        <v>588</v>
      </c>
      <c r="AW63" s="11" t="s">
        <v>588</v>
      </c>
      <c r="AX63" s="11" t="s">
        <v>588</v>
      </c>
      <c r="AY63" s="11" t="s">
        <v>588</v>
      </c>
      <c r="AZ63" s="11" t="s">
        <v>588</v>
      </c>
      <c r="BA63" s="11" t="s">
        <v>588</v>
      </c>
      <c r="BB63" s="11" t="s">
        <v>588</v>
      </c>
      <c r="BC63" s="11" t="s">
        <v>588</v>
      </c>
      <c r="BD63" s="11" t="s">
        <v>588</v>
      </c>
      <c r="BE63" s="11" t="s">
        <v>588</v>
      </c>
      <c r="BF63" s="11" t="s">
        <v>588</v>
      </c>
      <c r="BG63" s="11" t="s">
        <v>588</v>
      </c>
      <c r="BH63" s="11" t="s">
        <v>588</v>
      </c>
      <c r="BI63" s="11" t="s">
        <v>588</v>
      </c>
      <c r="BJ63" s="11" t="s">
        <v>588</v>
      </c>
      <c r="BK63" s="11" t="s">
        <v>588</v>
      </c>
      <c r="BL63" s="11" t="s">
        <v>588</v>
      </c>
      <c r="BM63" s="11" t="s">
        <v>588</v>
      </c>
      <c r="BN63" s="11" t="s">
        <v>588</v>
      </c>
      <c r="BO63" s="11" t="s">
        <v>588</v>
      </c>
      <c r="BP63" s="11" t="s">
        <v>588</v>
      </c>
      <c r="BQ63" s="11" t="s">
        <v>588</v>
      </c>
      <c r="BR63" s="11" t="s">
        <v>588</v>
      </c>
      <c r="BS63" s="11" t="s">
        <v>8</v>
      </c>
      <c r="BT63" s="11" t="s">
        <v>13</v>
      </c>
      <c r="BU63" s="11" t="s">
        <v>13</v>
      </c>
      <c r="BV63" s="11" t="s">
        <v>588</v>
      </c>
      <c r="BW63" s="11" t="s">
        <v>588</v>
      </c>
      <c r="BX63" s="11" t="s">
        <v>588</v>
      </c>
      <c r="BY63" s="11" t="s">
        <v>588</v>
      </c>
      <c r="BZ63" s="11" t="s">
        <v>588</v>
      </c>
    </row>
    <row r="64" spans="1:78" x14ac:dyDescent="0.25">
      <c r="A64" s="11">
        <v>201718</v>
      </c>
      <c r="B64" s="11" t="s">
        <v>359</v>
      </c>
      <c r="C64" s="11" t="s">
        <v>359</v>
      </c>
      <c r="D64" s="11" t="s">
        <v>440</v>
      </c>
      <c r="E64" s="11" t="s">
        <v>360</v>
      </c>
      <c r="F64" s="11">
        <v>3</v>
      </c>
      <c r="G64" s="11" t="s">
        <v>1517</v>
      </c>
      <c r="H64" s="11" t="s">
        <v>1517</v>
      </c>
      <c r="I64" s="13">
        <v>43091</v>
      </c>
      <c r="J64" s="11">
        <v>22</v>
      </c>
      <c r="K64" s="11">
        <v>12</v>
      </c>
      <c r="L64" s="11">
        <v>2017</v>
      </c>
      <c r="M64" s="13" t="s">
        <v>1549</v>
      </c>
      <c r="N64" s="11" t="s">
        <v>7</v>
      </c>
      <c r="O64" s="11" t="s">
        <v>51</v>
      </c>
      <c r="P64" s="11">
        <v>-38.590940000000003</v>
      </c>
      <c r="Q64" s="11">
        <v>145.51859999999999</v>
      </c>
      <c r="R64" s="11" t="s">
        <v>588</v>
      </c>
      <c r="S64" s="11" t="s">
        <v>588</v>
      </c>
      <c r="T64" s="11">
        <v>2</v>
      </c>
      <c r="U64" s="11">
        <v>3</v>
      </c>
      <c r="V64" t="s">
        <v>588</v>
      </c>
      <c r="W64" t="s">
        <v>588</v>
      </c>
      <c r="X64" s="11">
        <v>3</v>
      </c>
      <c r="Y64" s="11">
        <v>3</v>
      </c>
      <c r="Z64" s="11" t="s">
        <v>41</v>
      </c>
      <c r="AA64" s="13">
        <v>43105</v>
      </c>
      <c r="AB64" s="11">
        <v>5</v>
      </c>
      <c r="AC64" s="11">
        <v>1</v>
      </c>
      <c r="AD64" s="11">
        <v>2018</v>
      </c>
      <c r="AE64" s="13" t="s">
        <v>1544</v>
      </c>
      <c r="AF64" s="11" t="s">
        <v>12</v>
      </c>
      <c r="AG64" s="13">
        <v>43123</v>
      </c>
      <c r="AH64" s="11">
        <v>23</v>
      </c>
      <c r="AI64" s="11">
        <v>1</v>
      </c>
      <c r="AJ64" s="11">
        <v>2018</v>
      </c>
      <c r="AK64" s="13" t="s">
        <v>1554</v>
      </c>
      <c r="AL64" s="11" t="s">
        <v>12</v>
      </c>
      <c r="AM64" s="11" t="s">
        <v>20</v>
      </c>
      <c r="AN64" s="11" t="s">
        <v>41</v>
      </c>
      <c r="AO64" s="11" t="s">
        <v>20</v>
      </c>
      <c r="AP64" s="13" t="s">
        <v>588</v>
      </c>
      <c r="AQ64" s="11" t="s">
        <v>588</v>
      </c>
      <c r="AR64" s="11" t="s">
        <v>588</v>
      </c>
      <c r="AS64" s="11" t="s">
        <v>588</v>
      </c>
      <c r="AT64" s="11" t="s">
        <v>588</v>
      </c>
      <c r="AU64" s="11" t="s">
        <v>588</v>
      </c>
      <c r="AV64" s="11" t="s">
        <v>588</v>
      </c>
      <c r="AW64" s="11" t="s">
        <v>588</v>
      </c>
      <c r="AX64" s="11" t="s">
        <v>588</v>
      </c>
      <c r="AY64" s="11" t="s">
        <v>588</v>
      </c>
      <c r="AZ64" s="11" t="s">
        <v>588</v>
      </c>
      <c r="BA64" s="11" t="s">
        <v>588</v>
      </c>
      <c r="BB64" s="11" t="s">
        <v>588</v>
      </c>
      <c r="BC64" s="11" t="s">
        <v>588</v>
      </c>
      <c r="BD64" s="11" t="s">
        <v>588</v>
      </c>
      <c r="BE64" s="11" t="s">
        <v>588</v>
      </c>
      <c r="BF64" s="11" t="s">
        <v>588</v>
      </c>
      <c r="BG64" s="11" t="s">
        <v>588</v>
      </c>
      <c r="BH64" s="11" t="s">
        <v>588</v>
      </c>
      <c r="BI64" s="11" t="s">
        <v>588</v>
      </c>
      <c r="BJ64" s="11" t="s">
        <v>588</v>
      </c>
      <c r="BK64" s="11" t="s">
        <v>588</v>
      </c>
      <c r="BL64" s="11" t="s">
        <v>588</v>
      </c>
      <c r="BM64" s="11" t="s">
        <v>588</v>
      </c>
      <c r="BN64" s="11" t="s">
        <v>588</v>
      </c>
      <c r="BO64" s="11" t="s">
        <v>588</v>
      </c>
      <c r="BP64" s="11" t="s">
        <v>588</v>
      </c>
      <c r="BQ64" s="11" t="s">
        <v>588</v>
      </c>
      <c r="BR64" s="11" t="s">
        <v>588</v>
      </c>
      <c r="BS64" s="11" t="s">
        <v>8</v>
      </c>
      <c r="BT64" s="11" t="s">
        <v>13</v>
      </c>
      <c r="BU64" s="11" t="s">
        <v>13</v>
      </c>
      <c r="BV64" s="11" t="s">
        <v>588</v>
      </c>
      <c r="BW64" s="11" t="s">
        <v>588</v>
      </c>
      <c r="BX64" s="11" t="s">
        <v>588</v>
      </c>
      <c r="BY64" s="11" t="s">
        <v>588</v>
      </c>
      <c r="BZ64" s="11" t="s">
        <v>588</v>
      </c>
    </row>
    <row r="65" spans="1:78" x14ac:dyDescent="0.25">
      <c r="A65" s="11">
        <v>201718</v>
      </c>
      <c r="B65" s="11" t="s">
        <v>359</v>
      </c>
      <c r="C65" s="11" t="s">
        <v>359</v>
      </c>
      <c r="D65" s="11" t="s">
        <v>440</v>
      </c>
      <c r="E65" s="11" t="s">
        <v>360</v>
      </c>
      <c r="F65" s="11">
        <v>4</v>
      </c>
      <c r="G65" s="11" t="s">
        <v>1518</v>
      </c>
      <c r="H65" s="11" t="s">
        <v>1518</v>
      </c>
      <c r="I65" s="13">
        <v>43133</v>
      </c>
      <c r="J65" s="11">
        <v>2</v>
      </c>
      <c r="K65" s="11">
        <v>2</v>
      </c>
      <c r="L65" s="11">
        <v>2018</v>
      </c>
      <c r="M65" s="13" t="s">
        <v>1540</v>
      </c>
      <c r="N65" s="11" t="s">
        <v>21</v>
      </c>
      <c r="O65" s="11" t="s">
        <v>10</v>
      </c>
      <c r="P65" s="11">
        <v>-38.591290000000001</v>
      </c>
      <c r="Q65" s="11">
        <v>145.51895999999999</v>
      </c>
      <c r="R65" s="11" t="s">
        <v>588</v>
      </c>
      <c r="S65" s="11" t="s">
        <v>588</v>
      </c>
      <c r="T65" s="11">
        <v>3</v>
      </c>
      <c r="U65" s="11">
        <v>3</v>
      </c>
      <c r="V65" t="s">
        <v>588</v>
      </c>
      <c r="W65" t="s">
        <v>588</v>
      </c>
      <c r="X65" s="11">
        <v>2</v>
      </c>
      <c r="Y65" s="11">
        <v>2</v>
      </c>
      <c r="Z65" s="11" t="s">
        <v>8</v>
      </c>
      <c r="AA65" s="13">
        <v>43143</v>
      </c>
      <c r="AB65" s="11">
        <v>12</v>
      </c>
      <c r="AC65" s="11">
        <v>2</v>
      </c>
      <c r="AD65" s="11">
        <v>2018</v>
      </c>
      <c r="AE65" s="13" t="s">
        <v>1538</v>
      </c>
      <c r="AF65" s="11" t="s">
        <v>21</v>
      </c>
      <c r="AG65" s="11" t="s">
        <v>588</v>
      </c>
      <c r="AH65" s="11" t="s">
        <v>588</v>
      </c>
      <c r="AI65" s="11" t="s">
        <v>588</v>
      </c>
      <c r="AJ65" s="11" t="s">
        <v>588</v>
      </c>
      <c r="AK65" s="13" t="s">
        <v>588</v>
      </c>
      <c r="AL65" s="11" t="s">
        <v>588</v>
      </c>
      <c r="AM65" s="11" t="s">
        <v>588</v>
      </c>
      <c r="AN65" s="11" t="s">
        <v>588</v>
      </c>
      <c r="AO65" s="11" t="s">
        <v>588</v>
      </c>
      <c r="AP65" s="13">
        <v>43157</v>
      </c>
      <c r="AQ65" s="11" t="s">
        <v>21</v>
      </c>
      <c r="AR65" s="11" t="s">
        <v>195</v>
      </c>
      <c r="AS65" s="11">
        <v>3</v>
      </c>
      <c r="AT65" s="11">
        <v>3</v>
      </c>
      <c r="AU65" s="13">
        <v>43175</v>
      </c>
      <c r="AV65" s="13">
        <v>43179</v>
      </c>
      <c r="AW65" s="11" t="s">
        <v>22</v>
      </c>
      <c r="AX65" s="11" t="s">
        <v>20</v>
      </c>
      <c r="AY65" s="11" t="s">
        <v>41</v>
      </c>
      <c r="AZ65" s="11" t="s">
        <v>41</v>
      </c>
      <c r="BA65" s="13">
        <v>43179</v>
      </c>
      <c r="BB65" s="13">
        <v>43186</v>
      </c>
      <c r="BC65" s="11" t="s">
        <v>22</v>
      </c>
      <c r="BD65" s="11" t="s">
        <v>20</v>
      </c>
      <c r="BE65" s="11" t="s">
        <v>41</v>
      </c>
      <c r="BF65" s="11" t="s">
        <v>41</v>
      </c>
      <c r="BG65" s="11" t="s">
        <v>588</v>
      </c>
      <c r="BH65" s="11" t="s">
        <v>588</v>
      </c>
      <c r="BI65" s="11" t="s">
        <v>588</v>
      </c>
      <c r="BJ65" s="11" t="s">
        <v>588</v>
      </c>
      <c r="BK65" s="11" t="s">
        <v>588</v>
      </c>
      <c r="BL65" s="11" t="s">
        <v>588</v>
      </c>
      <c r="BM65" s="11">
        <v>7</v>
      </c>
      <c r="BN65" s="11">
        <v>7</v>
      </c>
      <c r="BO65" s="11" t="s">
        <v>8</v>
      </c>
      <c r="BP65" s="11">
        <v>1</v>
      </c>
      <c r="BQ65" s="13">
        <v>43195</v>
      </c>
      <c r="BR65" s="11" t="s">
        <v>72</v>
      </c>
      <c r="BS65" s="11" t="s">
        <v>8</v>
      </c>
      <c r="BT65" s="11" t="s">
        <v>13</v>
      </c>
      <c r="BU65" s="11" t="s">
        <v>13</v>
      </c>
      <c r="BV65" s="11" t="s">
        <v>8</v>
      </c>
      <c r="BW65" s="11" t="s">
        <v>1444</v>
      </c>
      <c r="BX65" s="11" t="s">
        <v>1555</v>
      </c>
      <c r="BY65" s="11" t="s">
        <v>588</v>
      </c>
      <c r="BZ65" s="11" t="s">
        <v>588</v>
      </c>
    </row>
    <row r="66" spans="1:78" x14ac:dyDescent="0.25">
      <c r="A66" s="11">
        <v>201718</v>
      </c>
      <c r="B66" s="11" t="s">
        <v>365</v>
      </c>
      <c r="C66" s="11" t="s">
        <v>365</v>
      </c>
      <c r="D66" s="11" t="s">
        <v>16</v>
      </c>
      <c r="E66" s="11" t="s">
        <v>16</v>
      </c>
      <c r="F66" s="11">
        <v>1</v>
      </c>
      <c r="G66" s="11" t="s">
        <v>1519</v>
      </c>
      <c r="H66" s="11" t="s">
        <v>1519</v>
      </c>
      <c r="I66" s="13">
        <v>43056</v>
      </c>
      <c r="J66" s="11">
        <v>17</v>
      </c>
      <c r="K66" s="11">
        <v>11</v>
      </c>
      <c r="L66" s="11">
        <v>2017</v>
      </c>
      <c r="M66" s="13" t="s">
        <v>1593</v>
      </c>
      <c r="N66" s="11" t="s">
        <v>17</v>
      </c>
      <c r="O66" s="11" t="s">
        <v>10</v>
      </c>
      <c r="P66" s="11">
        <v>-38.594140000000003</v>
      </c>
      <c r="Q66" s="11">
        <v>145.52226999999999</v>
      </c>
      <c r="R66" s="11" t="s">
        <v>588</v>
      </c>
      <c r="S66" s="11" t="s">
        <v>588</v>
      </c>
      <c r="T66" s="11">
        <v>1</v>
      </c>
      <c r="U66" s="11">
        <v>3</v>
      </c>
      <c r="V66" t="s">
        <v>588</v>
      </c>
      <c r="W66" t="s">
        <v>588</v>
      </c>
      <c r="X66" s="11">
        <v>2</v>
      </c>
      <c r="Y66" s="11">
        <v>2</v>
      </c>
      <c r="Z66" s="11" t="s">
        <v>41</v>
      </c>
      <c r="AA66" s="13">
        <v>43056</v>
      </c>
      <c r="AB66" s="11">
        <v>17</v>
      </c>
      <c r="AC66" s="11">
        <v>11</v>
      </c>
      <c r="AD66" s="11">
        <v>2017</v>
      </c>
      <c r="AE66" s="13" t="s">
        <v>1593</v>
      </c>
      <c r="AF66" s="11" t="s">
        <v>17</v>
      </c>
      <c r="AG66" s="13">
        <v>43066</v>
      </c>
      <c r="AH66" s="11">
        <v>27</v>
      </c>
      <c r="AI66" s="11">
        <v>11</v>
      </c>
      <c r="AJ66" s="11">
        <v>2017</v>
      </c>
      <c r="AK66" s="13" t="s">
        <v>1553</v>
      </c>
      <c r="AL66" s="11" t="s">
        <v>17</v>
      </c>
      <c r="AM66" s="11" t="s">
        <v>20</v>
      </c>
      <c r="AN66" s="11" t="s">
        <v>41</v>
      </c>
      <c r="AO66" s="11" t="s">
        <v>20</v>
      </c>
      <c r="AP66" s="13" t="s">
        <v>588</v>
      </c>
      <c r="AQ66" s="11" t="s">
        <v>588</v>
      </c>
      <c r="AR66" s="11" t="s">
        <v>588</v>
      </c>
      <c r="AS66" s="11" t="s">
        <v>588</v>
      </c>
      <c r="AT66" s="11" t="s">
        <v>588</v>
      </c>
      <c r="AU66" s="11" t="s">
        <v>588</v>
      </c>
      <c r="AV66" s="11" t="s">
        <v>588</v>
      </c>
      <c r="AW66" s="11" t="s">
        <v>588</v>
      </c>
      <c r="AX66" s="11" t="s">
        <v>588</v>
      </c>
      <c r="AY66" s="11" t="s">
        <v>588</v>
      </c>
      <c r="AZ66" s="11" t="s">
        <v>588</v>
      </c>
      <c r="BA66" s="11" t="s">
        <v>588</v>
      </c>
      <c r="BB66" s="11" t="s">
        <v>588</v>
      </c>
      <c r="BC66" s="11" t="s">
        <v>588</v>
      </c>
      <c r="BD66" s="11" t="s">
        <v>588</v>
      </c>
      <c r="BE66" s="11" t="s">
        <v>588</v>
      </c>
      <c r="BF66" s="11" t="s">
        <v>588</v>
      </c>
      <c r="BG66" s="11" t="s">
        <v>588</v>
      </c>
      <c r="BH66" s="11" t="s">
        <v>588</v>
      </c>
      <c r="BI66" s="11" t="s">
        <v>588</v>
      </c>
      <c r="BJ66" s="11" t="s">
        <v>588</v>
      </c>
      <c r="BK66" s="11" t="s">
        <v>588</v>
      </c>
      <c r="BL66" s="11" t="s">
        <v>588</v>
      </c>
      <c r="BM66" s="11" t="s">
        <v>588</v>
      </c>
      <c r="BN66" s="11" t="s">
        <v>588</v>
      </c>
      <c r="BO66" s="11" t="s">
        <v>588</v>
      </c>
      <c r="BP66" s="11" t="s">
        <v>588</v>
      </c>
      <c r="BQ66" s="11" t="s">
        <v>588</v>
      </c>
      <c r="BR66" s="11" t="s">
        <v>588</v>
      </c>
      <c r="BS66" s="11" t="s">
        <v>8</v>
      </c>
      <c r="BT66" s="11" t="s">
        <v>52</v>
      </c>
      <c r="BU66" s="11" t="s">
        <v>52</v>
      </c>
      <c r="BV66" s="11" t="s">
        <v>588</v>
      </c>
      <c r="BW66" s="11" t="s">
        <v>588</v>
      </c>
      <c r="BX66" s="11" t="s">
        <v>588</v>
      </c>
      <c r="BY66" s="11" t="s">
        <v>588</v>
      </c>
      <c r="BZ66" s="11" t="s">
        <v>588</v>
      </c>
    </row>
    <row r="67" spans="1:78" x14ac:dyDescent="0.25">
      <c r="A67" s="11">
        <v>201718</v>
      </c>
      <c r="B67" s="11" t="s">
        <v>365</v>
      </c>
      <c r="C67" s="11" t="s">
        <v>365</v>
      </c>
      <c r="D67" s="11" t="s">
        <v>16</v>
      </c>
      <c r="E67" s="11" t="s">
        <v>16</v>
      </c>
      <c r="F67" s="11">
        <v>2</v>
      </c>
      <c r="G67" s="11" t="s">
        <v>1520</v>
      </c>
      <c r="H67" s="11" t="s">
        <v>1520</v>
      </c>
      <c r="I67" s="13">
        <v>43066</v>
      </c>
      <c r="J67" s="11">
        <v>27</v>
      </c>
      <c r="K67" s="11">
        <v>11</v>
      </c>
      <c r="L67" s="11">
        <v>2017</v>
      </c>
      <c r="M67" s="13" t="s">
        <v>1553</v>
      </c>
      <c r="N67" s="11" t="s">
        <v>17</v>
      </c>
      <c r="O67" s="11" t="s">
        <v>10</v>
      </c>
      <c r="P67" s="11">
        <v>-38.59366</v>
      </c>
      <c r="Q67" s="11">
        <v>145.52171000000001</v>
      </c>
      <c r="R67" s="11" t="s">
        <v>588</v>
      </c>
      <c r="S67" s="11" t="s">
        <v>588</v>
      </c>
      <c r="T67" s="11">
        <v>2</v>
      </c>
      <c r="U67" s="11">
        <v>3</v>
      </c>
      <c r="V67" t="s">
        <v>588</v>
      </c>
      <c r="W67" t="s">
        <v>588</v>
      </c>
      <c r="X67" s="11">
        <v>3</v>
      </c>
      <c r="Y67" s="11">
        <v>3</v>
      </c>
      <c r="Z67" s="11" t="s">
        <v>41</v>
      </c>
      <c r="AA67" s="13">
        <v>43077</v>
      </c>
      <c r="AB67" s="11">
        <v>8</v>
      </c>
      <c r="AC67" s="11">
        <v>12</v>
      </c>
      <c r="AD67" s="11">
        <v>2017</v>
      </c>
      <c r="AE67" s="13" t="s">
        <v>1543</v>
      </c>
      <c r="AF67" s="11" t="s">
        <v>7</v>
      </c>
      <c r="AG67" s="13">
        <v>43091</v>
      </c>
      <c r="AH67" s="11">
        <v>22</v>
      </c>
      <c r="AI67" s="11">
        <v>12</v>
      </c>
      <c r="AJ67" s="11">
        <v>2017</v>
      </c>
      <c r="AK67" s="13" t="s">
        <v>1549</v>
      </c>
      <c r="AL67" s="11" t="s">
        <v>7</v>
      </c>
      <c r="AM67" s="11" t="s">
        <v>20</v>
      </c>
      <c r="AN67" s="11" t="s">
        <v>41</v>
      </c>
      <c r="AO67" s="11" t="s">
        <v>20</v>
      </c>
      <c r="AP67" s="13" t="s">
        <v>588</v>
      </c>
      <c r="AQ67" s="11" t="s">
        <v>588</v>
      </c>
      <c r="AR67" s="11" t="s">
        <v>588</v>
      </c>
      <c r="AS67" s="11" t="s">
        <v>588</v>
      </c>
      <c r="AT67" s="11" t="s">
        <v>588</v>
      </c>
      <c r="AU67" s="13" t="s">
        <v>588</v>
      </c>
      <c r="AV67" s="13" t="s">
        <v>588</v>
      </c>
      <c r="AW67" s="11" t="s">
        <v>588</v>
      </c>
      <c r="AX67" s="11" t="s">
        <v>588</v>
      </c>
      <c r="AY67" s="11" t="s">
        <v>588</v>
      </c>
      <c r="AZ67" s="11" t="s">
        <v>588</v>
      </c>
      <c r="BA67" s="11" t="s">
        <v>588</v>
      </c>
      <c r="BB67" s="11" t="s">
        <v>588</v>
      </c>
      <c r="BC67" s="11" t="s">
        <v>588</v>
      </c>
      <c r="BD67" s="11" t="s">
        <v>588</v>
      </c>
      <c r="BE67" s="11" t="s">
        <v>588</v>
      </c>
      <c r="BF67" s="11" t="s">
        <v>588</v>
      </c>
      <c r="BG67" s="11" t="s">
        <v>588</v>
      </c>
      <c r="BH67" s="11" t="s">
        <v>588</v>
      </c>
      <c r="BI67" s="11" t="s">
        <v>588</v>
      </c>
      <c r="BJ67" s="11" t="s">
        <v>588</v>
      </c>
      <c r="BK67" s="11" t="s">
        <v>588</v>
      </c>
      <c r="BL67" s="11" t="s">
        <v>588</v>
      </c>
      <c r="BM67" s="11" t="s">
        <v>588</v>
      </c>
      <c r="BN67" s="11" t="s">
        <v>588</v>
      </c>
      <c r="BO67" s="11" t="s">
        <v>588</v>
      </c>
      <c r="BP67" s="11" t="s">
        <v>588</v>
      </c>
      <c r="BQ67" s="11" t="s">
        <v>588</v>
      </c>
      <c r="BR67" s="11" t="s">
        <v>588</v>
      </c>
      <c r="BS67" s="11" t="s">
        <v>8</v>
      </c>
      <c r="BT67" s="11" t="s">
        <v>52</v>
      </c>
      <c r="BU67" s="11" t="s">
        <v>52</v>
      </c>
      <c r="BV67" s="11" t="s">
        <v>588</v>
      </c>
      <c r="BW67" s="11" t="s">
        <v>588</v>
      </c>
      <c r="BX67" s="11" t="s">
        <v>588</v>
      </c>
      <c r="BY67" s="11" t="s">
        <v>588</v>
      </c>
      <c r="BZ67" s="11" t="s">
        <v>588</v>
      </c>
    </row>
    <row r="68" spans="1:78" x14ac:dyDescent="0.25">
      <c r="A68" s="11">
        <v>201718</v>
      </c>
      <c r="B68" s="11" t="s">
        <v>365</v>
      </c>
      <c r="C68" s="11" t="s">
        <v>365</v>
      </c>
      <c r="D68" s="11" t="s">
        <v>16</v>
      </c>
      <c r="E68" s="11" t="s">
        <v>16</v>
      </c>
      <c r="F68" s="11">
        <v>3</v>
      </c>
      <c r="G68" s="11" t="s">
        <v>1521</v>
      </c>
      <c r="H68" s="11" t="s">
        <v>1521</v>
      </c>
      <c r="I68" s="13">
        <v>43091</v>
      </c>
      <c r="J68" s="11">
        <v>22</v>
      </c>
      <c r="K68" s="11">
        <v>12</v>
      </c>
      <c r="L68" s="11">
        <v>2017</v>
      </c>
      <c r="M68" s="13" t="s">
        <v>1549</v>
      </c>
      <c r="N68" s="11" t="s">
        <v>7</v>
      </c>
      <c r="O68" s="11" t="s">
        <v>10</v>
      </c>
      <c r="P68" s="11">
        <v>-38.593539999999997</v>
      </c>
      <c r="Q68" s="11">
        <v>145.52157</v>
      </c>
      <c r="R68" s="11" t="s">
        <v>588</v>
      </c>
      <c r="S68" s="11" t="s">
        <v>588</v>
      </c>
      <c r="T68" s="11">
        <v>3</v>
      </c>
      <c r="U68" s="11">
        <v>3</v>
      </c>
      <c r="V68" t="s">
        <v>588</v>
      </c>
      <c r="W68" t="s">
        <v>588</v>
      </c>
      <c r="X68" s="11">
        <v>2</v>
      </c>
      <c r="Y68" s="11">
        <v>2</v>
      </c>
      <c r="Z68" s="11" t="s">
        <v>1445</v>
      </c>
      <c r="AA68" s="13">
        <v>43105</v>
      </c>
      <c r="AB68" s="11">
        <v>5</v>
      </c>
      <c r="AC68" s="11">
        <v>1</v>
      </c>
      <c r="AD68" s="11">
        <v>2018</v>
      </c>
      <c r="AE68" s="13" t="s">
        <v>1544</v>
      </c>
      <c r="AF68" s="11" t="s">
        <v>12</v>
      </c>
      <c r="AG68" s="11" t="s">
        <v>588</v>
      </c>
      <c r="AH68" s="11" t="s">
        <v>588</v>
      </c>
      <c r="AI68" s="11" t="s">
        <v>588</v>
      </c>
      <c r="AJ68" s="11" t="s">
        <v>588</v>
      </c>
      <c r="AK68" s="13" t="s">
        <v>588</v>
      </c>
      <c r="AL68" s="11" t="s">
        <v>588</v>
      </c>
      <c r="AM68" s="11" t="s">
        <v>588</v>
      </c>
      <c r="AN68" s="11" t="s">
        <v>588</v>
      </c>
      <c r="AO68" s="11" t="s">
        <v>588</v>
      </c>
      <c r="AP68" s="13" t="s">
        <v>1446</v>
      </c>
      <c r="AQ68" s="11" t="s">
        <v>12</v>
      </c>
      <c r="AR68" s="11" t="s">
        <v>588</v>
      </c>
      <c r="AS68" s="11" t="s">
        <v>588</v>
      </c>
      <c r="AT68" s="11" t="s">
        <v>588</v>
      </c>
      <c r="AU68" s="13" t="s">
        <v>1446</v>
      </c>
      <c r="AV68" s="13">
        <v>43133</v>
      </c>
      <c r="AW68" s="11" t="s">
        <v>21</v>
      </c>
      <c r="AX68" s="11" t="s">
        <v>20</v>
      </c>
      <c r="AY68" s="11" t="s">
        <v>41</v>
      </c>
      <c r="AZ68" s="11" t="s">
        <v>41</v>
      </c>
      <c r="BA68" s="11" t="s">
        <v>588</v>
      </c>
      <c r="BB68" s="11" t="s">
        <v>588</v>
      </c>
      <c r="BC68" s="11" t="s">
        <v>588</v>
      </c>
      <c r="BD68" s="11" t="s">
        <v>588</v>
      </c>
      <c r="BE68" s="11" t="s">
        <v>588</v>
      </c>
      <c r="BF68" s="11" t="s">
        <v>588</v>
      </c>
      <c r="BG68" s="11" t="s">
        <v>588</v>
      </c>
      <c r="BH68" s="11" t="s">
        <v>588</v>
      </c>
      <c r="BI68" s="11" t="s">
        <v>588</v>
      </c>
      <c r="BJ68" s="11" t="s">
        <v>588</v>
      </c>
      <c r="BK68" s="11" t="s">
        <v>588</v>
      </c>
      <c r="BL68" s="11" t="s">
        <v>588</v>
      </c>
      <c r="BM68" s="11">
        <v>1</v>
      </c>
      <c r="BN68" s="11">
        <v>1</v>
      </c>
      <c r="BO68" s="11" t="s">
        <v>41</v>
      </c>
      <c r="BP68" s="11" t="s">
        <v>588</v>
      </c>
      <c r="BQ68" s="11" t="s">
        <v>588</v>
      </c>
      <c r="BR68" s="11" t="s">
        <v>588</v>
      </c>
      <c r="BS68" s="11" t="s">
        <v>8</v>
      </c>
      <c r="BT68" s="11" t="s">
        <v>9</v>
      </c>
      <c r="BU68" s="11" t="s">
        <v>9</v>
      </c>
      <c r="BV68" s="11" t="s">
        <v>588</v>
      </c>
      <c r="BW68" s="11" t="s">
        <v>588</v>
      </c>
      <c r="BX68" s="11" t="s">
        <v>588</v>
      </c>
      <c r="BY68" s="11" t="s">
        <v>588</v>
      </c>
      <c r="BZ68" s="11" t="s">
        <v>588</v>
      </c>
    </row>
    <row r="69" spans="1:78" x14ac:dyDescent="0.25">
      <c r="A69" s="11">
        <v>201718</v>
      </c>
      <c r="B69" s="11" t="s">
        <v>365</v>
      </c>
      <c r="C69" s="11" t="s">
        <v>365</v>
      </c>
      <c r="D69" s="11" t="s">
        <v>16</v>
      </c>
      <c r="E69" s="11" t="s">
        <v>16</v>
      </c>
      <c r="F69" s="11">
        <v>4</v>
      </c>
      <c r="G69" s="11" t="s">
        <v>1522</v>
      </c>
      <c r="H69" s="11" t="s">
        <v>1522</v>
      </c>
      <c r="I69" s="13">
        <v>43143</v>
      </c>
      <c r="J69" s="11">
        <v>12</v>
      </c>
      <c r="K69" s="11">
        <v>2</v>
      </c>
      <c r="L69" s="11">
        <v>2018</v>
      </c>
      <c r="M69" s="13" t="s">
        <v>1538</v>
      </c>
      <c r="N69" s="11" t="s">
        <v>21</v>
      </c>
      <c r="O69" s="11" t="s">
        <v>10</v>
      </c>
      <c r="P69" s="11">
        <v>-38.593609999999998</v>
      </c>
      <c r="Q69" s="11">
        <v>145.52162000000001</v>
      </c>
      <c r="R69" s="11" t="s">
        <v>588</v>
      </c>
      <c r="S69" s="11" t="s">
        <v>588</v>
      </c>
      <c r="T69" s="11">
        <v>3</v>
      </c>
      <c r="U69" s="11">
        <v>3</v>
      </c>
      <c r="V69" t="s">
        <v>588</v>
      </c>
      <c r="W69" t="s">
        <v>588</v>
      </c>
      <c r="X69" s="11">
        <v>3</v>
      </c>
      <c r="Y69" s="11">
        <v>3</v>
      </c>
      <c r="Z69" s="11" t="s">
        <v>8</v>
      </c>
      <c r="AA69" s="13">
        <v>43165</v>
      </c>
      <c r="AB69" s="11">
        <v>6</v>
      </c>
      <c r="AC69" s="11">
        <v>3</v>
      </c>
      <c r="AD69" s="11">
        <v>2018</v>
      </c>
      <c r="AE69" s="13" t="s">
        <v>1545</v>
      </c>
      <c r="AF69" s="11" t="s">
        <v>22</v>
      </c>
      <c r="AG69" s="11" t="s">
        <v>588</v>
      </c>
      <c r="AH69" s="11" t="s">
        <v>588</v>
      </c>
      <c r="AI69" s="11" t="s">
        <v>588</v>
      </c>
      <c r="AJ69" s="11" t="s">
        <v>588</v>
      </c>
      <c r="AK69" s="13" t="s">
        <v>588</v>
      </c>
      <c r="AL69" s="11" t="s">
        <v>588</v>
      </c>
      <c r="AM69" s="11" t="s">
        <v>588</v>
      </c>
      <c r="AN69" s="11" t="s">
        <v>588</v>
      </c>
      <c r="AO69" s="11" t="s">
        <v>588</v>
      </c>
      <c r="AP69" s="13">
        <v>43170</v>
      </c>
      <c r="AQ69" s="11" t="s">
        <v>22</v>
      </c>
      <c r="AR69" s="11" t="s">
        <v>195</v>
      </c>
      <c r="AS69" s="11">
        <v>3</v>
      </c>
      <c r="AT69" s="11">
        <v>3</v>
      </c>
      <c r="AU69" s="13">
        <v>43170</v>
      </c>
      <c r="AV69" s="13">
        <v>43175</v>
      </c>
      <c r="AW69" s="11" t="s">
        <v>22</v>
      </c>
      <c r="AX69" s="11" t="s">
        <v>20</v>
      </c>
      <c r="AY69" s="11" t="s">
        <v>41</v>
      </c>
      <c r="AZ69" s="11" t="s">
        <v>41</v>
      </c>
      <c r="BA69" s="13">
        <v>43179</v>
      </c>
      <c r="BB69" s="13">
        <v>43186</v>
      </c>
      <c r="BC69" s="11" t="s">
        <v>22</v>
      </c>
      <c r="BD69" s="11" t="s">
        <v>20</v>
      </c>
      <c r="BE69" s="11" t="s">
        <v>41</v>
      </c>
      <c r="BF69" s="11" t="s">
        <v>41</v>
      </c>
      <c r="BG69" s="13">
        <v>43195</v>
      </c>
      <c r="BH69" s="13">
        <v>43207</v>
      </c>
      <c r="BI69" s="11" t="s">
        <v>72</v>
      </c>
      <c r="BJ69" s="11" t="s">
        <v>20</v>
      </c>
      <c r="BK69" s="11" t="s">
        <v>41</v>
      </c>
      <c r="BL69" s="11" t="s">
        <v>41</v>
      </c>
      <c r="BM69" s="11">
        <v>5</v>
      </c>
      <c r="BN69" s="11">
        <v>5</v>
      </c>
      <c r="BO69" s="11" t="s">
        <v>41</v>
      </c>
      <c r="BP69" s="11" t="s">
        <v>588</v>
      </c>
      <c r="BQ69" s="11" t="s">
        <v>588</v>
      </c>
      <c r="BR69" s="11" t="s">
        <v>588</v>
      </c>
      <c r="BS69" s="11" t="s">
        <v>8</v>
      </c>
      <c r="BT69" s="11" t="s">
        <v>9</v>
      </c>
      <c r="BU69" s="11" t="s">
        <v>9</v>
      </c>
      <c r="BV69" s="11" t="s">
        <v>8</v>
      </c>
      <c r="BW69" s="11" t="s">
        <v>1447</v>
      </c>
      <c r="BX69" s="11" t="s">
        <v>1447</v>
      </c>
      <c r="BY69" s="11" t="s">
        <v>588</v>
      </c>
      <c r="BZ69" s="11" t="s">
        <v>588</v>
      </c>
    </row>
    <row r="70" spans="1:78" x14ac:dyDescent="0.25">
      <c r="A70" s="11">
        <v>201718</v>
      </c>
      <c r="B70" s="11" t="s">
        <v>39</v>
      </c>
      <c r="C70" s="11" t="s">
        <v>39</v>
      </c>
      <c r="D70" s="11" t="s">
        <v>44</v>
      </c>
      <c r="E70" s="11" t="s">
        <v>16</v>
      </c>
      <c r="F70" s="11">
        <v>1</v>
      </c>
      <c r="G70" s="11" t="s">
        <v>1465</v>
      </c>
      <c r="H70" s="11" t="s">
        <v>1465</v>
      </c>
      <c r="I70" s="13">
        <v>43052</v>
      </c>
      <c r="J70" s="11">
        <v>13</v>
      </c>
      <c r="K70" s="11">
        <v>11</v>
      </c>
      <c r="L70" s="11">
        <v>2017</v>
      </c>
      <c r="M70" s="13" t="s">
        <v>1552</v>
      </c>
      <c r="N70" s="11" t="s">
        <v>17</v>
      </c>
      <c r="O70" s="11" t="s">
        <v>51</v>
      </c>
      <c r="P70" s="11">
        <v>-38.669080000000001</v>
      </c>
      <c r="Q70" s="11">
        <v>145.59263000000001</v>
      </c>
      <c r="R70" s="23" t="s">
        <v>588</v>
      </c>
      <c r="S70" s="23" t="s">
        <v>588</v>
      </c>
      <c r="T70" s="11">
        <v>2</v>
      </c>
      <c r="U70" s="11">
        <v>2</v>
      </c>
      <c r="V70" s="1">
        <v>43056</v>
      </c>
      <c r="W70" t="s">
        <v>223</v>
      </c>
      <c r="X70" s="11">
        <v>9</v>
      </c>
      <c r="Y70" s="11">
        <v>9</v>
      </c>
      <c r="Z70" s="11" t="s">
        <v>8</v>
      </c>
      <c r="AA70" s="13">
        <v>43080</v>
      </c>
      <c r="AB70" s="11">
        <v>11</v>
      </c>
      <c r="AC70" s="11">
        <v>12</v>
      </c>
      <c r="AD70" s="11">
        <v>2017</v>
      </c>
      <c r="AE70" s="13" t="s">
        <v>1535</v>
      </c>
      <c r="AF70" s="11" t="s">
        <v>7</v>
      </c>
      <c r="AG70" s="11" t="s">
        <v>588</v>
      </c>
      <c r="AH70" s="11" t="s">
        <v>588</v>
      </c>
      <c r="AI70" s="11" t="s">
        <v>588</v>
      </c>
      <c r="AJ70" s="11" t="s">
        <v>588</v>
      </c>
      <c r="AK70" s="13" t="s">
        <v>588</v>
      </c>
      <c r="AL70" s="11" t="s">
        <v>588</v>
      </c>
      <c r="AM70" s="11" t="s">
        <v>588</v>
      </c>
      <c r="AN70" s="11" t="s">
        <v>588</v>
      </c>
      <c r="AO70" s="11" t="s">
        <v>588</v>
      </c>
      <c r="AP70" s="13">
        <v>43085</v>
      </c>
      <c r="AQ70" s="11" t="s">
        <v>7</v>
      </c>
      <c r="AR70" s="11" t="s">
        <v>195</v>
      </c>
      <c r="AS70" s="11">
        <v>2</v>
      </c>
      <c r="AT70" s="11">
        <v>2</v>
      </c>
      <c r="AU70" s="7">
        <v>43085</v>
      </c>
      <c r="AV70" s="13">
        <v>43096</v>
      </c>
      <c r="AW70" s="11" t="s">
        <v>7</v>
      </c>
      <c r="AX70" s="11" t="s">
        <v>20</v>
      </c>
      <c r="AY70" s="11" t="s">
        <v>588</v>
      </c>
      <c r="AZ70" s="11" t="s">
        <v>20</v>
      </c>
      <c r="BA70" s="7">
        <v>43105</v>
      </c>
      <c r="BB70" s="13">
        <v>43109</v>
      </c>
      <c r="BC70" s="11" t="s">
        <v>12</v>
      </c>
      <c r="BD70" s="11" t="s">
        <v>20</v>
      </c>
      <c r="BE70" s="11" t="s">
        <v>588</v>
      </c>
      <c r="BF70" s="11" t="s">
        <v>20</v>
      </c>
      <c r="BG70" s="7" t="s">
        <v>588</v>
      </c>
      <c r="BH70" s="11" t="s">
        <v>588</v>
      </c>
      <c r="BI70" s="11" t="s">
        <v>588</v>
      </c>
      <c r="BJ70" s="11" t="s">
        <v>588</v>
      </c>
      <c r="BK70" s="11" t="s">
        <v>588</v>
      </c>
      <c r="BL70" s="11" t="s">
        <v>588</v>
      </c>
      <c r="BM70" s="11">
        <v>5</v>
      </c>
      <c r="BN70" s="11">
        <v>5</v>
      </c>
      <c r="BO70" s="11" t="s">
        <v>41</v>
      </c>
      <c r="BP70" s="11" t="s">
        <v>588</v>
      </c>
      <c r="BQ70" s="11" t="s">
        <v>588</v>
      </c>
      <c r="BR70" s="11" t="s">
        <v>588</v>
      </c>
      <c r="BS70" s="11" t="s">
        <v>8</v>
      </c>
      <c r="BT70" s="11" t="s">
        <v>9</v>
      </c>
      <c r="BU70" s="11" t="s">
        <v>9</v>
      </c>
      <c r="BV70" s="11" t="s">
        <v>8</v>
      </c>
      <c r="BW70" s="11" t="s">
        <v>18</v>
      </c>
      <c r="BX70" s="11" t="s">
        <v>18</v>
      </c>
      <c r="BY70" s="11" t="s">
        <v>588</v>
      </c>
      <c r="BZ70" s="11" t="s">
        <v>588</v>
      </c>
    </row>
    <row r="71" spans="1:78" x14ac:dyDescent="0.25">
      <c r="A71" s="11">
        <v>201718</v>
      </c>
      <c r="B71" s="11" t="s">
        <v>39</v>
      </c>
      <c r="C71" s="11" t="s">
        <v>39</v>
      </c>
      <c r="D71" s="11" t="s">
        <v>44</v>
      </c>
      <c r="E71" s="11" t="s">
        <v>16</v>
      </c>
      <c r="F71" s="11">
        <v>2</v>
      </c>
      <c r="G71" s="11" t="s">
        <v>1466</v>
      </c>
      <c r="H71" s="11" t="s">
        <v>1466</v>
      </c>
      <c r="I71" s="13">
        <v>43124</v>
      </c>
      <c r="J71" s="11">
        <v>24</v>
      </c>
      <c r="K71" s="11">
        <v>1</v>
      </c>
      <c r="L71" s="11">
        <v>2018</v>
      </c>
      <c r="M71" s="13" t="s">
        <v>1536</v>
      </c>
      <c r="N71" s="11" t="s">
        <v>12</v>
      </c>
      <c r="O71" s="11" t="s">
        <v>51</v>
      </c>
      <c r="P71" s="11">
        <v>-38.669069999999998</v>
      </c>
      <c r="Q71" s="11">
        <v>145.59262000000001</v>
      </c>
      <c r="R71" s="23" t="s">
        <v>588</v>
      </c>
      <c r="S71" s="23" t="s">
        <v>588</v>
      </c>
      <c r="T71" s="11">
        <v>3</v>
      </c>
      <c r="U71" s="11">
        <v>3</v>
      </c>
      <c r="V71" t="s">
        <v>588</v>
      </c>
      <c r="W71" t="s">
        <v>588</v>
      </c>
      <c r="X71" s="11">
        <v>3</v>
      </c>
      <c r="Y71" s="11">
        <v>3</v>
      </c>
      <c r="Z71" s="11" t="s">
        <v>41</v>
      </c>
      <c r="AA71" s="13">
        <v>43133</v>
      </c>
      <c r="AB71" s="11">
        <v>2</v>
      </c>
      <c r="AC71" s="11">
        <v>2</v>
      </c>
      <c r="AD71" s="11">
        <v>2018</v>
      </c>
      <c r="AE71" s="13" t="s">
        <v>1540</v>
      </c>
      <c r="AF71" s="11" t="s">
        <v>21</v>
      </c>
      <c r="AG71" s="13">
        <v>43140</v>
      </c>
      <c r="AH71" s="11">
        <v>9</v>
      </c>
      <c r="AI71" s="11">
        <v>2</v>
      </c>
      <c r="AJ71" s="11">
        <v>2018</v>
      </c>
      <c r="AK71" s="13" t="s">
        <v>1534</v>
      </c>
      <c r="AL71" s="11" t="s">
        <v>21</v>
      </c>
      <c r="AM71" s="11" t="s">
        <v>20</v>
      </c>
      <c r="AN71" s="11" t="s">
        <v>8</v>
      </c>
      <c r="AO71" s="11" t="s">
        <v>32</v>
      </c>
      <c r="AP71" s="11" t="s">
        <v>588</v>
      </c>
      <c r="AQ71" s="11" t="s">
        <v>588</v>
      </c>
      <c r="AR71" s="11" t="s">
        <v>588</v>
      </c>
      <c r="AS71" s="11" t="s">
        <v>588</v>
      </c>
      <c r="AT71" s="11" t="s">
        <v>588</v>
      </c>
      <c r="AU71" s="7" t="s">
        <v>588</v>
      </c>
      <c r="AV71" s="11" t="s">
        <v>588</v>
      </c>
      <c r="AW71" s="11" t="s">
        <v>588</v>
      </c>
      <c r="AX71" s="11" t="s">
        <v>588</v>
      </c>
      <c r="AY71" s="11" t="s">
        <v>588</v>
      </c>
      <c r="AZ71" s="11" t="s">
        <v>588</v>
      </c>
      <c r="BA71" s="7" t="s">
        <v>588</v>
      </c>
      <c r="BB71" s="11" t="s">
        <v>588</v>
      </c>
      <c r="BC71" s="11" t="s">
        <v>588</v>
      </c>
      <c r="BD71" s="11" t="s">
        <v>588</v>
      </c>
      <c r="BE71" s="11" t="s">
        <v>588</v>
      </c>
      <c r="BF71" s="11" t="s">
        <v>588</v>
      </c>
      <c r="BG71" s="7" t="s">
        <v>588</v>
      </c>
      <c r="BH71" s="11" t="s">
        <v>588</v>
      </c>
      <c r="BI71" s="11" t="s">
        <v>588</v>
      </c>
      <c r="BJ71" s="11" t="s">
        <v>588</v>
      </c>
      <c r="BK71" s="11" t="s">
        <v>588</v>
      </c>
      <c r="BL71" s="11" t="s">
        <v>588</v>
      </c>
      <c r="BM71" s="11" t="s">
        <v>588</v>
      </c>
      <c r="BN71" s="11" t="s">
        <v>588</v>
      </c>
      <c r="BO71" s="11" t="s">
        <v>588</v>
      </c>
      <c r="BP71" s="11" t="s">
        <v>588</v>
      </c>
      <c r="BQ71" s="11" t="s">
        <v>588</v>
      </c>
      <c r="BR71" s="11" t="s">
        <v>588</v>
      </c>
      <c r="BS71" s="11" t="s">
        <v>8</v>
      </c>
      <c r="BT71" s="11" t="s">
        <v>13</v>
      </c>
      <c r="BU71" s="11" t="s">
        <v>13</v>
      </c>
      <c r="BV71" s="11" t="s">
        <v>588</v>
      </c>
      <c r="BW71" s="11" t="s">
        <v>588</v>
      </c>
      <c r="BX71" s="11" t="s">
        <v>588</v>
      </c>
      <c r="BY71" s="11" t="s">
        <v>588</v>
      </c>
      <c r="BZ71" s="11" t="s">
        <v>588</v>
      </c>
    </row>
    <row r="72" spans="1:78" x14ac:dyDescent="0.25">
      <c r="A72" s="11">
        <v>201718</v>
      </c>
      <c r="B72" s="11" t="s">
        <v>39</v>
      </c>
      <c r="C72" s="11" t="s">
        <v>39</v>
      </c>
      <c r="D72" s="11" t="s">
        <v>44</v>
      </c>
      <c r="E72" s="11" t="s">
        <v>16</v>
      </c>
      <c r="F72" s="11">
        <v>3</v>
      </c>
      <c r="G72" s="11" t="s">
        <v>1467</v>
      </c>
      <c r="H72" s="11" t="s">
        <v>1467</v>
      </c>
      <c r="I72" s="13">
        <v>43152</v>
      </c>
      <c r="J72" s="11">
        <v>21</v>
      </c>
      <c r="K72" s="11">
        <v>2</v>
      </c>
      <c r="L72" s="11">
        <v>2018</v>
      </c>
      <c r="M72" s="13" t="s">
        <v>1528</v>
      </c>
      <c r="N72" s="11" t="s">
        <v>21</v>
      </c>
      <c r="O72" s="11" t="s">
        <v>10</v>
      </c>
      <c r="P72" s="11">
        <v>-38.670349999999999</v>
      </c>
      <c r="Q72" s="11">
        <v>145.59649999999999</v>
      </c>
      <c r="R72" s="23" t="s">
        <v>588</v>
      </c>
      <c r="S72" s="23" t="s">
        <v>588</v>
      </c>
      <c r="T72" s="11">
        <v>3</v>
      </c>
      <c r="U72" s="11">
        <v>3</v>
      </c>
      <c r="V72" s="1">
        <v>43154</v>
      </c>
      <c r="W72" t="s">
        <v>223</v>
      </c>
      <c r="X72" s="11">
        <v>5</v>
      </c>
      <c r="Y72" s="11">
        <v>5</v>
      </c>
      <c r="Z72" s="11" t="s">
        <v>8</v>
      </c>
      <c r="AA72" s="13">
        <v>43179</v>
      </c>
      <c r="AB72" s="11">
        <v>20</v>
      </c>
      <c r="AC72" s="11">
        <v>3</v>
      </c>
      <c r="AD72" s="11">
        <v>2018</v>
      </c>
      <c r="AE72" s="13" t="s">
        <v>1582</v>
      </c>
      <c r="AF72" s="11" t="s">
        <v>22</v>
      </c>
      <c r="AG72" s="11" t="s">
        <v>588</v>
      </c>
      <c r="AH72" s="11" t="s">
        <v>588</v>
      </c>
      <c r="AI72" s="11" t="s">
        <v>588</v>
      </c>
      <c r="AJ72" s="11" t="s">
        <v>588</v>
      </c>
      <c r="AK72" s="13" t="s">
        <v>588</v>
      </c>
      <c r="AL72" s="11" t="s">
        <v>588</v>
      </c>
      <c r="AM72" s="11" t="s">
        <v>588</v>
      </c>
      <c r="AN72" s="11" t="s">
        <v>588</v>
      </c>
      <c r="AO72" s="11" t="s">
        <v>588</v>
      </c>
      <c r="AP72" s="13">
        <v>43182</v>
      </c>
      <c r="AQ72" s="11" t="s">
        <v>22</v>
      </c>
      <c r="AR72" s="11" t="s">
        <v>195</v>
      </c>
      <c r="AS72" s="11">
        <v>1</v>
      </c>
      <c r="AT72" s="11">
        <v>3</v>
      </c>
      <c r="AU72" s="7">
        <v>43182</v>
      </c>
      <c r="AV72" s="13">
        <v>43195</v>
      </c>
      <c r="AW72" s="11" t="s">
        <v>72</v>
      </c>
      <c r="AX72" s="11" t="s">
        <v>20</v>
      </c>
      <c r="AY72" s="11" t="s">
        <v>588</v>
      </c>
      <c r="AZ72" s="11" t="s">
        <v>20</v>
      </c>
      <c r="BA72" s="7" t="s">
        <v>588</v>
      </c>
      <c r="BB72" s="11" t="s">
        <v>588</v>
      </c>
      <c r="BC72" s="11" t="s">
        <v>588</v>
      </c>
      <c r="BD72" s="11" t="s">
        <v>588</v>
      </c>
      <c r="BE72" s="11" t="s">
        <v>588</v>
      </c>
      <c r="BF72" s="11" t="s">
        <v>588</v>
      </c>
      <c r="BG72" s="7" t="s">
        <v>588</v>
      </c>
      <c r="BH72" s="11" t="s">
        <v>588</v>
      </c>
      <c r="BI72" s="11" t="s">
        <v>588</v>
      </c>
      <c r="BJ72" s="11" t="s">
        <v>588</v>
      </c>
      <c r="BK72" s="11" t="s">
        <v>588</v>
      </c>
      <c r="BL72" s="11" t="s">
        <v>588</v>
      </c>
      <c r="BM72" s="11">
        <v>2</v>
      </c>
      <c r="BN72" s="11">
        <v>2</v>
      </c>
      <c r="BO72" s="11" t="s">
        <v>41</v>
      </c>
      <c r="BP72" s="11" t="s">
        <v>588</v>
      </c>
      <c r="BQ72" s="11" t="s">
        <v>588</v>
      </c>
      <c r="BR72" s="11" t="s">
        <v>588</v>
      </c>
      <c r="BS72" s="11" t="s">
        <v>41</v>
      </c>
      <c r="BT72" s="11" t="s">
        <v>42</v>
      </c>
      <c r="BU72" s="11" t="s">
        <v>42</v>
      </c>
      <c r="BV72" s="11" t="s">
        <v>8</v>
      </c>
      <c r="BW72" s="11" t="s">
        <v>106</v>
      </c>
      <c r="BX72" s="11" t="s">
        <v>106</v>
      </c>
      <c r="BY72" s="11" t="s">
        <v>588</v>
      </c>
      <c r="BZ72" s="11" t="s">
        <v>588</v>
      </c>
    </row>
    <row r="73" spans="1:78" x14ac:dyDescent="0.25">
      <c r="A73" s="11">
        <v>201718</v>
      </c>
      <c r="B73" s="11" t="s">
        <v>43</v>
      </c>
      <c r="C73" s="11" t="s">
        <v>43</v>
      </c>
      <c r="D73" s="11" t="s">
        <v>53</v>
      </c>
      <c r="E73" s="11" t="s">
        <v>16</v>
      </c>
      <c r="F73" s="11">
        <v>1</v>
      </c>
      <c r="G73" s="11" t="s">
        <v>1468</v>
      </c>
      <c r="H73" s="11" t="s">
        <v>1468</v>
      </c>
      <c r="I73" s="13">
        <v>43073</v>
      </c>
      <c r="J73" s="11">
        <v>4</v>
      </c>
      <c r="K73" s="11">
        <v>12</v>
      </c>
      <c r="L73" s="11">
        <v>2017</v>
      </c>
      <c r="M73" s="13" t="s">
        <v>1523</v>
      </c>
      <c r="N73" s="11" t="s">
        <v>7</v>
      </c>
      <c r="O73" s="11" t="s">
        <v>10</v>
      </c>
      <c r="P73" s="11">
        <v>-38.668640000000003</v>
      </c>
      <c r="Q73" s="11">
        <v>145.59124</v>
      </c>
      <c r="R73" s="23" t="s">
        <v>588</v>
      </c>
      <c r="S73" s="23" t="s">
        <v>588</v>
      </c>
      <c r="T73" s="11">
        <v>3</v>
      </c>
      <c r="U73" s="11">
        <v>3</v>
      </c>
      <c r="V73" t="s">
        <v>588</v>
      </c>
      <c r="W73" t="s">
        <v>588</v>
      </c>
      <c r="X73" s="11">
        <v>2</v>
      </c>
      <c r="Y73" s="11">
        <v>2</v>
      </c>
      <c r="Z73" s="11" t="s">
        <v>41</v>
      </c>
      <c r="AA73" s="13">
        <v>43073</v>
      </c>
      <c r="AB73" s="11">
        <v>4</v>
      </c>
      <c r="AC73" s="11">
        <v>12</v>
      </c>
      <c r="AD73" s="11">
        <v>2017</v>
      </c>
      <c r="AE73" s="13" t="s">
        <v>1523</v>
      </c>
      <c r="AF73" s="13" t="s">
        <v>7</v>
      </c>
      <c r="AG73" s="13">
        <v>43080</v>
      </c>
      <c r="AH73" s="11">
        <v>11</v>
      </c>
      <c r="AI73" s="11">
        <v>12</v>
      </c>
      <c r="AJ73" s="11">
        <v>2017</v>
      </c>
      <c r="AK73" s="13" t="s">
        <v>1535</v>
      </c>
      <c r="AL73" s="11" t="s">
        <v>7</v>
      </c>
      <c r="AM73" s="11" t="s">
        <v>20</v>
      </c>
      <c r="AN73" s="13" t="s">
        <v>588</v>
      </c>
      <c r="AO73" s="11" t="s">
        <v>20</v>
      </c>
      <c r="AP73" s="11" t="s">
        <v>588</v>
      </c>
      <c r="AQ73" s="11" t="s">
        <v>588</v>
      </c>
      <c r="AR73" s="11" t="s">
        <v>588</v>
      </c>
      <c r="AS73" s="11" t="s">
        <v>588</v>
      </c>
      <c r="AT73" s="11" t="s">
        <v>588</v>
      </c>
      <c r="AU73" s="7" t="s">
        <v>588</v>
      </c>
      <c r="AV73" s="11" t="s">
        <v>588</v>
      </c>
      <c r="AW73" s="11" t="s">
        <v>588</v>
      </c>
      <c r="AX73" s="11" t="s">
        <v>588</v>
      </c>
      <c r="AY73" s="11" t="s">
        <v>588</v>
      </c>
      <c r="AZ73" s="11" t="s">
        <v>588</v>
      </c>
      <c r="BA73" s="7" t="s">
        <v>588</v>
      </c>
      <c r="BB73" s="11" t="s">
        <v>588</v>
      </c>
      <c r="BC73" s="11" t="s">
        <v>588</v>
      </c>
      <c r="BD73" s="11" t="s">
        <v>588</v>
      </c>
      <c r="BE73" s="11" t="s">
        <v>588</v>
      </c>
      <c r="BF73" s="11" t="s">
        <v>588</v>
      </c>
      <c r="BG73" s="7" t="s">
        <v>588</v>
      </c>
      <c r="BH73" s="11" t="s">
        <v>588</v>
      </c>
      <c r="BI73" s="11" t="s">
        <v>588</v>
      </c>
      <c r="BJ73" s="11" t="s">
        <v>588</v>
      </c>
      <c r="BK73" s="11" t="s">
        <v>588</v>
      </c>
      <c r="BL73" s="11" t="s">
        <v>588</v>
      </c>
      <c r="BM73" s="11" t="s">
        <v>588</v>
      </c>
      <c r="BN73" s="11" t="s">
        <v>588</v>
      </c>
      <c r="BO73" s="11" t="s">
        <v>588</v>
      </c>
      <c r="BP73" s="11" t="s">
        <v>588</v>
      </c>
      <c r="BQ73" s="11" t="s">
        <v>588</v>
      </c>
      <c r="BR73" s="11" t="s">
        <v>588</v>
      </c>
      <c r="BS73" s="11" t="s">
        <v>8</v>
      </c>
      <c r="BT73" s="11" t="s">
        <v>13</v>
      </c>
      <c r="BU73" s="11" t="s">
        <v>13</v>
      </c>
      <c r="BV73" s="11" t="s">
        <v>588</v>
      </c>
      <c r="BW73" s="11" t="s">
        <v>588</v>
      </c>
      <c r="BX73" s="11" t="s">
        <v>588</v>
      </c>
      <c r="BY73" s="11" t="s">
        <v>588</v>
      </c>
      <c r="BZ73" s="11" t="s">
        <v>588</v>
      </c>
    </row>
    <row r="74" spans="1:78" x14ac:dyDescent="0.25">
      <c r="A74" s="11">
        <v>201718</v>
      </c>
      <c r="B74" s="11" t="s">
        <v>43</v>
      </c>
      <c r="C74" s="11" t="s">
        <v>43</v>
      </c>
      <c r="D74" s="11" t="s">
        <v>53</v>
      </c>
      <c r="E74" s="11" t="s">
        <v>16</v>
      </c>
      <c r="F74" s="11">
        <v>2</v>
      </c>
      <c r="G74" s="11" t="s">
        <v>1469</v>
      </c>
      <c r="H74" s="11" t="s">
        <v>1469</v>
      </c>
      <c r="I74" s="13">
        <v>43096</v>
      </c>
      <c r="J74" s="11">
        <v>27</v>
      </c>
      <c r="K74" s="11">
        <v>12</v>
      </c>
      <c r="L74" s="11">
        <v>2017</v>
      </c>
      <c r="M74" s="13" t="s">
        <v>1559</v>
      </c>
      <c r="N74" s="11" t="s">
        <v>7</v>
      </c>
      <c r="O74" s="11" t="s">
        <v>10</v>
      </c>
      <c r="P74" s="23" t="s">
        <v>588</v>
      </c>
      <c r="Q74" s="23" t="s">
        <v>588</v>
      </c>
      <c r="R74" s="11">
        <v>-38.668407000000002</v>
      </c>
      <c r="S74" s="11">
        <v>145.58944700000001</v>
      </c>
      <c r="T74" s="11">
        <v>2</v>
      </c>
      <c r="U74" s="11">
        <v>2</v>
      </c>
      <c r="V74" t="s">
        <v>588</v>
      </c>
      <c r="W74" t="s">
        <v>588</v>
      </c>
      <c r="X74" s="11">
        <v>3</v>
      </c>
      <c r="Y74" s="11">
        <v>3</v>
      </c>
      <c r="Z74" s="11" t="s">
        <v>41</v>
      </c>
      <c r="AA74" s="13">
        <v>43105</v>
      </c>
      <c r="AB74" s="11">
        <v>5</v>
      </c>
      <c r="AC74" s="11">
        <v>1</v>
      </c>
      <c r="AD74" s="11">
        <v>2018</v>
      </c>
      <c r="AE74" s="13" t="s">
        <v>1544</v>
      </c>
      <c r="AF74" s="11" t="s">
        <v>12</v>
      </c>
      <c r="AG74" s="13">
        <v>43124</v>
      </c>
      <c r="AH74" s="11">
        <v>24</v>
      </c>
      <c r="AI74" s="11">
        <v>1</v>
      </c>
      <c r="AJ74" s="11">
        <v>2018</v>
      </c>
      <c r="AK74" s="13" t="s">
        <v>1536</v>
      </c>
      <c r="AL74" s="11" t="s">
        <v>12</v>
      </c>
      <c r="AM74" s="11" t="s">
        <v>20</v>
      </c>
      <c r="AN74" s="11" t="s">
        <v>8</v>
      </c>
      <c r="AO74" s="11" t="s">
        <v>48</v>
      </c>
      <c r="AP74" s="13" t="s">
        <v>588</v>
      </c>
      <c r="AQ74" s="11" t="s">
        <v>588</v>
      </c>
      <c r="AR74" s="11" t="s">
        <v>588</v>
      </c>
      <c r="AS74" s="11" t="s">
        <v>588</v>
      </c>
      <c r="AT74" s="11" t="s">
        <v>588</v>
      </c>
      <c r="AU74" s="7" t="s">
        <v>588</v>
      </c>
      <c r="AV74" s="13" t="s">
        <v>588</v>
      </c>
      <c r="AW74" s="11" t="s">
        <v>588</v>
      </c>
      <c r="AX74" s="11" t="s">
        <v>588</v>
      </c>
      <c r="AY74" s="11" t="s">
        <v>588</v>
      </c>
      <c r="AZ74" s="11" t="s">
        <v>588</v>
      </c>
      <c r="BA74" s="7" t="s">
        <v>588</v>
      </c>
      <c r="BB74" s="11" t="s">
        <v>588</v>
      </c>
      <c r="BC74" s="11" t="s">
        <v>588</v>
      </c>
      <c r="BD74" s="11" t="s">
        <v>588</v>
      </c>
      <c r="BE74" s="11" t="s">
        <v>588</v>
      </c>
      <c r="BF74" s="11" t="s">
        <v>588</v>
      </c>
      <c r="BG74" s="7" t="s">
        <v>588</v>
      </c>
      <c r="BH74" s="11" t="s">
        <v>588</v>
      </c>
      <c r="BI74" s="11" t="s">
        <v>588</v>
      </c>
      <c r="BJ74" s="11" t="s">
        <v>588</v>
      </c>
      <c r="BK74" s="11" t="s">
        <v>588</v>
      </c>
      <c r="BL74" s="11" t="s">
        <v>588</v>
      </c>
      <c r="BM74" s="11" t="s">
        <v>588</v>
      </c>
      <c r="BN74" s="11" t="s">
        <v>588</v>
      </c>
      <c r="BO74" s="11" t="s">
        <v>588</v>
      </c>
      <c r="BP74" s="11" t="s">
        <v>588</v>
      </c>
      <c r="BQ74" s="11" t="s">
        <v>588</v>
      </c>
      <c r="BR74" s="11" t="s">
        <v>588</v>
      </c>
      <c r="BS74" s="11" t="s">
        <v>8</v>
      </c>
      <c r="BT74" s="11" t="s">
        <v>13</v>
      </c>
      <c r="BU74" s="11" t="s">
        <v>13</v>
      </c>
      <c r="BV74" s="11" t="s">
        <v>588</v>
      </c>
      <c r="BW74" s="11" t="s">
        <v>588</v>
      </c>
      <c r="BX74" s="11" t="s">
        <v>588</v>
      </c>
      <c r="BY74" s="11" t="s">
        <v>588</v>
      </c>
      <c r="BZ74" s="11" t="s">
        <v>588</v>
      </c>
    </row>
    <row r="75" spans="1:78" x14ac:dyDescent="0.25">
      <c r="A75" s="11">
        <v>201718</v>
      </c>
      <c r="B75" s="11" t="s">
        <v>43</v>
      </c>
      <c r="C75" s="11" t="s">
        <v>43</v>
      </c>
      <c r="D75" s="11" t="s">
        <v>53</v>
      </c>
      <c r="E75" s="11" t="s">
        <v>16</v>
      </c>
      <c r="F75" s="11">
        <v>3</v>
      </c>
      <c r="G75" s="11" t="s">
        <v>1470</v>
      </c>
      <c r="H75" s="11" t="s">
        <v>1470</v>
      </c>
      <c r="I75" s="13">
        <v>43133</v>
      </c>
      <c r="J75" s="11">
        <v>2</v>
      </c>
      <c r="K75" s="11">
        <v>2</v>
      </c>
      <c r="L75" s="11">
        <v>2018</v>
      </c>
      <c r="M75" s="13" t="s">
        <v>1540</v>
      </c>
      <c r="N75" s="11" t="s">
        <v>21</v>
      </c>
      <c r="O75" s="11" t="s">
        <v>10</v>
      </c>
      <c r="P75" s="11">
        <v>-38.668109999999999</v>
      </c>
      <c r="Q75" s="11">
        <v>145.58906999999999</v>
      </c>
      <c r="R75" s="23" t="s">
        <v>588</v>
      </c>
      <c r="S75" s="23" t="s">
        <v>588</v>
      </c>
      <c r="T75" s="11">
        <v>3</v>
      </c>
      <c r="U75" s="11">
        <v>3</v>
      </c>
      <c r="V75" t="s">
        <v>588</v>
      </c>
      <c r="W75" t="s">
        <v>588</v>
      </c>
      <c r="X75" s="11">
        <v>3</v>
      </c>
      <c r="Y75" s="11">
        <v>3</v>
      </c>
      <c r="Z75" s="11" t="s">
        <v>8</v>
      </c>
      <c r="AA75" s="13">
        <v>43152</v>
      </c>
      <c r="AB75" s="11">
        <v>21</v>
      </c>
      <c r="AC75" s="11">
        <v>2</v>
      </c>
      <c r="AD75" s="11">
        <v>2018</v>
      </c>
      <c r="AE75" s="13" t="s">
        <v>1528</v>
      </c>
      <c r="AF75" s="11" t="s">
        <v>21</v>
      </c>
      <c r="AG75" s="11" t="s">
        <v>588</v>
      </c>
      <c r="AH75" s="11" t="s">
        <v>588</v>
      </c>
      <c r="AI75" s="11" t="s">
        <v>588</v>
      </c>
      <c r="AJ75" s="11" t="s">
        <v>588</v>
      </c>
      <c r="AK75" s="13" t="s">
        <v>588</v>
      </c>
      <c r="AL75" s="11" t="s">
        <v>588</v>
      </c>
      <c r="AM75" s="11" t="s">
        <v>588</v>
      </c>
      <c r="AN75" s="11" t="s">
        <v>588</v>
      </c>
      <c r="AO75" s="11" t="s">
        <v>588</v>
      </c>
      <c r="AP75" s="13">
        <v>43168</v>
      </c>
      <c r="AQ75" s="11" t="s">
        <v>22</v>
      </c>
      <c r="AR75" s="11" t="s">
        <v>195</v>
      </c>
      <c r="AS75" s="11">
        <v>3</v>
      </c>
      <c r="AT75" s="11">
        <v>3</v>
      </c>
      <c r="AU75" s="7" t="s">
        <v>588</v>
      </c>
      <c r="AV75" s="11" t="s">
        <v>588</v>
      </c>
      <c r="AW75" s="11" t="s">
        <v>588</v>
      </c>
      <c r="AX75" s="11" t="s">
        <v>588</v>
      </c>
      <c r="AY75" s="11" t="s">
        <v>588</v>
      </c>
      <c r="AZ75" s="11" t="s">
        <v>588</v>
      </c>
      <c r="BA75" s="7" t="s">
        <v>588</v>
      </c>
      <c r="BB75" s="11" t="s">
        <v>588</v>
      </c>
      <c r="BC75" s="11" t="s">
        <v>588</v>
      </c>
      <c r="BD75" s="11" t="s">
        <v>588</v>
      </c>
      <c r="BE75" s="11" t="s">
        <v>588</v>
      </c>
      <c r="BF75" s="11" t="s">
        <v>588</v>
      </c>
      <c r="BG75" s="7" t="s">
        <v>588</v>
      </c>
      <c r="BH75" s="11" t="s">
        <v>588</v>
      </c>
      <c r="BI75" s="11" t="s">
        <v>588</v>
      </c>
      <c r="BJ75" s="11" t="s">
        <v>588</v>
      </c>
      <c r="BK75" s="11" t="s">
        <v>588</v>
      </c>
      <c r="BL75" s="11" t="s">
        <v>588</v>
      </c>
      <c r="BM75" s="11">
        <v>8</v>
      </c>
      <c r="BN75" s="11">
        <v>8</v>
      </c>
      <c r="BO75" s="11" t="s">
        <v>8</v>
      </c>
      <c r="BP75" s="11">
        <v>3</v>
      </c>
      <c r="BQ75" s="13">
        <v>43199</v>
      </c>
      <c r="BR75" s="11" t="s">
        <v>72</v>
      </c>
      <c r="BS75" s="11" t="s">
        <v>8</v>
      </c>
      <c r="BT75" s="11" t="s">
        <v>9</v>
      </c>
      <c r="BU75" s="11" t="s">
        <v>9</v>
      </c>
      <c r="BV75" s="11" t="s">
        <v>8</v>
      </c>
      <c r="BW75" s="11" t="s">
        <v>9</v>
      </c>
      <c r="BX75" s="11" t="s">
        <v>9</v>
      </c>
      <c r="BY75" s="11" t="s">
        <v>588</v>
      </c>
      <c r="BZ75" s="11" t="s">
        <v>588</v>
      </c>
    </row>
    <row r="76" spans="1:78" x14ac:dyDescent="0.25">
      <c r="A76" s="11">
        <v>201718</v>
      </c>
      <c r="B76" s="11" t="s">
        <v>79</v>
      </c>
      <c r="C76" s="11" t="s">
        <v>79</v>
      </c>
      <c r="D76" s="11" t="s">
        <v>55</v>
      </c>
      <c r="E76" s="11" t="s">
        <v>16</v>
      </c>
      <c r="F76" s="11">
        <v>1</v>
      </c>
      <c r="G76" s="11" t="s">
        <v>1471</v>
      </c>
      <c r="H76" s="11" t="s">
        <v>1471</v>
      </c>
      <c r="I76" s="13">
        <v>43073</v>
      </c>
      <c r="J76" s="11">
        <v>4</v>
      </c>
      <c r="K76" s="11">
        <v>12</v>
      </c>
      <c r="L76" s="11">
        <v>2017</v>
      </c>
      <c r="M76" s="13" t="s">
        <v>1523</v>
      </c>
      <c r="N76" s="11" t="s">
        <v>7</v>
      </c>
      <c r="O76" s="11" t="s">
        <v>10</v>
      </c>
      <c r="P76" s="11">
        <v>-38.671990000000001</v>
      </c>
      <c r="Q76" s="11">
        <v>145.59833</v>
      </c>
      <c r="R76" s="23" t="s">
        <v>588</v>
      </c>
      <c r="S76" s="23" t="s">
        <v>588</v>
      </c>
      <c r="T76" s="11">
        <v>1</v>
      </c>
      <c r="U76" s="11">
        <v>3</v>
      </c>
      <c r="V76" t="s">
        <v>588</v>
      </c>
      <c r="W76" t="s">
        <v>588</v>
      </c>
      <c r="X76" s="11">
        <v>3</v>
      </c>
      <c r="Y76" s="11">
        <v>3</v>
      </c>
      <c r="Z76" s="11" t="s">
        <v>41</v>
      </c>
      <c r="AA76" s="13">
        <v>43075</v>
      </c>
      <c r="AB76" s="11">
        <v>6</v>
      </c>
      <c r="AC76" s="11">
        <v>12</v>
      </c>
      <c r="AD76" s="11">
        <v>2017</v>
      </c>
      <c r="AE76" s="13" t="s">
        <v>1583</v>
      </c>
      <c r="AF76" s="11" t="s">
        <v>7</v>
      </c>
      <c r="AG76" s="13">
        <v>43080</v>
      </c>
      <c r="AH76" s="11">
        <v>11</v>
      </c>
      <c r="AI76" s="11">
        <v>12</v>
      </c>
      <c r="AJ76" s="11">
        <v>2017</v>
      </c>
      <c r="AK76" s="13" t="s">
        <v>1535</v>
      </c>
      <c r="AL76" s="11" t="s">
        <v>7</v>
      </c>
      <c r="AM76" s="11" t="s">
        <v>20</v>
      </c>
      <c r="AN76" s="11" t="s">
        <v>8</v>
      </c>
      <c r="AO76" s="11" t="s">
        <v>48</v>
      </c>
      <c r="AP76" s="13" t="s">
        <v>588</v>
      </c>
      <c r="AQ76" s="11" t="s">
        <v>588</v>
      </c>
      <c r="AR76" s="11" t="s">
        <v>588</v>
      </c>
      <c r="AS76" s="11" t="s">
        <v>588</v>
      </c>
      <c r="AT76" s="11" t="s">
        <v>588</v>
      </c>
      <c r="AU76" s="7" t="s">
        <v>588</v>
      </c>
      <c r="AV76" s="13" t="s">
        <v>588</v>
      </c>
      <c r="AW76" s="11" t="s">
        <v>588</v>
      </c>
      <c r="AX76" s="11" t="s">
        <v>588</v>
      </c>
      <c r="AY76" s="11" t="s">
        <v>588</v>
      </c>
      <c r="AZ76" s="11" t="s">
        <v>588</v>
      </c>
      <c r="BA76" s="7" t="s">
        <v>588</v>
      </c>
      <c r="BB76" s="11" t="s">
        <v>588</v>
      </c>
      <c r="BC76" s="11" t="s">
        <v>588</v>
      </c>
      <c r="BD76" s="11" t="s">
        <v>588</v>
      </c>
      <c r="BE76" s="11" t="s">
        <v>588</v>
      </c>
      <c r="BF76" s="11" t="s">
        <v>588</v>
      </c>
      <c r="BG76" s="7" t="s">
        <v>588</v>
      </c>
      <c r="BH76" s="11" t="s">
        <v>588</v>
      </c>
      <c r="BI76" s="11" t="s">
        <v>588</v>
      </c>
      <c r="BJ76" s="11" t="s">
        <v>588</v>
      </c>
      <c r="BK76" s="11" t="s">
        <v>588</v>
      </c>
      <c r="BL76" s="11" t="s">
        <v>588</v>
      </c>
      <c r="BM76" s="11" t="s">
        <v>588</v>
      </c>
      <c r="BN76" s="11" t="s">
        <v>588</v>
      </c>
      <c r="BO76" s="11" t="s">
        <v>588</v>
      </c>
      <c r="BP76" s="11" t="s">
        <v>588</v>
      </c>
      <c r="BQ76" s="11" t="s">
        <v>588</v>
      </c>
      <c r="BR76" s="11" t="s">
        <v>588</v>
      </c>
      <c r="BS76" s="11" t="s">
        <v>8</v>
      </c>
      <c r="BT76" s="11" t="s">
        <v>13</v>
      </c>
      <c r="BU76" s="11" t="s">
        <v>13</v>
      </c>
      <c r="BV76" s="11" t="s">
        <v>588</v>
      </c>
      <c r="BW76" s="11" t="s">
        <v>588</v>
      </c>
      <c r="BX76" s="11" t="s">
        <v>588</v>
      </c>
      <c r="BY76" s="11" t="s">
        <v>588</v>
      </c>
      <c r="BZ76" s="11" t="s">
        <v>588</v>
      </c>
    </row>
    <row r="77" spans="1:78" x14ac:dyDescent="0.25">
      <c r="A77" s="11">
        <v>201718</v>
      </c>
      <c r="B77" s="11" t="s">
        <v>79</v>
      </c>
      <c r="C77" s="11" t="s">
        <v>79</v>
      </c>
      <c r="D77" s="11" t="s">
        <v>55</v>
      </c>
      <c r="E77" s="11" t="s">
        <v>16</v>
      </c>
      <c r="F77" s="11">
        <v>2</v>
      </c>
      <c r="G77" s="11" t="s">
        <v>1472</v>
      </c>
      <c r="H77" s="11" t="s">
        <v>1472</v>
      </c>
      <c r="I77" s="13">
        <v>43096</v>
      </c>
      <c r="J77" s="11">
        <v>27</v>
      </c>
      <c r="K77" s="11">
        <v>12</v>
      </c>
      <c r="L77" s="11">
        <v>2017</v>
      </c>
      <c r="M77" s="13" t="s">
        <v>1559</v>
      </c>
      <c r="N77" s="11" t="s">
        <v>7</v>
      </c>
      <c r="O77" s="11" t="s">
        <v>10</v>
      </c>
      <c r="P77" s="11">
        <v>-38.672310000000003</v>
      </c>
      <c r="Q77" s="11">
        <v>145.59859</v>
      </c>
      <c r="R77" s="23" t="s">
        <v>588</v>
      </c>
      <c r="S77" s="23" t="s">
        <v>588</v>
      </c>
      <c r="T77" s="11">
        <v>2</v>
      </c>
      <c r="U77" s="11">
        <v>2</v>
      </c>
      <c r="V77" s="1">
        <v>43101</v>
      </c>
      <c r="W77" t="s">
        <v>223</v>
      </c>
      <c r="X77" s="11">
        <v>10</v>
      </c>
      <c r="Y77" s="11">
        <v>10</v>
      </c>
      <c r="Z77" s="11" t="s">
        <v>8</v>
      </c>
      <c r="AA77" s="13">
        <v>43133</v>
      </c>
      <c r="AB77" s="11">
        <v>2</v>
      </c>
      <c r="AC77" s="11">
        <v>2</v>
      </c>
      <c r="AD77" s="11">
        <v>2018</v>
      </c>
      <c r="AE77" s="13" t="s">
        <v>1540</v>
      </c>
      <c r="AF77" s="11" t="s">
        <v>21</v>
      </c>
      <c r="AG77" s="11" t="s">
        <v>588</v>
      </c>
      <c r="AH77" s="11" t="s">
        <v>588</v>
      </c>
      <c r="AI77" s="11" t="s">
        <v>588</v>
      </c>
      <c r="AJ77" s="11" t="s">
        <v>588</v>
      </c>
      <c r="AK77" s="13" t="s">
        <v>588</v>
      </c>
      <c r="AL77" s="11" t="s">
        <v>588</v>
      </c>
      <c r="AM77" s="11" t="s">
        <v>588</v>
      </c>
      <c r="AN77" s="11" t="s">
        <v>588</v>
      </c>
      <c r="AO77" s="11" t="s">
        <v>588</v>
      </c>
      <c r="AP77" s="13">
        <v>43140</v>
      </c>
      <c r="AQ77" s="11" t="s">
        <v>21</v>
      </c>
      <c r="AR77" s="11" t="s">
        <v>195</v>
      </c>
      <c r="AS77" s="11">
        <v>2</v>
      </c>
      <c r="AT77" s="11">
        <v>2</v>
      </c>
      <c r="AU77" s="7">
        <v>43140</v>
      </c>
      <c r="AV77" s="13">
        <v>43152</v>
      </c>
      <c r="AW77" s="11" t="s">
        <v>21</v>
      </c>
      <c r="AX77" s="11" t="s">
        <v>20</v>
      </c>
      <c r="AY77" s="11" t="s">
        <v>588</v>
      </c>
      <c r="AZ77" s="11" t="s">
        <v>20</v>
      </c>
      <c r="BA77" s="7">
        <v>43140</v>
      </c>
      <c r="BB77" s="13">
        <v>43152</v>
      </c>
      <c r="BC77" s="11" t="s">
        <v>21</v>
      </c>
      <c r="BD77" s="11" t="s">
        <v>20</v>
      </c>
      <c r="BE77" s="11" t="s">
        <v>588</v>
      </c>
      <c r="BF77" s="11" t="s">
        <v>20</v>
      </c>
      <c r="BG77" s="7" t="s">
        <v>588</v>
      </c>
      <c r="BH77" s="11" t="s">
        <v>588</v>
      </c>
      <c r="BI77" s="11" t="s">
        <v>588</v>
      </c>
      <c r="BJ77" s="11" t="s">
        <v>588</v>
      </c>
      <c r="BK77" s="11" t="s">
        <v>588</v>
      </c>
      <c r="BL77" s="11" t="s">
        <v>588</v>
      </c>
      <c r="BM77" s="11">
        <v>2</v>
      </c>
      <c r="BN77" s="11">
        <v>2</v>
      </c>
      <c r="BO77" s="11" t="s">
        <v>41</v>
      </c>
      <c r="BP77" s="11" t="s">
        <v>588</v>
      </c>
      <c r="BQ77" s="11" t="s">
        <v>588</v>
      </c>
      <c r="BR77" s="11" t="s">
        <v>588</v>
      </c>
      <c r="BS77" s="11" t="s">
        <v>8</v>
      </c>
      <c r="BT77" s="11" t="s">
        <v>9</v>
      </c>
      <c r="BU77" s="11" t="s">
        <v>9</v>
      </c>
      <c r="BV77" s="11" t="s">
        <v>8</v>
      </c>
      <c r="BW77" s="11" t="s">
        <v>9</v>
      </c>
      <c r="BX77" s="11" t="s">
        <v>9</v>
      </c>
      <c r="BY77" s="11" t="s">
        <v>588</v>
      </c>
      <c r="BZ77" s="11" t="s">
        <v>588</v>
      </c>
    </row>
    <row r="78" spans="1:78" x14ac:dyDescent="0.25">
      <c r="A78" s="11">
        <v>201718</v>
      </c>
      <c r="B78" s="11" t="s">
        <v>56</v>
      </c>
      <c r="C78" s="11" t="s">
        <v>56</v>
      </c>
      <c r="D78" s="11" t="s">
        <v>5</v>
      </c>
      <c r="E78" s="11" t="s">
        <v>6</v>
      </c>
      <c r="F78" s="11">
        <v>1</v>
      </c>
      <c r="G78" s="11" t="s">
        <v>1473</v>
      </c>
      <c r="H78" s="11" t="s">
        <v>1473</v>
      </c>
      <c r="I78" s="13">
        <v>43080</v>
      </c>
      <c r="J78" s="11">
        <v>11</v>
      </c>
      <c r="K78" s="11">
        <v>12</v>
      </c>
      <c r="L78" s="11">
        <v>2017</v>
      </c>
      <c r="M78" s="13" t="s">
        <v>1535</v>
      </c>
      <c r="N78" s="11" t="s">
        <v>7</v>
      </c>
      <c r="O78" s="11" t="s">
        <v>51</v>
      </c>
      <c r="P78" s="23" t="s">
        <v>588</v>
      </c>
      <c r="Q78" s="23" t="s">
        <v>588</v>
      </c>
      <c r="R78" s="11">
        <v>-38.658214999999998</v>
      </c>
      <c r="S78" s="11">
        <v>145.57894899999999</v>
      </c>
      <c r="T78" s="11">
        <v>2</v>
      </c>
      <c r="U78" s="11">
        <v>2</v>
      </c>
      <c r="V78" t="s">
        <v>588</v>
      </c>
      <c r="W78" t="s">
        <v>588</v>
      </c>
      <c r="X78" s="11">
        <v>8</v>
      </c>
      <c r="Y78" s="11">
        <v>7</v>
      </c>
      <c r="Z78" s="11" t="s">
        <v>41</v>
      </c>
      <c r="AA78" s="13">
        <v>43107</v>
      </c>
      <c r="AB78" s="11">
        <v>7</v>
      </c>
      <c r="AC78" s="11">
        <v>1</v>
      </c>
      <c r="AD78" s="11">
        <v>2018</v>
      </c>
      <c r="AE78" s="13" t="s">
        <v>1527</v>
      </c>
      <c r="AF78" s="11" t="s">
        <v>12</v>
      </c>
      <c r="AG78" s="13">
        <v>43108</v>
      </c>
      <c r="AH78" s="11">
        <v>8</v>
      </c>
      <c r="AI78" s="11">
        <v>1</v>
      </c>
      <c r="AJ78" s="11">
        <v>2018</v>
      </c>
      <c r="AK78" s="13" t="s">
        <v>1537</v>
      </c>
      <c r="AL78" s="11" t="s">
        <v>12</v>
      </c>
      <c r="AM78" s="11" t="s">
        <v>20</v>
      </c>
      <c r="AN78" s="11" t="s">
        <v>8</v>
      </c>
      <c r="AO78" s="11" t="s">
        <v>32</v>
      </c>
      <c r="AP78" s="13" t="s">
        <v>588</v>
      </c>
      <c r="AQ78" s="11" t="s">
        <v>588</v>
      </c>
      <c r="AR78" s="11" t="s">
        <v>588</v>
      </c>
      <c r="AS78" s="11" t="s">
        <v>588</v>
      </c>
      <c r="AT78" s="11" t="s">
        <v>588</v>
      </c>
      <c r="AU78" s="7" t="s">
        <v>588</v>
      </c>
      <c r="AV78" s="13" t="s">
        <v>588</v>
      </c>
      <c r="AW78" s="11" t="s">
        <v>588</v>
      </c>
      <c r="AX78" s="11" t="s">
        <v>588</v>
      </c>
      <c r="AY78" s="11" t="s">
        <v>588</v>
      </c>
      <c r="AZ78" s="11" t="s">
        <v>588</v>
      </c>
      <c r="BA78" s="7" t="s">
        <v>588</v>
      </c>
      <c r="BB78" s="11" t="s">
        <v>588</v>
      </c>
      <c r="BC78" s="11" t="s">
        <v>588</v>
      </c>
      <c r="BD78" s="11" t="s">
        <v>588</v>
      </c>
      <c r="BE78" s="11" t="s">
        <v>588</v>
      </c>
      <c r="BF78" s="11" t="s">
        <v>588</v>
      </c>
      <c r="BG78" s="7" t="s">
        <v>588</v>
      </c>
      <c r="BH78" s="11" t="s">
        <v>588</v>
      </c>
      <c r="BI78" s="11" t="s">
        <v>588</v>
      </c>
      <c r="BJ78" s="11" t="s">
        <v>588</v>
      </c>
      <c r="BK78" s="11" t="s">
        <v>588</v>
      </c>
      <c r="BL78" s="11" t="s">
        <v>588</v>
      </c>
      <c r="BM78" s="11" t="s">
        <v>588</v>
      </c>
      <c r="BN78" s="11" t="s">
        <v>588</v>
      </c>
      <c r="BO78" s="11" t="s">
        <v>588</v>
      </c>
      <c r="BP78" s="11" t="s">
        <v>588</v>
      </c>
      <c r="BQ78" s="11" t="s">
        <v>588</v>
      </c>
      <c r="BR78" s="11" t="s">
        <v>588</v>
      </c>
      <c r="BS78" s="11" t="s">
        <v>8</v>
      </c>
      <c r="BT78" s="11" t="s">
        <v>9</v>
      </c>
      <c r="BU78" s="11" t="s">
        <v>9</v>
      </c>
      <c r="BV78" s="11" t="s">
        <v>588</v>
      </c>
      <c r="BW78" s="11" t="s">
        <v>588</v>
      </c>
      <c r="BX78" s="11" t="s">
        <v>588</v>
      </c>
      <c r="BY78" s="11" t="s">
        <v>588</v>
      </c>
      <c r="BZ78" s="11" t="s">
        <v>588</v>
      </c>
    </row>
    <row r="79" spans="1:78" x14ac:dyDescent="0.25">
      <c r="A79" s="11">
        <v>201718</v>
      </c>
      <c r="B79" s="11" t="s">
        <v>56</v>
      </c>
      <c r="C79" s="11" t="s">
        <v>56</v>
      </c>
      <c r="D79" s="11" t="s">
        <v>5</v>
      </c>
      <c r="E79" s="11" t="s">
        <v>6</v>
      </c>
      <c r="F79" s="11">
        <v>2</v>
      </c>
      <c r="G79" s="11" t="s">
        <v>1474</v>
      </c>
      <c r="H79" s="11" t="s">
        <v>1474</v>
      </c>
      <c r="I79" s="13">
        <v>43124</v>
      </c>
      <c r="J79" s="11">
        <v>24</v>
      </c>
      <c r="K79" s="11">
        <v>1</v>
      </c>
      <c r="L79" s="11">
        <v>2018</v>
      </c>
      <c r="M79" s="13" t="s">
        <v>1536</v>
      </c>
      <c r="N79" s="11" t="s">
        <v>12</v>
      </c>
      <c r="O79" s="11" t="s">
        <v>10</v>
      </c>
      <c r="P79" s="11">
        <v>-38.658149999999999</v>
      </c>
      <c r="Q79" s="11">
        <v>145.57897</v>
      </c>
      <c r="R79" s="23" t="s">
        <v>588</v>
      </c>
      <c r="S79" s="23" t="s">
        <v>588</v>
      </c>
      <c r="T79" s="11">
        <v>3</v>
      </c>
      <c r="U79" s="11">
        <v>3</v>
      </c>
      <c r="V79" t="s">
        <v>588</v>
      </c>
      <c r="W79" t="s">
        <v>588</v>
      </c>
      <c r="X79" s="11">
        <v>4</v>
      </c>
      <c r="Y79" s="11">
        <v>4</v>
      </c>
      <c r="Z79" s="11" t="s">
        <v>8</v>
      </c>
      <c r="AA79" s="13">
        <v>43140</v>
      </c>
      <c r="AB79" s="11">
        <v>9</v>
      </c>
      <c r="AC79" s="11">
        <v>2</v>
      </c>
      <c r="AD79" s="11">
        <v>2018</v>
      </c>
      <c r="AE79" s="13" t="s">
        <v>1534</v>
      </c>
      <c r="AF79" s="11" t="s">
        <v>21</v>
      </c>
      <c r="AG79" s="11" t="s">
        <v>588</v>
      </c>
      <c r="AH79" s="11" t="s">
        <v>588</v>
      </c>
      <c r="AI79" s="11" t="s">
        <v>588</v>
      </c>
      <c r="AJ79" s="11" t="s">
        <v>588</v>
      </c>
      <c r="AK79" s="13" t="s">
        <v>588</v>
      </c>
      <c r="AL79" s="11" t="s">
        <v>588</v>
      </c>
      <c r="AM79" s="11" t="s">
        <v>588</v>
      </c>
      <c r="AN79" s="11" t="s">
        <v>588</v>
      </c>
      <c r="AO79" s="11" t="s">
        <v>588</v>
      </c>
      <c r="AP79" s="13">
        <v>43149</v>
      </c>
      <c r="AQ79" s="11" t="s">
        <v>21</v>
      </c>
      <c r="AR79" s="11" t="s">
        <v>195</v>
      </c>
      <c r="AS79" s="11">
        <v>3</v>
      </c>
      <c r="AT79" s="11">
        <v>3</v>
      </c>
      <c r="AU79" s="7">
        <v>43156</v>
      </c>
      <c r="AV79" s="13">
        <v>43169</v>
      </c>
      <c r="AW79" s="11" t="s">
        <v>22</v>
      </c>
      <c r="AX79" s="11" t="s">
        <v>20</v>
      </c>
      <c r="AY79" s="11" t="s">
        <v>588</v>
      </c>
      <c r="AZ79" s="11" t="s">
        <v>20</v>
      </c>
      <c r="BA79" s="7">
        <v>43156</v>
      </c>
      <c r="BB79" s="13">
        <v>43169</v>
      </c>
      <c r="BC79" s="11" t="s">
        <v>22</v>
      </c>
      <c r="BD79" s="11" t="s">
        <v>20</v>
      </c>
      <c r="BE79" s="11" t="s">
        <v>588</v>
      </c>
      <c r="BF79" s="11" t="s">
        <v>20</v>
      </c>
      <c r="BG79" s="7" t="s">
        <v>588</v>
      </c>
      <c r="BH79" s="11" t="s">
        <v>588</v>
      </c>
      <c r="BI79" s="11" t="s">
        <v>588</v>
      </c>
      <c r="BJ79" s="11" t="s">
        <v>588</v>
      </c>
      <c r="BK79" s="11" t="s">
        <v>588</v>
      </c>
      <c r="BL79" s="11" t="s">
        <v>588</v>
      </c>
      <c r="BM79" s="11">
        <v>7</v>
      </c>
      <c r="BN79" s="11">
        <v>7</v>
      </c>
      <c r="BO79" s="11" t="s">
        <v>8</v>
      </c>
      <c r="BP79" s="11">
        <v>1</v>
      </c>
      <c r="BQ79" s="13">
        <v>43186</v>
      </c>
      <c r="BR79" s="11" t="s">
        <v>22</v>
      </c>
      <c r="BS79" s="11" t="s">
        <v>8</v>
      </c>
      <c r="BT79" s="11" t="s">
        <v>9</v>
      </c>
      <c r="BU79" s="11" t="s">
        <v>9</v>
      </c>
      <c r="BV79" s="11" t="s">
        <v>8</v>
      </c>
      <c r="BW79" s="11" t="s">
        <v>96</v>
      </c>
      <c r="BX79" s="11" t="s">
        <v>96</v>
      </c>
      <c r="BY79" s="11" t="s">
        <v>588</v>
      </c>
      <c r="BZ79" s="11" t="s">
        <v>588</v>
      </c>
    </row>
  </sheetData>
  <autoFilter ref="A1:BZ79" xr:uid="{FF307D74-F36E-486A-98BC-20110321DDF8}">
    <sortState xmlns:xlrd2="http://schemas.microsoft.com/office/spreadsheetml/2017/richdata2" ref="A2:BZ79">
      <sortCondition ref="C1:C79"/>
    </sortState>
  </autoFilter>
  <phoneticPr fontId="2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4BF5-3902-4CA8-AB58-B1AB184461B6}">
  <dimension ref="A1:BZ97"/>
  <sheetViews>
    <sheetView zoomScale="80" zoomScaleNormal="80" workbookViewId="0">
      <pane xSplit="9" ySplit="1" topLeftCell="J56" activePane="bottomRight" state="frozen"/>
      <selection pane="topRight" activeCell="H1" sqref="H1"/>
      <selection pane="bottomLeft" activeCell="A2" sqref="A2"/>
      <selection pane="bottomRight" activeCell="C85" sqref="C85"/>
    </sheetView>
  </sheetViews>
  <sheetFormatPr defaultColWidth="9.140625" defaultRowHeight="15" x14ac:dyDescent="0.25"/>
  <cols>
    <col min="1" max="1" width="7.5703125" bestFit="1" customWidth="1"/>
    <col min="2" max="2" width="26.5703125" customWidth="1"/>
    <col min="3" max="3" width="46.28515625" bestFit="1" customWidth="1"/>
    <col min="4" max="4" width="9.42578125" customWidth="1"/>
    <col min="5" max="5" width="9.7109375" customWidth="1"/>
    <col min="6" max="6" width="7.140625" customWidth="1"/>
    <col min="7" max="7" width="10.7109375" customWidth="1"/>
    <col min="8" max="8" width="55.85546875" style="11" bestFit="1" customWidth="1"/>
    <col min="9" max="9" width="15.5703125" bestFit="1" customWidth="1"/>
    <col min="10" max="10" width="7.42578125" style="11" bestFit="1" customWidth="1"/>
    <col min="11" max="11" width="9.5703125" style="11" bestFit="1" customWidth="1"/>
    <col min="12" max="12" width="8" style="11" bestFit="1" customWidth="1"/>
    <col min="13" max="13" width="23.5703125" style="11" bestFit="1" customWidth="1"/>
    <col min="14" max="14" width="14.28515625" customWidth="1"/>
    <col min="15" max="15" width="13.85546875" customWidth="1"/>
    <col min="16" max="16" width="11" customWidth="1"/>
    <col min="17" max="17" width="11.42578125" customWidth="1"/>
    <col min="18" max="18" width="15" customWidth="1"/>
    <col min="19" max="19" width="15.28515625" customWidth="1"/>
    <col min="22" max="22" width="11.28515625" bestFit="1" customWidth="1"/>
    <col min="27" max="27" width="15.42578125" customWidth="1"/>
    <col min="28" max="28" width="8.42578125" style="11" bestFit="1" customWidth="1"/>
    <col min="29" max="29" width="9.5703125" style="11" bestFit="1" customWidth="1"/>
    <col min="30" max="30" width="8.42578125" style="11" bestFit="1" customWidth="1"/>
    <col min="31" max="31" width="27" style="11" bestFit="1" customWidth="1"/>
    <col min="33" max="33" width="12.85546875" customWidth="1"/>
    <col min="34" max="34" width="8.42578125" style="11" bestFit="1" customWidth="1"/>
    <col min="35" max="35" width="9.5703125" style="11" bestFit="1" customWidth="1"/>
    <col min="36" max="36" width="8.42578125" style="11" bestFit="1" customWidth="1"/>
    <col min="37" max="37" width="25.5703125" style="11" bestFit="1" customWidth="1"/>
    <col min="42" max="42" width="12.5703125" customWidth="1"/>
    <col min="47" max="47" width="11.28515625" customWidth="1"/>
    <col min="48" max="48" width="10.85546875" customWidth="1"/>
    <col min="53" max="53" width="12" customWidth="1"/>
    <col min="54" max="54" width="11.28515625" customWidth="1"/>
    <col min="59" max="60" width="11.28515625" customWidth="1"/>
    <col min="69" max="69" width="13" customWidth="1"/>
    <col min="72" max="72" width="5.140625" customWidth="1"/>
    <col min="73" max="73" width="41.85546875" bestFit="1" customWidth="1"/>
    <col min="75" max="75" width="5.140625" customWidth="1"/>
    <col min="76" max="76" width="50.140625" bestFit="1" customWidth="1"/>
  </cols>
  <sheetData>
    <row r="1" spans="1:78" x14ac:dyDescent="0.25">
      <c r="A1" s="2" t="s">
        <v>0</v>
      </c>
      <c r="B1" s="2" t="s">
        <v>139</v>
      </c>
      <c r="C1" s="9" t="s">
        <v>231</v>
      </c>
      <c r="D1" s="2" t="s">
        <v>1</v>
      </c>
      <c r="E1" s="2" t="s">
        <v>2</v>
      </c>
      <c r="F1" s="2" t="s">
        <v>140</v>
      </c>
      <c r="G1" s="2" t="s">
        <v>141</v>
      </c>
      <c r="H1" s="9" t="s">
        <v>593</v>
      </c>
      <c r="I1" s="2" t="s">
        <v>142</v>
      </c>
      <c r="J1" s="12" t="s">
        <v>589</v>
      </c>
      <c r="K1" s="12" t="s">
        <v>590</v>
      </c>
      <c r="L1" s="12" t="s">
        <v>591</v>
      </c>
      <c r="M1" s="9" t="s">
        <v>592</v>
      </c>
      <c r="N1" s="2" t="s">
        <v>143</v>
      </c>
      <c r="O1" s="2" t="s">
        <v>3</v>
      </c>
      <c r="P1" s="2" t="s">
        <v>212</v>
      </c>
      <c r="Q1" s="2" t="s">
        <v>213</v>
      </c>
      <c r="R1" s="5" t="s">
        <v>144</v>
      </c>
      <c r="S1" s="5" t="s">
        <v>145</v>
      </c>
      <c r="T1" s="2" t="s">
        <v>146</v>
      </c>
      <c r="U1" s="2" t="s">
        <v>147</v>
      </c>
      <c r="V1" s="2" t="s">
        <v>148</v>
      </c>
      <c r="W1" s="2" t="s">
        <v>149</v>
      </c>
      <c r="X1" s="2" t="s">
        <v>150</v>
      </c>
      <c r="Y1" s="2" t="s">
        <v>151</v>
      </c>
      <c r="Z1" s="2" t="s">
        <v>152</v>
      </c>
      <c r="AA1" s="2" t="s">
        <v>153</v>
      </c>
      <c r="AB1" s="12" t="s">
        <v>589</v>
      </c>
      <c r="AC1" s="12" t="s">
        <v>590</v>
      </c>
      <c r="AD1" s="12" t="s">
        <v>591</v>
      </c>
      <c r="AE1" s="9" t="s">
        <v>594</v>
      </c>
      <c r="AF1" s="2" t="s">
        <v>154</v>
      </c>
      <c r="AG1" s="2" t="s">
        <v>155</v>
      </c>
      <c r="AH1" s="12" t="s">
        <v>589</v>
      </c>
      <c r="AI1" s="12" t="s">
        <v>590</v>
      </c>
      <c r="AJ1" s="12" t="s">
        <v>591</v>
      </c>
      <c r="AK1" s="9" t="s">
        <v>595</v>
      </c>
      <c r="AL1" s="2" t="s">
        <v>156</v>
      </c>
      <c r="AM1" s="2" t="s">
        <v>157</v>
      </c>
      <c r="AN1" s="2" t="s">
        <v>158</v>
      </c>
      <c r="AO1" s="2" t="s">
        <v>159</v>
      </c>
      <c r="AP1" s="2" t="s">
        <v>160</v>
      </c>
      <c r="AQ1" s="2" t="s">
        <v>161</v>
      </c>
      <c r="AR1" s="2" t="s">
        <v>162</v>
      </c>
      <c r="AS1" s="2" t="s">
        <v>163</v>
      </c>
      <c r="AT1" s="2" t="s">
        <v>164</v>
      </c>
      <c r="AU1" s="6" t="s">
        <v>165</v>
      </c>
      <c r="AV1" s="2" t="s">
        <v>166</v>
      </c>
      <c r="AW1" s="2" t="s">
        <v>167</v>
      </c>
      <c r="AX1" s="2" t="s">
        <v>168</v>
      </c>
      <c r="AY1" s="2" t="s">
        <v>169</v>
      </c>
      <c r="AZ1" s="2" t="s">
        <v>170</v>
      </c>
      <c r="BA1" s="6" t="s">
        <v>171</v>
      </c>
      <c r="BB1" s="2" t="s">
        <v>172</v>
      </c>
      <c r="BC1" s="2" t="s">
        <v>173</v>
      </c>
      <c r="BD1" s="2" t="s">
        <v>174</v>
      </c>
      <c r="BE1" s="2" t="s">
        <v>175</v>
      </c>
      <c r="BF1" s="2" t="s">
        <v>176</v>
      </c>
      <c r="BG1" s="6" t="s">
        <v>177</v>
      </c>
      <c r="BH1" s="2" t="s">
        <v>178</v>
      </c>
      <c r="BI1" s="2" t="s">
        <v>179</v>
      </c>
      <c r="BJ1" s="2" t="s">
        <v>180</v>
      </c>
      <c r="BK1" s="2" t="s">
        <v>181</v>
      </c>
      <c r="BL1" s="2" t="s">
        <v>182</v>
      </c>
      <c r="BM1" s="2" t="s">
        <v>183</v>
      </c>
      <c r="BN1" s="2" t="s">
        <v>184</v>
      </c>
      <c r="BO1" s="2" t="s">
        <v>185</v>
      </c>
      <c r="BP1" s="2" t="s">
        <v>4</v>
      </c>
      <c r="BQ1" s="2" t="s">
        <v>186</v>
      </c>
      <c r="BR1" s="2" t="s">
        <v>187</v>
      </c>
      <c r="BS1" s="2" t="s">
        <v>188</v>
      </c>
      <c r="BT1" s="2" t="s">
        <v>189</v>
      </c>
      <c r="BU1" s="14" t="s">
        <v>596</v>
      </c>
      <c r="BV1" s="2" t="s">
        <v>190</v>
      </c>
      <c r="BW1" s="2" t="s">
        <v>191</v>
      </c>
      <c r="BX1" s="14" t="s">
        <v>597</v>
      </c>
      <c r="BY1" s="2" t="s">
        <v>192</v>
      </c>
      <c r="BZ1" s="2" t="s">
        <v>193</v>
      </c>
    </row>
    <row r="2" spans="1:78" x14ac:dyDescent="0.25">
      <c r="A2">
        <v>201617</v>
      </c>
      <c r="B2" t="s">
        <v>576</v>
      </c>
      <c r="C2" t="s">
        <v>576</v>
      </c>
      <c r="D2" t="s">
        <v>377</v>
      </c>
      <c r="E2" t="s">
        <v>16</v>
      </c>
      <c r="F2">
        <v>1</v>
      </c>
      <c r="G2" t="s">
        <v>1626</v>
      </c>
      <c r="H2" s="11" t="s">
        <v>1626</v>
      </c>
      <c r="I2" s="1">
        <v>42731</v>
      </c>
      <c r="J2" s="11">
        <v>27</v>
      </c>
      <c r="K2" s="11">
        <v>12</v>
      </c>
      <c r="L2" s="11">
        <v>2016</v>
      </c>
      <c r="M2" s="11" t="s">
        <v>1770</v>
      </c>
      <c r="N2" t="s">
        <v>7</v>
      </c>
      <c r="O2" t="s">
        <v>51</v>
      </c>
      <c r="P2">
        <v>-38.614139999999999</v>
      </c>
      <c r="Q2">
        <v>145.54059000000001</v>
      </c>
      <c r="R2" t="s">
        <v>588</v>
      </c>
      <c r="S2" t="s">
        <v>588</v>
      </c>
      <c r="T2">
        <v>3</v>
      </c>
      <c r="U2">
        <v>3</v>
      </c>
      <c r="V2" t="s">
        <v>588</v>
      </c>
      <c r="W2" t="s">
        <v>588</v>
      </c>
      <c r="X2">
        <v>3</v>
      </c>
      <c r="Y2">
        <v>3</v>
      </c>
      <c r="Z2" t="s">
        <v>41</v>
      </c>
      <c r="AA2" s="1">
        <v>42734</v>
      </c>
      <c r="AB2" s="11">
        <v>30</v>
      </c>
      <c r="AC2" s="11">
        <v>12</v>
      </c>
      <c r="AD2" s="11">
        <v>2016</v>
      </c>
      <c r="AE2" s="13" t="s">
        <v>1723</v>
      </c>
      <c r="AF2" t="s">
        <v>7</v>
      </c>
      <c r="AG2" s="1">
        <v>42748</v>
      </c>
      <c r="AH2" s="11">
        <v>13</v>
      </c>
      <c r="AI2" s="11">
        <v>1</v>
      </c>
      <c r="AJ2" s="11">
        <v>2017</v>
      </c>
      <c r="AK2" s="13" t="s">
        <v>1722</v>
      </c>
      <c r="AL2" t="s">
        <v>12</v>
      </c>
      <c r="AM2" t="s">
        <v>20</v>
      </c>
      <c r="AN2" t="s">
        <v>8</v>
      </c>
      <c r="AO2" t="s">
        <v>1035</v>
      </c>
      <c r="AP2" t="s">
        <v>588</v>
      </c>
      <c r="AQ2" t="s">
        <v>588</v>
      </c>
      <c r="AR2" t="s">
        <v>588</v>
      </c>
      <c r="AS2" t="s">
        <v>588</v>
      </c>
      <c r="AT2" t="s">
        <v>588</v>
      </c>
      <c r="AU2" t="s">
        <v>588</v>
      </c>
      <c r="AV2" t="s">
        <v>588</v>
      </c>
      <c r="AW2" t="s">
        <v>588</v>
      </c>
      <c r="AX2" t="s">
        <v>588</v>
      </c>
      <c r="AY2" t="s">
        <v>588</v>
      </c>
      <c r="AZ2" t="s">
        <v>588</v>
      </c>
      <c r="BA2" t="s">
        <v>588</v>
      </c>
      <c r="BB2" t="s">
        <v>588</v>
      </c>
      <c r="BC2" t="s">
        <v>588</v>
      </c>
      <c r="BD2" t="s">
        <v>588</v>
      </c>
      <c r="BE2" t="s">
        <v>588</v>
      </c>
      <c r="BF2" t="s">
        <v>588</v>
      </c>
      <c r="BG2" t="s">
        <v>588</v>
      </c>
      <c r="BH2" t="s">
        <v>588</v>
      </c>
      <c r="BI2" t="s">
        <v>588</v>
      </c>
      <c r="BJ2" t="s">
        <v>588</v>
      </c>
      <c r="BK2" t="s">
        <v>588</v>
      </c>
      <c r="BL2" t="s">
        <v>588</v>
      </c>
      <c r="BM2" t="s">
        <v>588</v>
      </c>
      <c r="BN2" t="s">
        <v>588</v>
      </c>
      <c r="BO2" t="s">
        <v>588</v>
      </c>
      <c r="BP2" t="s">
        <v>588</v>
      </c>
      <c r="BQ2" t="s">
        <v>588</v>
      </c>
      <c r="BR2" t="s">
        <v>588</v>
      </c>
      <c r="BS2" t="s">
        <v>41</v>
      </c>
      <c r="BT2" t="s">
        <v>42</v>
      </c>
      <c r="BU2" t="s">
        <v>42</v>
      </c>
      <c r="BV2" t="s">
        <v>588</v>
      </c>
      <c r="BW2" t="s">
        <v>588</v>
      </c>
      <c r="BX2" t="s">
        <v>588</v>
      </c>
      <c r="BY2" t="s">
        <v>588</v>
      </c>
      <c r="BZ2" t="s">
        <v>588</v>
      </c>
    </row>
    <row r="3" spans="1:78" x14ac:dyDescent="0.25">
      <c r="A3">
        <v>201617</v>
      </c>
      <c r="B3" t="s">
        <v>577</v>
      </c>
      <c r="C3" t="s">
        <v>577</v>
      </c>
      <c r="D3" t="s">
        <v>1603</v>
      </c>
      <c r="E3" t="s">
        <v>16</v>
      </c>
      <c r="F3">
        <v>1</v>
      </c>
      <c r="G3" t="s">
        <v>1627</v>
      </c>
      <c r="H3" s="11" t="s">
        <v>1627</v>
      </c>
      <c r="I3" s="1">
        <v>42705</v>
      </c>
      <c r="J3" s="11">
        <v>1</v>
      </c>
      <c r="K3" s="11">
        <v>12</v>
      </c>
      <c r="L3" s="11">
        <v>2016</v>
      </c>
      <c r="M3" s="11" t="s">
        <v>1728</v>
      </c>
      <c r="N3" t="s">
        <v>7</v>
      </c>
      <c r="O3" t="s">
        <v>36</v>
      </c>
      <c r="P3">
        <v>-38.614989999999999</v>
      </c>
      <c r="Q3">
        <v>145.54129</v>
      </c>
      <c r="R3" t="s">
        <v>588</v>
      </c>
      <c r="S3" t="s">
        <v>588</v>
      </c>
      <c r="T3">
        <v>1</v>
      </c>
      <c r="U3">
        <v>3</v>
      </c>
      <c r="V3" t="s">
        <v>588</v>
      </c>
      <c r="W3" t="s">
        <v>588</v>
      </c>
      <c r="X3">
        <v>2</v>
      </c>
      <c r="Y3">
        <v>2</v>
      </c>
      <c r="Z3" t="s">
        <v>41</v>
      </c>
      <c r="AA3" s="1">
        <v>42705</v>
      </c>
      <c r="AB3" s="11">
        <v>1</v>
      </c>
      <c r="AC3" s="11">
        <v>12</v>
      </c>
      <c r="AD3" s="11">
        <v>2016</v>
      </c>
      <c r="AE3" s="13" t="s">
        <v>1728</v>
      </c>
      <c r="AF3" t="s">
        <v>7</v>
      </c>
      <c r="AG3" s="1">
        <v>42734</v>
      </c>
      <c r="AH3" s="11">
        <v>30</v>
      </c>
      <c r="AI3" s="11">
        <v>12</v>
      </c>
      <c r="AJ3" s="11">
        <v>2016</v>
      </c>
      <c r="AK3" s="13" t="s">
        <v>1723</v>
      </c>
      <c r="AL3" t="s">
        <v>7</v>
      </c>
      <c r="AM3" t="s">
        <v>20</v>
      </c>
      <c r="AN3" t="s">
        <v>41</v>
      </c>
      <c r="AO3" t="s">
        <v>20</v>
      </c>
      <c r="AP3" t="s">
        <v>588</v>
      </c>
      <c r="AQ3" t="s">
        <v>588</v>
      </c>
      <c r="AR3" t="s">
        <v>588</v>
      </c>
      <c r="AS3" t="s">
        <v>588</v>
      </c>
      <c r="AT3" t="s">
        <v>588</v>
      </c>
      <c r="AU3" t="s">
        <v>588</v>
      </c>
      <c r="AV3" t="s">
        <v>588</v>
      </c>
      <c r="AW3" t="s">
        <v>588</v>
      </c>
      <c r="AX3" t="s">
        <v>588</v>
      </c>
      <c r="AY3" t="s">
        <v>588</v>
      </c>
      <c r="AZ3" t="s">
        <v>588</v>
      </c>
      <c r="BA3" t="s">
        <v>588</v>
      </c>
      <c r="BB3" t="s">
        <v>588</v>
      </c>
      <c r="BC3" t="s">
        <v>588</v>
      </c>
      <c r="BD3" t="s">
        <v>588</v>
      </c>
      <c r="BE3" t="s">
        <v>588</v>
      </c>
      <c r="BF3" t="s">
        <v>588</v>
      </c>
      <c r="BG3" t="s">
        <v>588</v>
      </c>
      <c r="BH3" t="s">
        <v>588</v>
      </c>
      <c r="BI3" t="s">
        <v>588</v>
      </c>
      <c r="BJ3" t="s">
        <v>588</v>
      </c>
      <c r="BK3" t="s">
        <v>588</v>
      </c>
      <c r="BL3" t="s">
        <v>588</v>
      </c>
      <c r="BM3" t="s">
        <v>588</v>
      </c>
      <c r="BN3" t="s">
        <v>588</v>
      </c>
      <c r="BO3" t="s">
        <v>588</v>
      </c>
      <c r="BP3" t="s">
        <v>588</v>
      </c>
      <c r="BQ3" t="s">
        <v>588</v>
      </c>
      <c r="BR3" t="s">
        <v>588</v>
      </c>
      <c r="BS3" t="s">
        <v>41</v>
      </c>
      <c r="BT3" t="s">
        <v>42</v>
      </c>
      <c r="BU3" t="s">
        <v>42</v>
      </c>
      <c r="BV3" t="s">
        <v>588</v>
      </c>
      <c r="BW3" t="s">
        <v>588</v>
      </c>
      <c r="BX3" t="s">
        <v>588</v>
      </c>
      <c r="BY3" t="s">
        <v>588</v>
      </c>
      <c r="BZ3" t="s">
        <v>588</v>
      </c>
    </row>
    <row r="4" spans="1:78" x14ac:dyDescent="0.25">
      <c r="A4">
        <v>201617</v>
      </c>
      <c r="B4" t="s">
        <v>577</v>
      </c>
      <c r="C4" t="s">
        <v>577</v>
      </c>
      <c r="D4" t="s">
        <v>1603</v>
      </c>
      <c r="E4" t="s">
        <v>16</v>
      </c>
      <c r="F4">
        <v>2</v>
      </c>
      <c r="G4" t="s">
        <v>1628</v>
      </c>
      <c r="H4" s="11" t="s">
        <v>1628</v>
      </c>
      <c r="I4" s="1">
        <v>42734</v>
      </c>
      <c r="J4" s="11">
        <v>30</v>
      </c>
      <c r="K4" s="11">
        <v>12</v>
      </c>
      <c r="L4" s="11">
        <v>2016</v>
      </c>
      <c r="M4" s="11" t="s">
        <v>1723</v>
      </c>
      <c r="N4" t="s">
        <v>7</v>
      </c>
      <c r="O4" t="s">
        <v>10</v>
      </c>
      <c r="P4" t="s">
        <v>588</v>
      </c>
      <c r="Q4" t="s">
        <v>588</v>
      </c>
      <c r="R4" t="s">
        <v>588</v>
      </c>
      <c r="S4" t="s">
        <v>588</v>
      </c>
      <c r="T4">
        <v>1</v>
      </c>
      <c r="U4">
        <v>3</v>
      </c>
      <c r="V4" t="s">
        <v>588</v>
      </c>
      <c r="W4" t="s">
        <v>588</v>
      </c>
      <c r="X4">
        <v>2</v>
      </c>
      <c r="Y4">
        <v>2</v>
      </c>
      <c r="Z4" t="s">
        <v>41</v>
      </c>
      <c r="AA4" s="1">
        <v>42734</v>
      </c>
      <c r="AB4" s="11">
        <v>30</v>
      </c>
      <c r="AC4" s="11">
        <v>12</v>
      </c>
      <c r="AD4" s="11">
        <v>2016</v>
      </c>
      <c r="AE4" s="13" t="s">
        <v>1723</v>
      </c>
      <c r="AF4" t="s">
        <v>7</v>
      </c>
      <c r="AG4" s="1">
        <v>42748</v>
      </c>
      <c r="AH4" s="11">
        <v>13</v>
      </c>
      <c r="AI4" s="11">
        <v>1</v>
      </c>
      <c r="AJ4" s="11">
        <v>2017</v>
      </c>
      <c r="AK4" s="13" t="s">
        <v>1722</v>
      </c>
      <c r="AL4" t="s">
        <v>12</v>
      </c>
      <c r="AM4" t="s">
        <v>20</v>
      </c>
      <c r="AN4" t="s">
        <v>41</v>
      </c>
      <c r="AO4" t="s">
        <v>48</v>
      </c>
      <c r="AP4" t="s">
        <v>588</v>
      </c>
      <c r="AQ4" t="s">
        <v>588</v>
      </c>
      <c r="AR4" t="s">
        <v>588</v>
      </c>
      <c r="AS4" t="s">
        <v>588</v>
      </c>
      <c r="AT4" t="s">
        <v>588</v>
      </c>
      <c r="AU4" t="s">
        <v>588</v>
      </c>
      <c r="AV4" t="s">
        <v>588</v>
      </c>
      <c r="AW4" t="s">
        <v>588</v>
      </c>
      <c r="AX4" t="s">
        <v>588</v>
      </c>
      <c r="AY4" t="s">
        <v>588</v>
      </c>
      <c r="AZ4" t="s">
        <v>588</v>
      </c>
      <c r="BA4" t="s">
        <v>588</v>
      </c>
      <c r="BB4" t="s">
        <v>588</v>
      </c>
      <c r="BC4" t="s">
        <v>588</v>
      </c>
      <c r="BD4" t="s">
        <v>588</v>
      </c>
      <c r="BE4" t="s">
        <v>588</v>
      </c>
      <c r="BF4" t="s">
        <v>588</v>
      </c>
      <c r="BG4" t="s">
        <v>588</v>
      </c>
      <c r="BH4" t="s">
        <v>588</v>
      </c>
      <c r="BI4" t="s">
        <v>588</v>
      </c>
      <c r="BJ4" t="s">
        <v>588</v>
      </c>
      <c r="BK4" t="s">
        <v>588</v>
      </c>
      <c r="BL4" t="s">
        <v>588</v>
      </c>
      <c r="BM4" t="s">
        <v>588</v>
      </c>
      <c r="BN4" t="s">
        <v>588</v>
      </c>
      <c r="BO4" t="s">
        <v>588</v>
      </c>
      <c r="BP4" t="s">
        <v>588</v>
      </c>
      <c r="BQ4" t="s">
        <v>588</v>
      </c>
      <c r="BR4" t="s">
        <v>588</v>
      </c>
      <c r="BS4" t="s">
        <v>41</v>
      </c>
      <c r="BT4" t="s">
        <v>42</v>
      </c>
      <c r="BU4" t="s">
        <v>42</v>
      </c>
      <c r="BV4" t="s">
        <v>588</v>
      </c>
      <c r="BW4" t="s">
        <v>588</v>
      </c>
      <c r="BX4" t="s">
        <v>588</v>
      </c>
      <c r="BY4" t="s">
        <v>588</v>
      </c>
      <c r="BZ4" t="s">
        <v>588</v>
      </c>
    </row>
    <row r="5" spans="1:78" x14ac:dyDescent="0.25">
      <c r="A5">
        <v>201617</v>
      </c>
      <c r="B5" t="s">
        <v>577</v>
      </c>
      <c r="C5" t="s">
        <v>577</v>
      </c>
      <c r="D5" t="s">
        <v>1603</v>
      </c>
      <c r="E5" t="s">
        <v>16</v>
      </c>
      <c r="F5">
        <v>3</v>
      </c>
      <c r="G5" t="s">
        <v>1629</v>
      </c>
      <c r="H5" s="11" t="s">
        <v>1629</v>
      </c>
      <c r="I5" s="1">
        <v>42756</v>
      </c>
      <c r="J5" s="11">
        <v>21</v>
      </c>
      <c r="K5" s="11">
        <v>1</v>
      </c>
      <c r="L5" s="11">
        <v>2017</v>
      </c>
      <c r="M5" s="11" t="s">
        <v>1771</v>
      </c>
      <c r="N5" t="s">
        <v>12</v>
      </c>
      <c r="O5" t="s">
        <v>10</v>
      </c>
      <c r="P5">
        <v>-38.61721</v>
      </c>
      <c r="Q5">
        <v>145.542877</v>
      </c>
      <c r="R5" t="s">
        <v>588</v>
      </c>
      <c r="S5" t="s">
        <v>588</v>
      </c>
      <c r="T5">
        <v>2</v>
      </c>
      <c r="U5">
        <v>3</v>
      </c>
      <c r="V5" t="s">
        <v>588</v>
      </c>
      <c r="W5" t="s">
        <v>588</v>
      </c>
      <c r="X5">
        <v>2</v>
      </c>
      <c r="Y5">
        <v>2</v>
      </c>
      <c r="Z5" t="s">
        <v>41</v>
      </c>
      <c r="AA5" s="1">
        <v>42756</v>
      </c>
      <c r="AB5" s="11">
        <v>21</v>
      </c>
      <c r="AC5" s="11">
        <v>1</v>
      </c>
      <c r="AD5" s="11">
        <v>2017</v>
      </c>
      <c r="AE5" s="13" t="s">
        <v>1771</v>
      </c>
      <c r="AF5" t="s">
        <v>12</v>
      </c>
      <c r="AG5" s="1">
        <v>42774</v>
      </c>
      <c r="AH5" s="11">
        <v>8</v>
      </c>
      <c r="AI5" s="11">
        <v>2</v>
      </c>
      <c r="AJ5" s="11">
        <v>2017</v>
      </c>
      <c r="AK5" s="13" t="s">
        <v>1724</v>
      </c>
      <c r="AL5" t="s">
        <v>21</v>
      </c>
      <c r="AM5" t="s">
        <v>20</v>
      </c>
      <c r="AN5" t="s">
        <v>41</v>
      </c>
      <c r="AO5" t="s">
        <v>20</v>
      </c>
      <c r="AP5" t="s">
        <v>588</v>
      </c>
      <c r="AQ5" t="s">
        <v>588</v>
      </c>
      <c r="AR5" t="s">
        <v>588</v>
      </c>
      <c r="AS5" t="s">
        <v>588</v>
      </c>
      <c r="AT5" t="s">
        <v>588</v>
      </c>
      <c r="AU5" t="s">
        <v>588</v>
      </c>
      <c r="AV5" t="s">
        <v>588</v>
      </c>
      <c r="AW5" t="s">
        <v>588</v>
      </c>
      <c r="AX5" t="s">
        <v>588</v>
      </c>
      <c r="AY5" t="s">
        <v>588</v>
      </c>
      <c r="AZ5" t="s">
        <v>588</v>
      </c>
      <c r="BA5" t="s">
        <v>588</v>
      </c>
      <c r="BB5" t="s">
        <v>588</v>
      </c>
      <c r="BC5" t="s">
        <v>588</v>
      </c>
      <c r="BD5" t="s">
        <v>588</v>
      </c>
      <c r="BE5" t="s">
        <v>588</v>
      </c>
      <c r="BF5" t="s">
        <v>588</v>
      </c>
      <c r="BG5" t="s">
        <v>588</v>
      </c>
      <c r="BH5" t="s">
        <v>588</v>
      </c>
      <c r="BI5" t="s">
        <v>588</v>
      </c>
      <c r="BJ5" t="s">
        <v>588</v>
      </c>
      <c r="BK5" t="s">
        <v>588</v>
      </c>
      <c r="BL5" t="s">
        <v>588</v>
      </c>
      <c r="BM5" t="s">
        <v>588</v>
      </c>
      <c r="BN5" t="s">
        <v>588</v>
      </c>
      <c r="BO5" t="s">
        <v>588</v>
      </c>
      <c r="BP5" t="s">
        <v>588</v>
      </c>
      <c r="BQ5" t="s">
        <v>588</v>
      </c>
      <c r="BR5" t="s">
        <v>588</v>
      </c>
      <c r="BS5" t="s">
        <v>41</v>
      </c>
      <c r="BT5" t="s">
        <v>42</v>
      </c>
      <c r="BU5" t="s">
        <v>42</v>
      </c>
      <c r="BV5" t="s">
        <v>588</v>
      </c>
      <c r="BW5" t="s">
        <v>588</v>
      </c>
      <c r="BX5" t="s">
        <v>588</v>
      </c>
      <c r="BY5" t="s">
        <v>588</v>
      </c>
      <c r="BZ5" t="s">
        <v>588</v>
      </c>
    </row>
    <row r="6" spans="1:78" x14ac:dyDescent="0.25">
      <c r="A6">
        <v>201617</v>
      </c>
      <c r="B6" t="s">
        <v>577</v>
      </c>
      <c r="C6" t="s">
        <v>577</v>
      </c>
      <c r="D6" t="s">
        <v>1603</v>
      </c>
      <c r="E6" t="s">
        <v>16</v>
      </c>
      <c r="F6">
        <v>4</v>
      </c>
      <c r="G6" t="s">
        <v>1630</v>
      </c>
      <c r="H6" s="11" t="s">
        <v>1630</v>
      </c>
      <c r="I6" s="1">
        <v>42774</v>
      </c>
      <c r="J6" s="11">
        <v>8</v>
      </c>
      <c r="K6" s="11">
        <v>2</v>
      </c>
      <c r="L6" s="11">
        <v>2017</v>
      </c>
      <c r="M6" s="11" t="s">
        <v>1724</v>
      </c>
      <c r="N6" t="s">
        <v>21</v>
      </c>
      <c r="O6" t="s">
        <v>10</v>
      </c>
      <c r="P6">
        <v>-38.618160000000003</v>
      </c>
      <c r="Q6">
        <v>145.54337000000001</v>
      </c>
      <c r="R6" t="s">
        <v>588</v>
      </c>
      <c r="S6" t="s">
        <v>588</v>
      </c>
      <c r="T6">
        <v>3</v>
      </c>
      <c r="U6">
        <v>3</v>
      </c>
      <c r="V6" s="1">
        <v>42778</v>
      </c>
      <c r="W6" t="s">
        <v>223</v>
      </c>
      <c r="X6">
        <v>5</v>
      </c>
      <c r="Y6">
        <v>5</v>
      </c>
      <c r="Z6" t="s">
        <v>41</v>
      </c>
      <c r="AA6" s="1">
        <v>42811</v>
      </c>
      <c r="AB6" s="11">
        <v>17</v>
      </c>
      <c r="AC6" s="11">
        <v>3</v>
      </c>
      <c r="AD6" s="11">
        <v>2017</v>
      </c>
      <c r="AE6" s="13" t="s">
        <v>1772</v>
      </c>
      <c r="AF6" t="s">
        <v>22</v>
      </c>
      <c r="AG6" s="1">
        <v>42829</v>
      </c>
      <c r="AH6" s="11">
        <v>4</v>
      </c>
      <c r="AI6" s="11">
        <v>4</v>
      </c>
      <c r="AJ6" s="11">
        <v>2017</v>
      </c>
      <c r="AK6" s="13" t="s">
        <v>1725</v>
      </c>
      <c r="AL6" t="s">
        <v>72</v>
      </c>
      <c r="AM6" t="s">
        <v>25</v>
      </c>
      <c r="AN6" t="s">
        <v>8</v>
      </c>
      <c r="AO6" t="s">
        <v>1604</v>
      </c>
      <c r="AP6" t="s">
        <v>588</v>
      </c>
      <c r="AQ6" t="s">
        <v>588</v>
      </c>
      <c r="AR6" t="s">
        <v>588</v>
      </c>
      <c r="AS6" t="s">
        <v>588</v>
      </c>
      <c r="AT6" t="s">
        <v>588</v>
      </c>
      <c r="AU6" t="s">
        <v>588</v>
      </c>
      <c r="AV6" t="s">
        <v>588</v>
      </c>
      <c r="AW6" t="s">
        <v>588</v>
      </c>
      <c r="AX6" t="s">
        <v>588</v>
      </c>
      <c r="AY6" t="s">
        <v>588</v>
      </c>
      <c r="AZ6" t="s">
        <v>588</v>
      </c>
      <c r="BA6" t="s">
        <v>588</v>
      </c>
      <c r="BB6" t="s">
        <v>588</v>
      </c>
      <c r="BC6" t="s">
        <v>588</v>
      </c>
      <c r="BD6" t="s">
        <v>588</v>
      </c>
      <c r="BE6" t="s">
        <v>588</v>
      </c>
      <c r="BF6" t="s">
        <v>588</v>
      </c>
      <c r="BG6" t="s">
        <v>588</v>
      </c>
      <c r="BH6" t="s">
        <v>588</v>
      </c>
      <c r="BI6" t="s">
        <v>588</v>
      </c>
      <c r="BJ6" t="s">
        <v>588</v>
      </c>
      <c r="BK6" t="s">
        <v>588</v>
      </c>
      <c r="BL6" t="s">
        <v>588</v>
      </c>
      <c r="BM6" t="s">
        <v>588</v>
      </c>
      <c r="BN6" t="s">
        <v>588</v>
      </c>
      <c r="BO6" t="s">
        <v>588</v>
      </c>
      <c r="BP6" t="s">
        <v>588</v>
      </c>
      <c r="BQ6" t="s">
        <v>588</v>
      </c>
      <c r="BR6" t="s">
        <v>588</v>
      </c>
      <c r="BS6" t="s">
        <v>41</v>
      </c>
      <c r="BT6" t="s">
        <v>42</v>
      </c>
      <c r="BU6" t="s">
        <v>42</v>
      </c>
      <c r="BV6" t="s">
        <v>588</v>
      </c>
      <c r="BW6" t="s">
        <v>588</v>
      </c>
      <c r="BX6" t="s">
        <v>588</v>
      </c>
      <c r="BY6" t="s">
        <v>588</v>
      </c>
      <c r="BZ6" t="s">
        <v>588</v>
      </c>
    </row>
    <row r="7" spans="1:78" x14ac:dyDescent="0.25">
      <c r="A7">
        <v>201617</v>
      </c>
      <c r="B7" t="s">
        <v>380</v>
      </c>
      <c r="C7" t="s">
        <v>380</v>
      </c>
      <c r="D7" t="s">
        <v>1605</v>
      </c>
      <c r="E7" t="s">
        <v>16</v>
      </c>
      <c r="F7">
        <v>1</v>
      </c>
      <c r="G7" t="s">
        <v>1631</v>
      </c>
      <c r="H7" s="11" t="s">
        <v>1631</v>
      </c>
      <c r="I7" s="1">
        <v>42731</v>
      </c>
      <c r="J7" s="11">
        <v>27</v>
      </c>
      <c r="K7" s="11">
        <v>12</v>
      </c>
      <c r="L7" s="11">
        <v>2016</v>
      </c>
      <c r="M7" s="11" t="s">
        <v>1770</v>
      </c>
      <c r="N7" t="s">
        <v>7</v>
      </c>
      <c r="O7" t="s">
        <v>10</v>
      </c>
      <c r="P7">
        <v>-38.620980000000003</v>
      </c>
      <c r="Q7">
        <v>145.54501999999999</v>
      </c>
      <c r="R7" t="s">
        <v>588</v>
      </c>
      <c r="S7" t="s">
        <v>588</v>
      </c>
      <c r="T7">
        <v>2</v>
      </c>
      <c r="U7">
        <v>3</v>
      </c>
      <c r="V7" t="s">
        <v>588</v>
      </c>
      <c r="W7" t="s">
        <v>588</v>
      </c>
      <c r="X7">
        <v>3</v>
      </c>
      <c r="Y7">
        <v>3</v>
      </c>
      <c r="Z7" t="s">
        <v>41</v>
      </c>
      <c r="AA7" s="1">
        <v>42734</v>
      </c>
      <c r="AB7" s="11">
        <v>30</v>
      </c>
      <c r="AC7" s="11">
        <v>12</v>
      </c>
      <c r="AD7" s="11">
        <v>2016</v>
      </c>
      <c r="AE7" s="13" t="s">
        <v>1723</v>
      </c>
      <c r="AF7" t="s">
        <v>7</v>
      </c>
      <c r="AG7" s="1">
        <v>42748</v>
      </c>
      <c r="AH7" s="11">
        <v>13</v>
      </c>
      <c r="AI7" s="11">
        <v>1</v>
      </c>
      <c r="AJ7" s="11">
        <v>2017</v>
      </c>
      <c r="AK7" s="13" t="s">
        <v>1722</v>
      </c>
      <c r="AL7" t="s">
        <v>12</v>
      </c>
      <c r="AM7" s="1" t="s">
        <v>20</v>
      </c>
      <c r="AN7" t="s">
        <v>41</v>
      </c>
      <c r="AO7" s="1" t="s">
        <v>20</v>
      </c>
      <c r="AP7" t="s">
        <v>588</v>
      </c>
      <c r="AQ7" s="1" t="s">
        <v>588</v>
      </c>
      <c r="AR7" t="s">
        <v>588</v>
      </c>
      <c r="AS7" s="1" t="s">
        <v>588</v>
      </c>
      <c r="AT7" t="s">
        <v>588</v>
      </c>
      <c r="AU7" s="1" t="s">
        <v>588</v>
      </c>
      <c r="AV7" t="s">
        <v>588</v>
      </c>
      <c r="AW7" s="1" t="s">
        <v>588</v>
      </c>
      <c r="AX7" t="s">
        <v>588</v>
      </c>
      <c r="AY7" s="1" t="s">
        <v>588</v>
      </c>
      <c r="AZ7" t="s">
        <v>588</v>
      </c>
      <c r="BA7" s="1" t="s">
        <v>588</v>
      </c>
      <c r="BB7" t="s">
        <v>588</v>
      </c>
      <c r="BC7" s="1" t="s">
        <v>588</v>
      </c>
      <c r="BD7" t="s">
        <v>588</v>
      </c>
      <c r="BE7" s="1" t="s">
        <v>588</v>
      </c>
      <c r="BF7" t="s">
        <v>588</v>
      </c>
      <c r="BG7" s="1" t="s">
        <v>588</v>
      </c>
      <c r="BH7" t="s">
        <v>588</v>
      </c>
      <c r="BI7" s="1" t="s">
        <v>588</v>
      </c>
      <c r="BJ7" t="s">
        <v>588</v>
      </c>
      <c r="BK7" s="1" t="s">
        <v>588</v>
      </c>
      <c r="BL7" t="s">
        <v>588</v>
      </c>
      <c r="BM7" s="1" t="s">
        <v>588</v>
      </c>
      <c r="BN7" t="s">
        <v>588</v>
      </c>
      <c r="BO7" s="1" t="s">
        <v>588</v>
      </c>
      <c r="BP7" t="s">
        <v>588</v>
      </c>
      <c r="BQ7" s="1" t="s">
        <v>588</v>
      </c>
      <c r="BR7" t="s">
        <v>588</v>
      </c>
      <c r="BS7" t="s">
        <v>41</v>
      </c>
      <c r="BT7" t="s">
        <v>42</v>
      </c>
      <c r="BU7" t="s">
        <v>42</v>
      </c>
      <c r="BV7" t="s">
        <v>588</v>
      </c>
      <c r="BW7" t="s">
        <v>588</v>
      </c>
      <c r="BX7" t="s">
        <v>588</v>
      </c>
      <c r="BY7" t="s">
        <v>588</v>
      </c>
      <c r="BZ7" t="s">
        <v>588</v>
      </c>
    </row>
    <row r="8" spans="1:78" x14ac:dyDescent="0.25">
      <c r="A8">
        <v>201617</v>
      </c>
      <c r="B8" t="s">
        <v>380</v>
      </c>
      <c r="C8" t="s">
        <v>380</v>
      </c>
      <c r="D8" t="s">
        <v>588</v>
      </c>
      <c r="E8" t="s">
        <v>588</v>
      </c>
      <c r="F8">
        <v>2</v>
      </c>
      <c r="G8" t="s">
        <v>1632</v>
      </c>
      <c r="H8" s="11" t="s">
        <v>1632</v>
      </c>
      <c r="I8" s="1">
        <v>42748</v>
      </c>
      <c r="J8" s="11">
        <v>13</v>
      </c>
      <c r="K8" s="11">
        <v>1</v>
      </c>
      <c r="L8" s="11">
        <v>2017</v>
      </c>
      <c r="M8" s="11" t="s">
        <v>1722</v>
      </c>
      <c r="N8" t="s">
        <v>12</v>
      </c>
      <c r="O8" t="s">
        <v>10</v>
      </c>
      <c r="P8">
        <v>-38.621899999999997</v>
      </c>
      <c r="Q8">
        <v>145.54557</v>
      </c>
      <c r="R8" t="s">
        <v>588</v>
      </c>
      <c r="S8" t="s">
        <v>588</v>
      </c>
      <c r="T8">
        <v>3</v>
      </c>
      <c r="U8">
        <v>3</v>
      </c>
      <c r="V8" t="s">
        <v>588</v>
      </c>
      <c r="W8" t="s">
        <v>588</v>
      </c>
      <c r="X8">
        <v>2</v>
      </c>
      <c r="Y8">
        <v>2</v>
      </c>
      <c r="Z8" t="s">
        <v>41</v>
      </c>
      <c r="AA8" s="1">
        <v>42748</v>
      </c>
      <c r="AB8" s="11">
        <v>13</v>
      </c>
      <c r="AC8" s="11">
        <v>1</v>
      </c>
      <c r="AD8" s="11">
        <v>2017</v>
      </c>
      <c r="AE8" s="13" t="s">
        <v>1722</v>
      </c>
      <c r="AF8" t="s">
        <v>12</v>
      </c>
      <c r="AG8" s="1">
        <v>42774</v>
      </c>
      <c r="AH8" s="11">
        <v>8</v>
      </c>
      <c r="AI8" s="11">
        <v>2</v>
      </c>
      <c r="AJ8" s="11">
        <v>2017</v>
      </c>
      <c r="AK8" s="13" t="s">
        <v>1724</v>
      </c>
      <c r="AL8" t="s">
        <v>21</v>
      </c>
      <c r="AM8" s="1" t="s">
        <v>20</v>
      </c>
      <c r="AN8" t="s">
        <v>8</v>
      </c>
      <c r="AO8" t="s">
        <v>48</v>
      </c>
      <c r="AP8" t="s">
        <v>588</v>
      </c>
      <c r="AQ8" t="s">
        <v>588</v>
      </c>
      <c r="AR8" t="s">
        <v>588</v>
      </c>
      <c r="AS8" t="s">
        <v>588</v>
      </c>
      <c r="AT8" t="s">
        <v>588</v>
      </c>
      <c r="AU8" t="s">
        <v>588</v>
      </c>
      <c r="AV8" t="s">
        <v>588</v>
      </c>
      <c r="AW8" t="s">
        <v>588</v>
      </c>
      <c r="AX8" t="s">
        <v>588</v>
      </c>
      <c r="AY8" t="s">
        <v>588</v>
      </c>
      <c r="AZ8" t="s">
        <v>588</v>
      </c>
      <c r="BA8" t="s">
        <v>588</v>
      </c>
      <c r="BB8" t="s">
        <v>588</v>
      </c>
      <c r="BC8" t="s">
        <v>588</v>
      </c>
      <c r="BD8" t="s">
        <v>588</v>
      </c>
      <c r="BE8" t="s">
        <v>588</v>
      </c>
      <c r="BF8" t="s">
        <v>588</v>
      </c>
      <c r="BG8" t="s">
        <v>588</v>
      </c>
      <c r="BH8" t="s">
        <v>588</v>
      </c>
      <c r="BI8" t="s">
        <v>588</v>
      </c>
      <c r="BJ8" t="s">
        <v>588</v>
      </c>
      <c r="BK8" t="s">
        <v>588</v>
      </c>
      <c r="BL8" t="s">
        <v>588</v>
      </c>
      <c r="BM8" t="s">
        <v>588</v>
      </c>
      <c r="BN8" t="s">
        <v>588</v>
      </c>
      <c r="BO8" t="s">
        <v>588</v>
      </c>
      <c r="BP8" t="s">
        <v>588</v>
      </c>
      <c r="BQ8" t="s">
        <v>588</v>
      </c>
      <c r="BR8" t="s">
        <v>588</v>
      </c>
      <c r="BS8" t="s">
        <v>41</v>
      </c>
      <c r="BT8" t="s">
        <v>42</v>
      </c>
      <c r="BU8" t="s">
        <v>42</v>
      </c>
      <c r="BV8" t="s">
        <v>588</v>
      </c>
      <c r="BW8" t="s">
        <v>588</v>
      </c>
      <c r="BX8" t="s">
        <v>588</v>
      </c>
      <c r="BY8" t="s">
        <v>588</v>
      </c>
      <c r="BZ8" t="s">
        <v>588</v>
      </c>
    </row>
    <row r="9" spans="1:78" x14ac:dyDescent="0.25">
      <c r="A9">
        <v>201617</v>
      </c>
      <c r="B9" t="s">
        <v>380</v>
      </c>
      <c r="C9" t="s">
        <v>380</v>
      </c>
      <c r="D9" t="s">
        <v>588</v>
      </c>
      <c r="E9" t="s">
        <v>588</v>
      </c>
      <c r="F9">
        <v>3</v>
      </c>
      <c r="G9" t="s">
        <v>1633</v>
      </c>
      <c r="H9" s="11" t="s">
        <v>1633</v>
      </c>
      <c r="I9" s="1">
        <v>42774</v>
      </c>
      <c r="J9" s="11">
        <v>8</v>
      </c>
      <c r="K9" s="11">
        <v>2</v>
      </c>
      <c r="L9" s="11">
        <v>2017</v>
      </c>
      <c r="M9" s="11" t="s">
        <v>1724</v>
      </c>
      <c r="N9" t="s">
        <v>21</v>
      </c>
      <c r="O9" t="s">
        <v>10</v>
      </c>
      <c r="P9">
        <v>-38.619529999999997</v>
      </c>
      <c r="Q9">
        <v>145.54418999999999</v>
      </c>
      <c r="R9" t="s">
        <v>588</v>
      </c>
      <c r="S9" t="s">
        <v>588</v>
      </c>
      <c r="T9">
        <v>2</v>
      </c>
      <c r="U9">
        <v>3</v>
      </c>
      <c r="V9" t="s">
        <v>588</v>
      </c>
      <c r="W9" t="s">
        <v>588</v>
      </c>
      <c r="X9">
        <v>1</v>
      </c>
      <c r="Y9">
        <v>1</v>
      </c>
      <c r="Z9" t="s">
        <v>8</v>
      </c>
      <c r="AA9" s="1">
        <v>42774</v>
      </c>
      <c r="AB9" s="11">
        <v>8</v>
      </c>
      <c r="AC9" s="11">
        <v>2</v>
      </c>
      <c r="AD9" s="11">
        <v>2017</v>
      </c>
      <c r="AE9" s="13" t="s">
        <v>1724</v>
      </c>
      <c r="AF9" t="s">
        <v>21</v>
      </c>
      <c r="AG9" t="s">
        <v>588</v>
      </c>
      <c r="AH9" s="11" t="s">
        <v>588</v>
      </c>
      <c r="AI9" s="11" t="s">
        <v>588</v>
      </c>
      <c r="AJ9" s="11" t="s">
        <v>588</v>
      </c>
      <c r="AK9" s="13" t="s">
        <v>588</v>
      </c>
      <c r="AL9" t="s">
        <v>588</v>
      </c>
      <c r="AM9" t="s">
        <v>588</v>
      </c>
      <c r="AN9" t="s">
        <v>588</v>
      </c>
      <c r="AO9" t="s">
        <v>588</v>
      </c>
      <c r="AP9" s="1">
        <v>42802</v>
      </c>
      <c r="AQ9" t="s">
        <v>22</v>
      </c>
      <c r="AR9" t="s">
        <v>194</v>
      </c>
      <c r="AS9">
        <v>1</v>
      </c>
      <c r="AT9">
        <v>3</v>
      </c>
      <c r="AU9" t="s">
        <v>588</v>
      </c>
      <c r="AV9" t="s">
        <v>588</v>
      </c>
      <c r="AW9" t="s">
        <v>588</v>
      </c>
      <c r="AX9" t="s">
        <v>588</v>
      </c>
      <c r="AY9" t="s">
        <v>588</v>
      </c>
      <c r="AZ9" t="s">
        <v>588</v>
      </c>
      <c r="BA9" t="s">
        <v>588</v>
      </c>
      <c r="BB9" t="s">
        <v>588</v>
      </c>
      <c r="BC9" t="s">
        <v>588</v>
      </c>
      <c r="BD9" t="s">
        <v>588</v>
      </c>
      <c r="BE9" t="s">
        <v>588</v>
      </c>
      <c r="BF9" t="s">
        <v>588</v>
      </c>
      <c r="BG9" t="s">
        <v>588</v>
      </c>
      <c r="BH9" t="s">
        <v>588</v>
      </c>
      <c r="BI9" t="s">
        <v>588</v>
      </c>
      <c r="BJ9" t="s">
        <v>588</v>
      </c>
      <c r="BK9" t="s">
        <v>588</v>
      </c>
      <c r="BL9" t="s">
        <v>588</v>
      </c>
      <c r="BM9">
        <v>3</v>
      </c>
      <c r="BN9">
        <v>3</v>
      </c>
      <c r="BO9" t="s">
        <v>8</v>
      </c>
      <c r="BP9">
        <v>1</v>
      </c>
      <c r="BQ9" s="1">
        <v>42829</v>
      </c>
      <c r="BR9" t="s">
        <v>72</v>
      </c>
      <c r="BS9" t="s">
        <v>41</v>
      </c>
      <c r="BT9" t="s">
        <v>42</v>
      </c>
      <c r="BU9" t="s">
        <v>42</v>
      </c>
      <c r="BV9" t="s">
        <v>41</v>
      </c>
      <c r="BW9" t="s">
        <v>42</v>
      </c>
      <c r="BX9" t="s">
        <v>42</v>
      </c>
      <c r="BY9" t="s">
        <v>588</v>
      </c>
      <c r="BZ9" t="s">
        <v>588</v>
      </c>
    </row>
    <row r="10" spans="1:78" x14ac:dyDescent="0.25">
      <c r="A10">
        <v>201617</v>
      </c>
      <c r="B10" t="s">
        <v>239</v>
      </c>
      <c r="C10" t="s">
        <v>239</v>
      </c>
      <c r="D10" t="s">
        <v>1438</v>
      </c>
      <c r="E10" t="s">
        <v>240</v>
      </c>
      <c r="F10">
        <v>1</v>
      </c>
      <c r="G10" t="s">
        <v>1634</v>
      </c>
      <c r="H10" s="11" t="s">
        <v>1634</v>
      </c>
      <c r="I10" s="1">
        <v>42734</v>
      </c>
      <c r="J10" s="11">
        <v>30</v>
      </c>
      <c r="K10" s="11">
        <v>12</v>
      </c>
      <c r="L10" s="11">
        <v>2016</v>
      </c>
      <c r="M10" s="11" t="s">
        <v>1723</v>
      </c>
      <c r="N10" t="s">
        <v>7</v>
      </c>
      <c r="O10" t="s">
        <v>51</v>
      </c>
      <c r="P10">
        <v>-38.628590000000003</v>
      </c>
      <c r="Q10">
        <v>145.54918000000001</v>
      </c>
      <c r="R10" t="s">
        <v>588</v>
      </c>
      <c r="S10" t="s">
        <v>588</v>
      </c>
      <c r="T10">
        <v>2</v>
      </c>
      <c r="U10">
        <v>3</v>
      </c>
      <c r="V10" t="s">
        <v>588</v>
      </c>
      <c r="W10" t="s">
        <v>588</v>
      </c>
      <c r="X10">
        <v>2</v>
      </c>
      <c r="Y10">
        <v>2</v>
      </c>
      <c r="Z10" t="s">
        <v>41</v>
      </c>
      <c r="AA10" s="1">
        <v>42734</v>
      </c>
      <c r="AB10" s="11">
        <v>30</v>
      </c>
      <c r="AC10" s="11">
        <v>12</v>
      </c>
      <c r="AD10" s="11">
        <v>2016</v>
      </c>
      <c r="AE10" s="13" t="s">
        <v>1723</v>
      </c>
      <c r="AF10" t="s">
        <v>7</v>
      </c>
      <c r="AG10" s="1">
        <v>42748</v>
      </c>
      <c r="AH10" s="11">
        <v>13</v>
      </c>
      <c r="AI10" s="11">
        <v>1</v>
      </c>
      <c r="AJ10" s="11">
        <v>2017</v>
      </c>
      <c r="AK10" s="13" t="s">
        <v>1722</v>
      </c>
      <c r="AL10" t="s">
        <v>12</v>
      </c>
      <c r="AM10" t="s">
        <v>20</v>
      </c>
      <c r="AN10" t="s">
        <v>8</v>
      </c>
      <c r="AO10" t="s">
        <v>1606</v>
      </c>
      <c r="AP10" t="s">
        <v>588</v>
      </c>
      <c r="AQ10" t="s">
        <v>588</v>
      </c>
      <c r="AR10" t="s">
        <v>588</v>
      </c>
      <c r="AS10" t="s">
        <v>588</v>
      </c>
      <c r="AT10" t="s">
        <v>588</v>
      </c>
      <c r="AU10" t="s">
        <v>588</v>
      </c>
      <c r="AV10" t="s">
        <v>588</v>
      </c>
      <c r="AW10" t="s">
        <v>588</v>
      </c>
      <c r="AX10" t="s">
        <v>588</v>
      </c>
      <c r="AY10" t="s">
        <v>588</v>
      </c>
      <c r="AZ10" t="s">
        <v>588</v>
      </c>
      <c r="BA10" t="s">
        <v>588</v>
      </c>
      <c r="BB10" t="s">
        <v>588</v>
      </c>
      <c r="BC10" t="s">
        <v>588</v>
      </c>
      <c r="BD10" t="s">
        <v>588</v>
      </c>
      <c r="BE10" t="s">
        <v>588</v>
      </c>
      <c r="BF10" t="s">
        <v>588</v>
      </c>
      <c r="BG10" t="s">
        <v>588</v>
      </c>
      <c r="BH10" t="s">
        <v>588</v>
      </c>
      <c r="BI10" t="s">
        <v>588</v>
      </c>
      <c r="BJ10" t="s">
        <v>588</v>
      </c>
      <c r="BK10" t="s">
        <v>588</v>
      </c>
      <c r="BL10" t="s">
        <v>588</v>
      </c>
      <c r="BM10" t="s">
        <v>588</v>
      </c>
      <c r="BN10" t="s">
        <v>588</v>
      </c>
      <c r="BO10" t="s">
        <v>588</v>
      </c>
      <c r="BP10" t="s">
        <v>588</v>
      </c>
      <c r="BQ10" t="s">
        <v>588</v>
      </c>
      <c r="BR10" t="s">
        <v>588</v>
      </c>
      <c r="BS10" t="s">
        <v>41</v>
      </c>
      <c r="BT10" t="s">
        <v>42</v>
      </c>
      <c r="BU10" t="s">
        <v>42</v>
      </c>
      <c r="BV10" t="s">
        <v>588</v>
      </c>
      <c r="BW10" t="s">
        <v>588</v>
      </c>
      <c r="BX10" t="s">
        <v>588</v>
      </c>
      <c r="BY10" t="s">
        <v>588</v>
      </c>
      <c r="BZ10" t="s">
        <v>588</v>
      </c>
    </row>
    <row r="11" spans="1:78" x14ac:dyDescent="0.25">
      <c r="A11">
        <v>201617</v>
      </c>
      <c r="B11" t="s">
        <v>239</v>
      </c>
      <c r="C11" t="s">
        <v>239</v>
      </c>
      <c r="D11" t="s">
        <v>1438</v>
      </c>
      <c r="E11" t="s">
        <v>240</v>
      </c>
      <c r="F11">
        <v>2</v>
      </c>
      <c r="G11" t="s">
        <v>1635</v>
      </c>
      <c r="H11" s="11" t="s">
        <v>1635</v>
      </c>
      <c r="I11" s="1">
        <v>42748</v>
      </c>
      <c r="J11" s="11">
        <v>13</v>
      </c>
      <c r="K11" s="11">
        <v>1</v>
      </c>
      <c r="L11" s="11">
        <v>2017</v>
      </c>
      <c r="M11" s="11" t="s">
        <v>1722</v>
      </c>
      <c r="N11" t="s">
        <v>12</v>
      </c>
      <c r="O11" t="s">
        <v>10</v>
      </c>
      <c r="P11">
        <v>-38.624879999999997</v>
      </c>
      <c r="Q11">
        <v>145.54727</v>
      </c>
      <c r="R11" t="s">
        <v>588</v>
      </c>
      <c r="S11" t="s">
        <v>588</v>
      </c>
      <c r="T11">
        <v>1</v>
      </c>
      <c r="U11">
        <v>3</v>
      </c>
      <c r="V11" t="s">
        <v>588</v>
      </c>
      <c r="W11" t="s">
        <v>588</v>
      </c>
      <c r="X11">
        <v>3</v>
      </c>
      <c r="Y11">
        <v>3</v>
      </c>
      <c r="Z11" t="s">
        <v>41</v>
      </c>
      <c r="AA11" s="1">
        <v>42758</v>
      </c>
      <c r="AB11" s="11">
        <v>23</v>
      </c>
      <c r="AC11" s="11">
        <v>1</v>
      </c>
      <c r="AD11" s="11">
        <v>2017</v>
      </c>
      <c r="AE11" s="13" t="s">
        <v>1738</v>
      </c>
      <c r="AF11" t="s">
        <v>12</v>
      </c>
      <c r="AG11" s="1">
        <v>42769</v>
      </c>
      <c r="AH11" s="11">
        <v>3</v>
      </c>
      <c r="AI11" s="11">
        <v>2</v>
      </c>
      <c r="AJ11" s="11">
        <v>2017</v>
      </c>
      <c r="AK11" s="13" t="s">
        <v>1726</v>
      </c>
      <c r="AL11" t="s">
        <v>21</v>
      </c>
      <c r="AM11" t="s">
        <v>11</v>
      </c>
      <c r="AN11" t="s">
        <v>41</v>
      </c>
      <c r="AO11" t="s">
        <v>20</v>
      </c>
      <c r="AP11" t="s">
        <v>588</v>
      </c>
      <c r="AQ11" t="s">
        <v>588</v>
      </c>
      <c r="AR11" t="s">
        <v>588</v>
      </c>
      <c r="AS11" t="s">
        <v>588</v>
      </c>
      <c r="AT11" t="s">
        <v>588</v>
      </c>
      <c r="AU11" t="s">
        <v>588</v>
      </c>
      <c r="AV11" t="s">
        <v>588</v>
      </c>
      <c r="AW11" t="s">
        <v>588</v>
      </c>
      <c r="AX11" t="s">
        <v>588</v>
      </c>
      <c r="AY11" t="s">
        <v>588</v>
      </c>
      <c r="AZ11" t="s">
        <v>588</v>
      </c>
      <c r="BA11" t="s">
        <v>588</v>
      </c>
      <c r="BB11" t="s">
        <v>588</v>
      </c>
      <c r="BC11" t="s">
        <v>588</v>
      </c>
      <c r="BD11" t="s">
        <v>588</v>
      </c>
      <c r="BE11" t="s">
        <v>588</v>
      </c>
      <c r="BF11" t="s">
        <v>588</v>
      </c>
      <c r="BG11" t="s">
        <v>588</v>
      </c>
      <c r="BH11" t="s">
        <v>588</v>
      </c>
      <c r="BI11" t="s">
        <v>588</v>
      </c>
      <c r="BJ11" t="s">
        <v>588</v>
      </c>
      <c r="BK11" t="s">
        <v>588</v>
      </c>
      <c r="BL11" t="s">
        <v>588</v>
      </c>
      <c r="BM11" t="s">
        <v>588</v>
      </c>
      <c r="BN11" t="s">
        <v>588</v>
      </c>
      <c r="BO11" t="s">
        <v>588</v>
      </c>
      <c r="BP11" t="s">
        <v>588</v>
      </c>
      <c r="BQ11" s="1" t="s">
        <v>588</v>
      </c>
      <c r="BR11" t="s">
        <v>588</v>
      </c>
      <c r="BS11" t="s">
        <v>41</v>
      </c>
      <c r="BT11" t="s">
        <v>42</v>
      </c>
      <c r="BU11" t="s">
        <v>42</v>
      </c>
      <c r="BV11" t="s">
        <v>588</v>
      </c>
      <c r="BW11" t="s">
        <v>588</v>
      </c>
      <c r="BX11" t="s">
        <v>588</v>
      </c>
      <c r="BY11" t="s">
        <v>588</v>
      </c>
      <c r="BZ11" t="s">
        <v>588</v>
      </c>
    </row>
    <row r="12" spans="1:78" x14ac:dyDescent="0.25">
      <c r="A12">
        <v>201617</v>
      </c>
      <c r="B12" t="s">
        <v>239</v>
      </c>
      <c r="C12" t="s">
        <v>239</v>
      </c>
      <c r="D12" t="s">
        <v>1438</v>
      </c>
      <c r="E12" t="s">
        <v>240</v>
      </c>
      <c r="F12">
        <v>3</v>
      </c>
      <c r="G12" t="s">
        <v>1636</v>
      </c>
      <c r="H12" s="11" t="s">
        <v>1636</v>
      </c>
      <c r="I12" s="1">
        <v>42774</v>
      </c>
      <c r="J12" s="11">
        <v>8</v>
      </c>
      <c r="K12" s="11">
        <v>2</v>
      </c>
      <c r="L12" s="11">
        <v>2017</v>
      </c>
      <c r="M12" s="11" t="s">
        <v>1724</v>
      </c>
      <c r="N12" t="s">
        <v>21</v>
      </c>
      <c r="O12" t="s">
        <v>10</v>
      </c>
      <c r="P12">
        <v>-38.624980000000001</v>
      </c>
      <c r="Q12">
        <v>145.54734999999999</v>
      </c>
      <c r="R12" t="s">
        <v>588</v>
      </c>
      <c r="S12" t="s">
        <v>588</v>
      </c>
      <c r="T12">
        <v>1</v>
      </c>
      <c r="U12">
        <v>3</v>
      </c>
      <c r="V12" t="s">
        <v>588</v>
      </c>
      <c r="W12" t="s">
        <v>588</v>
      </c>
      <c r="X12">
        <v>2</v>
      </c>
      <c r="Y12">
        <v>2</v>
      </c>
      <c r="Z12" t="s">
        <v>41</v>
      </c>
      <c r="AA12" s="1">
        <v>42774</v>
      </c>
      <c r="AB12" s="11">
        <v>8</v>
      </c>
      <c r="AC12" s="11">
        <v>2</v>
      </c>
      <c r="AD12" s="11">
        <v>2017</v>
      </c>
      <c r="AE12" s="13" t="s">
        <v>1724</v>
      </c>
      <c r="AF12" t="s">
        <v>21</v>
      </c>
      <c r="AG12" s="1">
        <v>42787</v>
      </c>
      <c r="AH12" s="11">
        <v>21</v>
      </c>
      <c r="AI12" s="11">
        <v>2</v>
      </c>
      <c r="AJ12" s="11">
        <v>2017</v>
      </c>
      <c r="AK12" s="13" t="s">
        <v>1727</v>
      </c>
      <c r="AL12" t="s">
        <v>21</v>
      </c>
      <c r="AM12" t="s">
        <v>20</v>
      </c>
      <c r="AN12" t="s">
        <v>8</v>
      </c>
      <c r="AO12" t="s">
        <v>1606</v>
      </c>
      <c r="AP12" t="s">
        <v>588</v>
      </c>
      <c r="AQ12" t="s">
        <v>588</v>
      </c>
      <c r="AR12" t="s">
        <v>588</v>
      </c>
      <c r="AS12" t="s">
        <v>588</v>
      </c>
      <c r="AT12" t="s">
        <v>588</v>
      </c>
      <c r="AU12" t="s">
        <v>588</v>
      </c>
      <c r="AV12" t="s">
        <v>588</v>
      </c>
      <c r="AW12" t="s">
        <v>588</v>
      </c>
      <c r="AX12" t="s">
        <v>588</v>
      </c>
      <c r="AY12" t="s">
        <v>588</v>
      </c>
      <c r="AZ12" t="s">
        <v>588</v>
      </c>
      <c r="BA12" t="s">
        <v>588</v>
      </c>
      <c r="BB12" t="s">
        <v>588</v>
      </c>
      <c r="BC12" t="s">
        <v>588</v>
      </c>
      <c r="BD12" t="s">
        <v>588</v>
      </c>
      <c r="BE12" t="s">
        <v>588</v>
      </c>
      <c r="BF12" t="s">
        <v>588</v>
      </c>
      <c r="BG12" t="s">
        <v>588</v>
      </c>
      <c r="BH12" t="s">
        <v>588</v>
      </c>
      <c r="BI12" t="s">
        <v>588</v>
      </c>
      <c r="BJ12" t="s">
        <v>588</v>
      </c>
      <c r="BK12" t="s">
        <v>588</v>
      </c>
      <c r="BL12" t="s">
        <v>588</v>
      </c>
      <c r="BM12" t="s">
        <v>588</v>
      </c>
      <c r="BN12" t="s">
        <v>588</v>
      </c>
      <c r="BO12" t="s">
        <v>588</v>
      </c>
      <c r="BP12" t="s">
        <v>588</v>
      </c>
      <c r="BQ12" t="s">
        <v>588</v>
      </c>
      <c r="BR12" t="s">
        <v>588</v>
      </c>
      <c r="BS12" t="s">
        <v>41</v>
      </c>
      <c r="BT12" t="s">
        <v>42</v>
      </c>
      <c r="BU12" t="s">
        <v>42</v>
      </c>
      <c r="BV12" t="s">
        <v>588</v>
      </c>
      <c r="BW12" t="s">
        <v>588</v>
      </c>
      <c r="BX12" t="s">
        <v>588</v>
      </c>
      <c r="BY12" t="s">
        <v>588</v>
      </c>
      <c r="BZ12" t="s">
        <v>588</v>
      </c>
    </row>
    <row r="13" spans="1:78" x14ac:dyDescent="0.25">
      <c r="A13">
        <v>201617</v>
      </c>
      <c r="B13" t="s">
        <v>578</v>
      </c>
      <c r="C13" s="24" t="s">
        <v>242</v>
      </c>
      <c r="D13" t="s">
        <v>570</v>
      </c>
      <c r="E13" t="s">
        <v>244</v>
      </c>
      <c r="F13">
        <v>1</v>
      </c>
      <c r="G13" t="s">
        <v>1637</v>
      </c>
      <c r="H13" s="11" t="s">
        <v>1833</v>
      </c>
      <c r="I13" s="1">
        <v>42694</v>
      </c>
      <c r="J13" s="11">
        <v>20</v>
      </c>
      <c r="K13" s="11">
        <v>11</v>
      </c>
      <c r="L13" s="11">
        <v>2016</v>
      </c>
      <c r="M13" s="11" t="s">
        <v>1773</v>
      </c>
      <c r="N13" t="s">
        <v>17</v>
      </c>
      <c r="O13" t="s">
        <v>51</v>
      </c>
      <c r="P13">
        <v>-38.611539999999998</v>
      </c>
      <c r="Q13">
        <v>145.5385</v>
      </c>
      <c r="R13" t="s">
        <v>588</v>
      </c>
      <c r="S13" t="s">
        <v>588</v>
      </c>
      <c r="T13">
        <v>2</v>
      </c>
      <c r="U13">
        <v>3</v>
      </c>
      <c r="V13" t="s">
        <v>588</v>
      </c>
      <c r="W13" t="s">
        <v>588</v>
      </c>
      <c r="X13">
        <v>3</v>
      </c>
      <c r="Y13">
        <v>3</v>
      </c>
      <c r="Z13" t="s">
        <v>41</v>
      </c>
      <c r="AA13" s="1">
        <v>42698</v>
      </c>
      <c r="AB13" s="11">
        <v>24</v>
      </c>
      <c r="AC13" s="11">
        <v>11</v>
      </c>
      <c r="AD13" s="11">
        <v>2016</v>
      </c>
      <c r="AE13" s="13" t="s">
        <v>1774</v>
      </c>
      <c r="AF13" t="s">
        <v>17</v>
      </c>
      <c r="AG13" s="1">
        <v>42705</v>
      </c>
      <c r="AH13" s="11">
        <v>1</v>
      </c>
      <c r="AI13" s="11">
        <v>12</v>
      </c>
      <c r="AJ13" s="11">
        <v>2016</v>
      </c>
      <c r="AK13" s="13" t="s">
        <v>1728</v>
      </c>
      <c r="AL13" t="s">
        <v>7</v>
      </c>
      <c r="AM13" t="s">
        <v>20</v>
      </c>
      <c r="AN13" t="s">
        <v>8</v>
      </c>
      <c r="AO13" t="s">
        <v>259</v>
      </c>
      <c r="AP13" t="s">
        <v>588</v>
      </c>
      <c r="AQ13" t="s">
        <v>588</v>
      </c>
      <c r="AR13" t="s">
        <v>588</v>
      </c>
      <c r="AS13" t="s">
        <v>588</v>
      </c>
      <c r="AT13" t="s">
        <v>588</v>
      </c>
      <c r="AU13" t="s">
        <v>588</v>
      </c>
      <c r="AV13" t="s">
        <v>588</v>
      </c>
      <c r="AW13" t="s">
        <v>588</v>
      </c>
      <c r="AX13" t="s">
        <v>588</v>
      </c>
      <c r="AY13" t="s">
        <v>588</v>
      </c>
      <c r="AZ13" t="s">
        <v>588</v>
      </c>
      <c r="BA13" t="s">
        <v>588</v>
      </c>
      <c r="BB13" t="s">
        <v>588</v>
      </c>
      <c r="BC13" t="s">
        <v>588</v>
      </c>
      <c r="BD13" t="s">
        <v>588</v>
      </c>
      <c r="BE13" t="s">
        <v>588</v>
      </c>
      <c r="BF13" t="s">
        <v>588</v>
      </c>
      <c r="BG13" t="s">
        <v>588</v>
      </c>
      <c r="BH13" t="s">
        <v>588</v>
      </c>
      <c r="BI13" t="s">
        <v>588</v>
      </c>
      <c r="BJ13" t="s">
        <v>588</v>
      </c>
      <c r="BK13" t="s">
        <v>588</v>
      </c>
      <c r="BL13" t="s">
        <v>588</v>
      </c>
      <c r="BM13" t="s">
        <v>588</v>
      </c>
      <c r="BN13" t="s">
        <v>588</v>
      </c>
      <c r="BO13" t="s">
        <v>588</v>
      </c>
      <c r="BP13" t="s">
        <v>588</v>
      </c>
      <c r="BQ13" s="1" t="s">
        <v>588</v>
      </c>
      <c r="BR13" t="s">
        <v>588</v>
      </c>
      <c r="BS13" t="s">
        <v>41</v>
      </c>
      <c r="BT13" t="s">
        <v>42</v>
      </c>
      <c r="BU13" t="s">
        <v>42</v>
      </c>
      <c r="BV13" t="s">
        <v>588</v>
      </c>
      <c r="BW13" t="s">
        <v>588</v>
      </c>
      <c r="BX13" t="s">
        <v>588</v>
      </c>
      <c r="BY13" t="s">
        <v>588</v>
      </c>
      <c r="BZ13" t="s">
        <v>588</v>
      </c>
    </row>
    <row r="14" spans="1:78" x14ac:dyDescent="0.25">
      <c r="A14">
        <v>201617</v>
      </c>
      <c r="B14" t="s">
        <v>578</v>
      </c>
      <c r="C14" s="24" t="s">
        <v>242</v>
      </c>
      <c r="D14" t="s">
        <v>570</v>
      </c>
      <c r="E14" t="s">
        <v>244</v>
      </c>
      <c r="F14">
        <v>2</v>
      </c>
      <c r="G14" t="s">
        <v>1638</v>
      </c>
      <c r="H14" s="11" t="s">
        <v>1834</v>
      </c>
      <c r="I14" s="1">
        <v>42756</v>
      </c>
      <c r="J14" s="11">
        <v>21</v>
      </c>
      <c r="K14" s="11">
        <v>1</v>
      </c>
      <c r="L14" s="11">
        <v>2017</v>
      </c>
      <c r="M14" s="11" t="s">
        <v>1771</v>
      </c>
      <c r="N14" t="s">
        <v>12</v>
      </c>
      <c r="O14" t="s">
        <v>10</v>
      </c>
      <c r="P14">
        <v>-38.611350999999999</v>
      </c>
      <c r="Q14">
        <v>145.53840600000001</v>
      </c>
      <c r="R14" t="s">
        <v>588</v>
      </c>
      <c r="S14" t="s">
        <v>588</v>
      </c>
      <c r="T14">
        <v>3</v>
      </c>
      <c r="U14">
        <v>3</v>
      </c>
      <c r="V14" t="s">
        <v>588</v>
      </c>
      <c r="W14" t="s">
        <v>588</v>
      </c>
      <c r="X14">
        <v>4</v>
      </c>
      <c r="Y14">
        <v>4</v>
      </c>
      <c r="Z14" t="s">
        <v>41</v>
      </c>
      <c r="AA14" s="1">
        <v>42787</v>
      </c>
      <c r="AB14" s="11">
        <v>21</v>
      </c>
      <c r="AC14" s="11">
        <v>2</v>
      </c>
      <c r="AD14" s="11">
        <v>2017</v>
      </c>
      <c r="AE14" s="13" t="s">
        <v>1727</v>
      </c>
      <c r="AF14" t="s">
        <v>21</v>
      </c>
      <c r="AG14" s="1">
        <v>42792</v>
      </c>
      <c r="AH14" s="11">
        <v>26</v>
      </c>
      <c r="AI14" s="11">
        <v>2</v>
      </c>
      <c r="AJ14" s="11">
        <v>2017</v>
      </c>
      <c r="AK14" s="13" t="s">
        <v>1729</v>
      </c>
      <c r="AL14" t="s">
        <v>21</v>
      </c>
      <c r="AM14" t="s">
        <v>20</v>
      </c>
      <c r="AN14" t="s">
        <v>8</v>
      </c>
      <c r="AO14" t="s">
        <v>32</v>
      </c>
      <c r="AP14" t="s">
        <v>588</v>
      </c>
      <c r="AQ14" t="s">
        <v>588</v>
      </c>
      <c r="AR14" t="s">
        <v>588</v>
      </c>
      <c r="AS14" t="s">
        <v>588</v>
      </c>
      <c r="AT14" t="s">
        <v>588</v>
      </c>
      <c r="AU14" t="s">
        <v>588</v>
      </c>
      <c r="AV14" t="s">
        <v>588</v>
      </c>
      <c r="AW14" t="s">
        <v>588</v>
      </c>
      <c r="AX14" t="s">
        <v>588</v>
      </c>
      <c r="AY14" t="s">
        <v>588</v>
      </c>
      <c r="AZ14" t="s">
        <v>588</v>
      </c>
      <c r="BA14" t="s">
        <v>588</v>
      </c>
      <c r="BB14" t="s">
        <v>588</v>
      </c>
      <c r="BC14" t="s">
        <v>588</v>
      </c>
      <c r="BD14" t="s">
        <v>588</v>
      </c>
      <c r="BE14" t="s">
        <v>588</v>
      </c>
      <c r="BF14" t="s">
        <v>588</v>
      </c>
      <c r="BG14" t="s">
        <v>588</v>
      </c>
      <c r="BH14" t="s">
        <v>588</v>
      </c>
      <c r="BI14" t="s">
        <v>588</v>
      </c>
      <c r="BJ14" t="s">
        <v>588</v>
      </c>
      <c r="BK14" t="s">
        <v>588</v>
      </c>
      <c r="BL14" t="s">
        <v>588</v>
      </c>
      <c r="BM14" t="s">
        <v>588</v>
      </c>
      <c r="BN14" t="s">
        <v>588</v>
      </c>
      <c r="BO14" t="s">
        <v>588</v>
      </c>
      <c r="BP14" t="s">
        <v>588</v>
      </c>
      <c r="BQ14" t="s">
        <v>588</v>
      </c>
      <c r="BR14" t="s">
        <v>588</v>
      </c>
      <c r="BS14" t="s">
        <v>41</v>
      </c>
      <c r="BT14" t="s">
        <v>42</v>
      </c>
      <c r="BU14" t="s">
        <v>42</v>
      </c>
      <c r="BV14" t="s">
        <v>588</v>
      </c>
      <c r="BW14" t="s">
        <v>588</v>
      </c>
      <c r="BX14" t="s">
        <v>588</v>
      </c>
      <c r="BY14" t="s">
        <v>588</v>
      </c>
      <c r="BZ14" t="s">
        <v>588</v>
      </c>
    </row>
    <row r="15" spans="1:78" x14ac:dyDescent="0.25">
      <c r="A15">
        <v>201617</v>
      </c>
      <c r="B15" t="s">
        <v>1611</v>
      </c>
      <c r="C15" t="s">
        <v>1611</v>
      </c>
      <c r="D15" t="s">
        <v>360</v>
      </c>
      <c r="E15" t="s">
        <v>248</v>
      </c>
      <c r="F15">
        <v>1</v>
      </c>
      <c r="G15" t="s">
        <v>1639</v>
      </c>
      <c r="H15" s="11" t="s">
        <v>1639</v>
      </c>
      <c r="I15" s="1">
        <v>42781</v>
      </c>
      <c r="J15" s="11">
        <v>15</v>
      </c>
      <c r="K15" s="11">
        <v>2</v>
      </c>
      <c r="L15" s="11">
        <v>2017</v>
      </c>
      <c r="M15" s="11" t="s">
        <v>1768</v>
      </c>
      <c r="N15" t="s">
        <v>21</v>
      </c>
      <c r="O15" t="s">
        <v>10</v>
      </c>
      <c r="P15">
        <v>-38.606360000000002</v>
      </c>
      <c r="Q15">
        <v>145.53357</v>
      </c>
      <c r="R15" t="s">
        <v>588</v>
      </c>
      <c r="S15" t="s">
        <v>588</v>
      </c>
      <c r="T15">
        <v>2</v>
      </c>
      <c r="U15">
        <v>3</v>
      </c>
      <c r="V15" t="s">
        <v>588</v>
      </c>
      <c r="W15" t="s">
        <v>588</v>
      </c>
      <c r="X15">
        <v>2</v>
      </c>
      <c r="Y15">
        <v>2</v>
      </c>
      <c r="Z15" t="s">
        <v>41</v>
      </c>
      <c r="AA15" s="1">
        <v>42781</v>
      </c>
      <c r="AB15" s="11">
        <v>15</v>
      </c>
      <c r="AC15" s="11">
        <v>2</v>
      </c>
      <c r="AD15" s="11">
        <v>2017</v>
      </c>
      <c r="AE15" s="13" t="s">
        <v>1768</v>
      </c>
      <c r="AF15" t="s">
        <v>21</v>
      </c>
      <c r="AG15" s="1">
        <v>42790</v>
      </c>
      <c r="AH15" s="11">
        <v>24</v>
      </c>
      <c r="AI15" s="11">
        <v>2</v>
      </c>
      <c r="AJ15" s="11">
        <v>2017</v>
      </c>
      <c r="AK15" s="13" t="s">
        <v>1730</v>
      </c>
      <c r="AL15" t="s">
        <v>21</v>
      </c>
      <c r="AM15" s="1" t="s">
        <v>20</v>
      </c>
      <c r="AN15" t="s">
        <v>41</v>
      </c>
      <c r="AO15" s="1" t="s">
        <v>20</v>
      </c>
      <c r="AP15" t="s">
        <v>588</v>
      </c>
      <c r="AQ15" s="1" t="s">
        <v>588</v>
      </c>
      <c r="AR15" t="s">
        <v>588</v>
      </c>
      <c r="AS15" s="1" t="s">
        <v>588</v>
      </c>
      <c r="AT15" t="s">
        <v>588</v>
      </c>
      <c r="AU15" s="1" t="s">
        <v>588</v>
      </c>
      <c r="AV15" t="s">
        <v>588</v>
      </c>
      <c r="AW15" s="1" t="s">
        <v>588</v>
      </c>
      <c r="AX15" t="s">
        <v>588</v>
      </c>
      <c r="AY15" s="1" t="s">
        <v>588</v>
      </c>
      <c r="AZ15" t="s">
        <v>588</v>
      </c>
      <c r="BA15" s="1" t="s">
        <v>588</v>
      </c>
      <c r="BB15" t="s">
        <v>588</v>
      </c>
      <c r="BC15" s="1" t="s">
        <v>588</v>
      </c>
      <c r="BD15" t="s">
        <v>588</v>
      </c>
      <c r="BE15" s="1" t="s">
        <v>588</v>
      </c>
      <c r="BF15" t="s">
        <v>588</v>
      </c>
      <c r="BG15" s="1" t="s">
        <v>588</v>
      </c>
      <c r="BH15" t="s">
        <v>588</v>
      </c>
      <c r="BI15" s="1" t="s">
        <v>588</v>
      </c>
      <c r="BJ15" t="s">
        <v>588</v>
      </c>
      <c r="BK15" s="1" t="s">
        <v>588</v>
      </c>
      <c r="BL15" t="s">
        <v>588</v>
      </c>
      <c r="BM15" s="1" t="s">
        <v>588</v>
      </c>
      <c r="BN15" t="s">
        <v>588</v>
      </c>
      <c r="BO15" s="1" t="s">
        <v>588</v>
      </c>
      <c r="BP15" t="s">
        <v>588</v>
      </c>
      <c r="BQ15" s="1" t="s">
        <v>588</v>
      </c>
      <c r="BR15" t="s">
        <v>588</v>
      </c>
      <c r="BS15" t="s">
        <v>41</v>
      </c>
      <c r="BT15" t="s">
        <v>42</v>
      </c>
      <c r="BU15" t="s">
        <v>42</v>
      </c>
      <c r="BV15" t="s">
        <v>588</v>
      </c>
      <c r="BW15" t="s">
        <v>588</v>
      </c>
      <c r="BX15" t="s">
        <v>588</v>
      </c>
      <c r="BY15" t="s">
        <v>588</v>
      </c>
      <c r="BZ15" t="s">
        <v>588</v>
      </c>
    </row>
    <row r="16" spans="1:78" x14ac:dyDescent="0.25">
      <c r="A16">
        <v>201617</v>
      </c>
      <c r="B16" t="s">
        <v>1611</v>
      </c>
      <c r="C16" t="s">
        <v>1611</v>
      </c>
      <c r="D16" t="s">
        <v>360</v>
      </c>
      <c r="E16" t="s">
        <v>248</v>
      </c>
      <c r="F16">
        <v>2</v>
      </c>
      <c r="G16" t="s">
        <v>1640</v>
      </c>
      <c r="H16" s="11" t="s">
        <v>1640</v>
      </c>
      <c r="I16" s="1">
        <v>42802</v>
      </c>
      <c r="J16" s="11">
        <v>8</v>
      </c>
      <c r="K16" s="11">
        <v>3</v>
      </c>
      <c r="L16" s="11">
        <v>2017</v>
      </c>
      <c r="M16" s="11" t="s">
        <v>1740</v>
      </c>
      <c r="N16" t="s">
        <v>22</v>
      </c>
      <c r="O16" t="s">
        <v>51</v>
      </c>
      <c r="P16">
        <v>-38.606140000000003</v>
      </c>
      <c r="Q16">
        <v>145.53336999999999</v>
      </c>
      <c r="R16" t="s">
        <v>588</v>
      </c>
      <c r="S16" t="s">
        <v>588</v>
      </c>
      <c r="T16">
        <v>3</v>
      </c>
      <c r="U16">
        <v>3</v>
      </c>
      <c r="V16" t="s">
        <v>588</v>
      </c>
      <c r="W16" t="s">
        <v>588</v>
      </c>
      <c r="X16">
        <v>4</v>
      </c>
      <c r="Y16">
        <v>4</v>
      </c>
      <c r="Z16" t="s">
        <v>8</v>
      </c>
      <c r="AA16" s="1">
        <v>42819</v>
      </c>
      <c r="AB16" s="11">
        <v>25</v>
      </c>
      <c r="AC16" s="11">
        <v>3</v>
      </c>
      <c r="AD16" s="11">
        <v>2017</v>
      </c>
      <c r="AE16" s="13" t="s">
        <v>1775</v>
      </c>
      <c r="AF16" t="s">
        <v>22</v>
      </c>
      <c r="AG16" t="s">
        <v>588</v>
      </c>
      <c r="AH16" s="11" t="s">
        <v>588</v>
      </c>
      <c r="AI16" s="11" t="s">
        <v>588</v>
      </c>
      <c r="AJ16" s="11" t="s">
        <v>588</v>
      </c>
      <c r="AK16" s="13" t="s">
        <v>588</v>
      </c>
      <c r="AL16" t="s">
        <v>588</v>
      </c>
      <c r="AM16" t="s">
        <v>588</v>
      </c>
      <c r="AN16" t="s">
        <v>588</v>
      </c>
      <c r="AO16" t="s">
        <v>588</v>
      </c>
      <c r="AP16" s="1">
        <v>42829</v>
      </c>
      <c r="AQ16" t="s">
        <v>72</v>
      </c>
      <c r="AR16" t="s">
        <v>195</v>
      </c>
      <c r="AS16">
        <v>1</v>
      </c>
      <c r="AT16">
        <v>3</v>
      </c>
      <c r="AU16" s="1">
        <v>42829</v>
      </c>
      <c r="AV16" s="1">
        <v>42839</v>
      </c>
      <c r="AW16" t="s">
        <v>72</v>
      </c>
      <c r="AX16" t="s">
        <v>20</v>
      </c>
      <c r="AY16" t="s">
        <v>8</v>
      </c>
      <c r="AZ16" t="s">
        <v>1059</v>
      </c>
      <c r="BA16" t="s">
        <v>588</v>
      </c>
      <c r="BB16" t="s">
        <v>588</v>
      </c>
      <c r="BC16" t="s">
        <v>588</v>
      </c>
      <c r="BD16" t="s">
        <v>588</v>
      </c>
      <c r="BE16" t="s">
        <v>588</v>
      </c>
      <c r="BF16" t="s">
        <v>588</v>
      </c>
      <c r="BG16" t="s">
        <v>588</v>
      </c>
      <c r="BH16" t="s">
        <v>588</v>
      </c>
      <c r="BI16" t="s">
        <v>588</v>
      </c>
      <c r="BJ16" t="s">
        <v>588</v>
      </c>
      <c r="BK16" t="s">
        <v>588</v>
      </c>
      <c r="BL16" t="s">
        <v>588</v>
      </c>
      <c r="BM16">
        <v>2</v>
      </c>
      <c r="BN16">
        <v>2</v>
      </c>
      <c r="BO16" t="s">
        <v>41</v>
      </c>
      <c r="BP16" t="s">
        <v>588</v>
      </c>
      <c r="BQ16" t="s">
        <v>588</v>
      </c>
      <c r="BR16" t="s">
        <v>588</v>
      </c>
      <c r="BS16" t="s">
        <v>41</v>
      </c>
      <c r="BT16" t="s">
        <v>42</v>
      </c>
      <c r="BU16" t="s">
        <v>42</v>
      </c>
      <c r="BV16" t="s">
        <v>41</v>
      </c>
      <c r="BW16" t="s">
        <v>42</v>
      </c>
      <c r="BX16" t="s">
        <v>42</v>
      </c>
      <c r="BY16" t="s">
        <v>588</v>
      </c>
      <c r="BZ16" t="s">
        <v>588</v>
      </c>
    </row>
    <row r="17" spans="1:78" x14ac:dyDescent="0.25">
      <c r="A17">
        <v>201617</v>
      </c>
      <c r="B17" t="s">
        <v>579</v>
      </c>
      <c r="C17" s="24" t="s">
        <v>559</v>
      </c>
      <c r="D17" t="s">
        <v>543</v>
      </c>
      <c r="E17" t="s">
        <v>557</v>
      </c>
      <c r="F17">
        <v>1</v>
      </c>
      <c r="G17" t="s">
        <v>1641</v>
      </c>
      <c r="H17" s="11" t="s">
        <v>1835</v>
      </c>
      <c r="I17" s="1">
        <v>42657</v>
      </c>
      <c r="J17" s="11">
        <v>14</v>
      </c>
      <c r="K17" s="11">
        <v>10</v>
      </c>
      <c r="L17" s="11">
        <v>2016</v>
      </c>
      <c r="M17" s="11" t="s">
        <v>1764</v>
      </c>
      <c r="N17" t="s">
        <v>29</v>
      </c>
      <c r="O17" t="s">
        <v>10</v>
      </c>
      <c r="P17">
        <v>-38.535235999999998</v>
      </c>
      <c r="Q17">
        <v>145.38502700000001</v>
      </c>
      <c r="R17" t="s">
        <v>588</v>
      </c>
      <c r="S17" t="s">
        <v>588</v>
      </c>
      <c r="T17">
        <v>3</v>
      </c>
      <c r="U17">
        <v>3</v>
      </c>
      <c r="V17" s="1">
        <v>42660</v>
      </c>
      <c r="W17" t="s">
        <v>223</v>
      </c>
      <c r="X17">
        <v>4</v>
      </c>
      <c r="Y17">
        <v>4</v>
      </c>
      <c r="Z17" t="s">
        <v>41</v>
      </c>
      <c r="AA17" s="1">
        <v>42678</v>
      </c>
      <c r="AB17" s="11">
        <v>4</v>
      </c>
      <c r="AC17" s="11">
        <v>11</v>
      </c>
      <c r="AD17" s="11">
        <v>2016</v>
      </c>
      <c r="AE17" s="13" t="s">
        <v>1776</v>
      </c>
      <c r="AF17" t="s">
        <v>17</v>
      </c>
      <c r="AG17" s="1">
        <v>42679</v>
      </c>
      <c r="AH17" s="11">
        <v>5</v>
      </c>
      <c r="AI17" s="11">
        <v>11</v>
      </c>
      <c r="AJ17" s="11">
        <v>2016</v>
      </c>
      <c r="AK17" s="13" t="s">
        <v>1731</v>
      </c>
      <c r="AL17" t="s">
        <v>17</v>
      </c>
      <c r="AM17" t="s">
        <v>11</v>
      </c>
      <c r="AN17" t="s">
        <v>8</v>
      </c>
      <c r="AO17" t="s">
        <v>588</v>
      </c>
      <c r="AP17" t="s">
        <v>588</v>
      </c>
      <c r="AQ17" t="s">
        <v>588</v>
      </c>
      <c r="AR17" t="s">
        <v>588</v>
      </c>
      <c r="AS17" t="s">
        <v>588</v>
      </c>
      <c r="AT17" t="s">
        <v>588</v>
      </c>
      <c r="AU17" t="s">
        <v>588</v>
      </c>
      <c r="AV17" t="s">
        <v>588</v>
      </c>
      <c r="AW17" t="s">
        <v>588</v>
      </c>
      <c r="AX17" t="s">
        <v>588</v>
      </c>
      <c r="AY17" t="s">
        <v>588</v>
      </c>
      <c r="AZ17" t="s">
        <v>588</v>
      </c>
      <c r="BA17" t="s">
        <v>588</v>
      </c>
      <c r="BB17" t="s">
        <v>588</v>
      </c>
      <c r="BC17" t="s">
        <v>588</v>
      </c>
      <c r="BD17" t="s">
        <v>588</v>
      </c>
      <c r="BE17" t="s">
        <v>588</v>
      </c>
      <c r="BF17" t="s">
        <v>588</v>
      </c>
      <c r="BG17" t="s">
        <v>588</v>
      </c>
      <c r="BH17" t="s">
        <v>588</v>
      </c>
      <c r="BI17" t="s">
        <v>588</v>
      </c>
      <c r="BJ17" t="s">
        <v>588</v>
      </c>
      <c r="BK17" t="s">
        <v>588</v>
      </c>
      <c r="BL17" t="s">
        <v>588</v>
      </c>
      <c r="BM17" t="s">
        <v>588</v>
      </c>
      <c r="BN17" t="s">
        <v>588</v>
      </c>
      <c r="BO17" t="s">
        <v>588</v>
      </c>
      <c r="BP17" t="s">
        <v>588</v>
      </c>
      <c r="BQ17" s="1" t="s">
        <v>588</v>
      </c>
      <c r="BR17" t="s">
        <v>588</v>
      </c>
      <c r="BS17" t="s">
        <v>41</v>
      </c>
      <c r="BT17" t="s">
        <v>42</v>
      </c>
      <c r="BU17" t="s">
        <v>42</v>
      </c>
      <c r="BV17" t="s">
        <v>588</v>
      </c>
      <c r="BW17" t="s">
        <v>588</v>
      </c>
      <c r="BX17" t="s">
        <v>588</v>
      </c>
      <c r="BY17" t="s">
        <v>588</v>
      </c>
      <c r="BZ17" t="s">
        <v>588</v>
      </c>
    </row>
    <row r="18" spans="1:78" x14ac:dyDescent="0.25">
      <c r="A18">
        <v>201617</v>
      </c>
      <c r="B18" t="s">
        <v>579</v>
      </c>
      <c r="C18" s="24" t="s">
        <v>559</v>
      </c>
      <c r="D18" t="s">
        <v>543</v>
      </c>
      <c r="E18" t="s">
        <v>557</v>
      </c>
      <c r="F18">
        <v>2</v>
      </c>
      <c r="G18" t="s">
        <v>1642</v>
      </c>
      <c r="H18" s="11" t="s">
        <v>1836</v>
      </c>
      <c r="I18" s="1">
        <v>42692</v>
      </c>
      <c r="J18" s="11">
        <v>18</v>
      </c>
      <c r="K18" s="11">
        <v>11</v>
      </c>
      <c r="L18" s="11">
        <v>2016</v>
      </c>
      <c r="M18" s="11" t="s">
        <v>1751</v>
      </c>
      <c r="N18" t="s">
        <v>17</v>
      </c>
      <c r="O18" t="s">
        <v>36</v>
      </c>
      <c r="P18">
        <v>-38.53528</v>
      </c>
      <c r="Q18">
        <v>145.38535999999999</v>
      </c>
      <c r="R18" t="s">
        <v>588</v>
      </c>
      <c r="S18" t="s">
        <v>588</v>
      </c>
      <c r="T18">
        <v>1</v>
      </c>
      <c r="U18">
        <v>3</v>
      </c>
      <c r="V18" t="s">
        <v>588</v>
      </c>
      <c r="W18" t="s">
        <v>588</v>
      </c>
      <c r="X18">
        <v>3</v>
      </c>
      <c r="Y18">
        <v>3</v>
      </c>
      <c r="Z18" t="s">
        <v>41</v>
      </c>
      <c r="AA18" s="1">
        <v>42693</v>
      </c>
      <c r="AB18" s="11">
        <v>19</v>
      </c>
      <c r="AC18" s="11">
        <v>11</v>
      </c>
      <c r="AD18" s="11">
        <v>2016</v>
      </c>
      <c r="AE18" s="13" t="s">
        <v>1777</v>
      </c>
      <c r="AF18" t="s">
        <v>17</v>
      </c>
      <c r="AG18" s="1">
        <v>42705</v>
      </c>
      <c r="AH18" s="11">
        <v>1</v>
      </c>
      <c r="AI18" s="11">
        <v>12</v>
      </c>
      <c r="AJ18" s="11">
        <v>2016</v>
      </c>
      <c r="AK18" s="13" t="s">
        <v>1728</v>
      </c>
      <c r="AL18" t="s">
        <v>7</v>
      </c>
      <c r="AM18" s="1" t="s">
        <v>20</v>
      </c>
      <c r="AN18" t="s">
        <v>41</v>
      </c>
      <c r="AO18" s="1" t="s">
        <v>20</v>
      </c>
      <c r="AP18" t="s">
        <v>588</v>
      </c>
      <c r="AQ18" s="1" t="s">
        <v>588</v>
      </c>
      <c r="AR18" t="s">
        <v>588</v>
      </c>
      <c r="AS18" s="1" t="s">
        <v>588</v>
      </c>
      <c r="AT18" t="s">
        <v>588</v>
      </c>
      <c r="AU18" s="1" t="s">
        <v>588</v>
      </c>
      <c r="AV18" t="s">
        <v>588</v>
      </c>
      <c r="AW18" s="1" t="s">
        <v>588</v>
      </c>
      <c r="AX18" t="s">
        <v>588</v>
      </c>
      <c r="AY18" s="1" t="s">
        <v>588</v>
      </c>
      <c r="AZ18" t="s">
        <v>588</v>
      </c>
      <c r="BA18" s="1" t="s">
        <v>588</v>
      </c>
      <c r="BB18" t="s">
        <v>588</v>
      </c>
      <c r="BC18" s="1" t="s">
        <v>588</v>
      </c>
      <c r="BD18" t="s">
        <v>588</v>
      </c>
      <c r="BE18" s="1" t="s">
        <v>588</v>
      </c>
      <c r="BF18" t="s">
        <v>588</v>
      </c>
      <c r="BG18" s="1" t="s">
        <v>588</v>
      </c>
      <c r="BH18" t="s">
        <v>588</v>
      </c>
      <c r="BI18" s="1" t="s">
        <v>588</v>
      </c>
      <c r="BJ18" t="s">
        <v>588</v>
      </c>
      <c r="BK18" s="1" t="s">
        <v>588</v>
      </c>
      <c r="BL18" t="s">
        <v>588</v>
      </c>
      <c r="BM18" s="1" t="s">
        <v>588</v>
      </c>
      <c r="BN18" t="s">
        <v>588</v>
      </c>
      <c r="BO18" s="1" t="s">
        <v>588</v>
      </c>
      <c r="BP18" t="s">
        <v>588</v>
      </c>
      <c r="BQ18" s="1" t="s">
        <v>588</v>
      </c>
      <c r="BR18" t="s">
        <v>588</v>
      </c>
      <c r="BS18" t="s">
        <v>8</v>
      </c>
      <c r="BT18" t="s">
        <v>137</v>
      </c>
      <c r="BU18" t="s">
        <v>137</v>
      </c>
      <c r="BV18" t="s">
        <v>588</v>
      </c>
      <c r="BW18" t="s">
        <v>588</v>
      </c>
      <c r="BX18" t="s">
        <v>588</v>
      </c>
      <c r="BY18" t="s">
        <v>588</v>
      </c>
      <c r="BZ18" t="s">
        <v>588</v>
      </c>
    </row>
    <row r="19" spans="1:78" x14ac:dyDescent="0.25">
      <c r="A19">
        <v>201617</v>
      </c>
      <c r="B19" t="s">
        <v>579</v>
      </c>
      <c r="C19" s="24" t="s">
        <v>559</v>
      </c>
      <c r="D19" t="s">
        <v>543</v>
      </c>
      <c r="E19" t="s">
        <v>557</v>
      </c>
      <c r="F19">
        <v>3</v>
      </c>
      <c r="G19" t="s">
        <v>1643</v>
      </c>
      <c r="H19" s="11" t="s">
        <v>1837</v>
      </c>
      <c r="I19" s="1">
        <v>42716</v>
      </c>
      <c r="J19" s="11">
        <v>12</v>
      </c>
      <c r="K19" s="11">
        <v>12</v>
      </c>
      <c r="L19" s="11">
        <v>2016</v>
      </c>
      <c r="M19" s="11" t="s">
        <v>1748</v>
      </c>
      <c r="N19" t="s">
        <v>7</v>
      </c>
      <c r="O19" t="s">
        <v>51</v>
      </c>
      <c r="P19">
        <v>-38.53539</v>
      </c>
      <c r="Q19">
        <v>145.38601</v>
      </c>
      <c r="R19" t="s">
        <v>588</v>
      </c>
      <c r="S19" t="s">
        <v>588</v>
      </c>
      <c r="T19">
        <v>2</v>
      </c>
      <c r="U19">
        <v>3</v>
      </c>
      <c r="V19" t="s">
        <v>588</v>
      </c>
      <c r="W19" t="s">
        <v>588</v>
      </c>
      <c r="X19">
        <v>4</v>
      </c>
      <c r="Y19">
        <v>4</v>
      </c>
      <c r="Z19" t="s">
        <v>8</v>
      </c>
      <c r="AA19" s="1">
        <v>42740</v>
      </c>
      <c r="AB19" s="11">
        <v>5</v>
      </c>
      <c r="AC19" s="11">
        <v>1</v>
      </c>
      <c r="AD19" s="11">
        <v>2017</v>
      </c>
      <c r="AE19" s="13" t="s">
        <v>1778</v>
      </c>
      <c r="AF19" t="s">
        <v>12</v>
      </c>
      <c r="AG19" t="s">
        <v>588</v>
      </c>
      <c r="AH19" s="11" t="s">
        <v>588</v>
      </c>
      <c r="AI19" s="11" t="s">
        <v>588</v>
      </c>
      <c r="AJ19" s="11" t="s">
        <v>588</v>
      </c>
      <c r="AK19" s="13" t="s">
        <v>588</v>
      </c>
      <c r="AL19" t="s">
        <v>588</v>
      </c>
      <c r="AM19" t="s">
        <v>588</v>
      </c>
      <c r="AN19" t="s">
        <v>588</v>
      </c>
      <c r="AO19" t="s">
        <v>588</v>
      </c>
      <c r="AP19" s="1">
        <v>42747</v>
      </c>
      <c r="AQ19" t="s">
        <v>12</v>
      </c>
      <c r="AR19" t="s">
        <v>195</v>
      </c>
      <c r="AS19">
        <v>1</v>
      </c>
      <c r="AT19">
        <v>2</v>
      </c>
      <c r="AU19" s="1">
        <v>42747</v>
      </c>
      <c r="AV19" s="1">
        <v>42748</v>
      </c>
      <c r="AW19" t="s">
        <v>12</v>
      </c>
      <c r="AX19" t="s">
        <v>20</v>
      </c>
      <c r="AY19" t="s">
        <v>8</v>
      </c>
      <c r="AZ19" t="s">
        <v>32</v>
      </c>
      <c r="BA19" t="s">
        <v>588</v>
      </c>
      <c r="BB19" t="s">
        <v>588</v>
      </c>
      <c r="BC19" t="s">
        <v>588</v>
      </c>
      <c r="BD19" t="s">
        <v>588</v>
      </c>
      <c r="BE19" t="s">
        <v>588</v>
      </c>
      <c r="BF19" t="s">
        <v>588</v>
      </c>
      <c r="BG19" t="s">
        <v>588</v>
      </c>
      <c r="BH19" t="s">
        <v>588</v>
      </c>
      <c r="BI19" t="s">
        <v>588</v>
      </c>
      <c r="BJ19" t="s">
        <v>588</v>
      </c>
      <c r="BK19" t="s">
        <v>588</v>
      </c>
      <c r="BL19" t="s">
        <v>588</v>
      </c>
      <c r="BM19">
        <v>5</v>
      </c>
      <c r="BN19">
        <v>5</v>
      </c>
      <c r="BO19" t="s">
        <v>41</v>
      </c>
      <c r="BP19" t="s">
        <v>588</v>
      </c>
      <c r="BQ19" s="1" t="s">
        <v>588</v>
      </c>
      <c r="BR19" t="s">
        <v>588</v>
      </c>
      <c r="BS19" t="s">
        <v>8</v>
      </c>
      <c r="BT19" t="s">
        <v>120</v>
      </c>
      <c r="BU19" t="s">
        <v>120</v>
      </c>
      <c r="BV19" t="s">
        <v>8</v>
      </c>
      <c r="BW19" t="s">
        <v>120</v>
      </c>
      <c r="BX19" t="s">
        <v>120</v>
      </c>
      <c r="BY19" t="s">
        <v>588</v>
      </c>
      <c r="BZ19" t="s">
        <v>588</v>
      </c>
    </row>
    <row r="20" spans="1:78" x14ac:dyDescent="0.25">
      <c r="A20">
        <v>201617</v>
      </c>
      <c r="B20" t="s">
        <v>57</v>
      </c>
      <c r="C20" t="s">
        <v>57</v>
      </c>
      <c r="D20" t="s">
        <v>55</v>
      </c>
      <c r="E20" t="s">
        <v>16</v>
      </c>
      <c r="F20">
        <v>1</v>
      </c>
      <c r="G20" t="s">
        <v>1644</v>
      </c>
      <c r="H20" s="11" t="s">
        <v>1644</v>
      </c>
      <c r="I20" s="1">
        <v>42635</v>
      </c>
      <c r="J20" s="11">
        <v>22</v>
      </c>
      <c r="K20" s="11">
        <v>9</v>
      </c>
      <c r="L20" s="11">
        <v>2016</v>
      </c>
      <c r="M20" s="11" t="s">
        <v>1779</v>
      </c>
      <c r="N20" t="s">
        <v>28</v>
      </c>
      <c r="O20" t="s">
        <v>36</v>
      </c>
      <c r="P20" s="4">
        <v>-38.675229999999999</v>
      </c>
      <c r="Q20" s="4">
        <v>145.60319999999999</v>
      </c>
      <c r="R20" s="4" t="s">
        <v>588</v>
      </c>
      <c r="S20" s="4" t="s">
        <v>588</v>
      </c>
      <c r="T20">
        <v>3</v>
      </c>
      <c r="U20">
        <v>3</v>
      </c>
      <c r="V20" t="s">
        <v>588</v>
      </c>
      <c r="W20" t="s">
        <v>588</v>
      </c>
      <c r="X20">
        <v>4</v>
      </c>
      <c r="Y20">
        <v>4</v>
      </c>
      <c r="Z20" t="s">
        <v>41</v>
      </c>
      <c r="AA20" s="1">
        <v>42647</v>
      </c>
      <c r="AB20" s="11">
        <v>4</v>
      </c>
      <c r="AC20" s="11">
        <v>10</v>
      </c>
      <c r="AD20" s="11">
        <v>2016</v>
      </c>
      <c r="AE20" s="13" t="s">
        <v>1745</v>
      </c>
      <c r="AF20" t="s">
        <v>29</v>
      </c>
      <c r="AG20" s="1">
        <v>42648</v>
      </c>
      <c r="AH20" s="11">
        <v>5</v>
      </c>
      <c r="AI20" s="11">
        <v>10</v>
      </c>
      <c r="AJ20" s="11">
        <v>2016</v>
      </c>
      <c r="AK20" s="13" t="s">
        <v>1732</v>
      </c>
      <c r="AL20" t="s">
        <v>29</v>
      </c>
      <c r="AM20" t="s">
        <v>20</v>
      </c>
      <c r="AN20" t="s">
        <v>588</v>
      </c>
      <c r="AO20" t="s">
        <v>20</v>
      </c>
      <c r="AP20" t="s">
        <v>588</v>
      </c>
      <c r="AQ20" t="s">
        <v>588</v>
      </c>
      <c r="AR20" t="s">
        <v>588</v>
      </c>
      <c r="AS20" t="s">
        <v>588</v>
      </c>
      <c r="AT20" t="s">
        <v>588</v>
      </c>
      <c r="AU20" s="7" t="s">
        <v>588</v>
      </c>
      <c r="AV20" t="s">
        <v>588</v>
      </c>
      <c r="AW20" t="s">
        <v>588</v>
      </c>
      <c r="AX20" t="s">
        <v>588</v>
      </c>
      <c r="AY20" t="s">
        <v>588</v>
      </c>
      <c r="AZ20" t="s">
        <v>588</v>
      </c>
      <c r="BA20" s="7" t="s">
        <v>588</v>
      </c>
      <c r="BB20" t="s">
        <v>588</v>
      </c>
      <c r="BC20" t="s">
        <v>588</v>
      </c>
      <c r="BD20" t="s">
        <v>588</v>
      </c>
      <c r="BE20" t="s">
        <v>588</v>
      </c>
      <c r="BF20" t="s">
        <v>588</v>
      </c>
      <c r="BG20" s="7" t="s">
        <v>588</v>
      </c>
      <c r="BH20" t="s">
        <v>588</v>
      </c>
      <c r="BI20" t="s">
        <v>588</v>
      </c>
      <c r="BJ20" t="s">
        <v>588</v>
      </c>
      <c r="BK20" t="s">
        <v>588</v>
      </c>
      <c r="BL20" t="s">
        <v>588</v>
      </c>
      <c r="BM20" t="s">
        <v>588</v>
      </c>
      <c r="BN20" t="s">
        <v>588</v>
      </c>
      <c r="BO20" t="s">
        <v>588</v>
      </c>
      <c r="BP20" t="s">
        <v>588</v>
      </c>
      <c r="BQ20" t="s">
        <v>588</v>
      </c>
      <c r="BR20" t="s">
        <v>588</v>
      </c>
      <c r="BS20" t="s">
        <v>41</v>
      </c>
      <c r="BT20" t="s">
        <v>42</v>
      </c>
      <c r="BU20" t="s">
        <v>42</v>
      </c>
      <c r="BV20" t="s">
        <v>588</v>
      </c>
      <c r="BW20" t="s">
        <v>588</v>
      </c>
      <c r="BX20" t="s">
        <v>588</v>
      </c>
      <c r="BY20" t="s">
        <v>588</v>
      </c>
      <c r="BZ20" t="s">
        <v>588</v>
      </c>
    </row>
    <row r="21" spans="1:78" x14ac:dyDescent="0.25">
      <c r="A21">
        <v>201617</v>
      </c>
      <c r="B21" t="s">
        <v>57</v>
      </c>
      <c r="C21" t="s">
        <v>57</v>
      </c>
      <c r="D21" t="s">
        <v>55</v>
      </c>
      <c r="E21" t="s">
        <v>16</v>
      </c>
      <c r="F21">
        <v>2</v>
      </c>
      <c r="G21" t="s">
        <v>1645</v>
      </c>
      <c r="H21" s="11" t="s">
        <v>1645</v>
      </c>
      <c r="I21" s="1">
        <v>42710</v>
      </c>
      <c r="J21" s="11">
        <v>6</v>
      </c>
      <c r="K21" s="11">
        <v>12</v>
      </c>
      <c r="L21" s="11">
        <v>2016</v>
      </c>
      <c r="M21" s="11" t="s">
        <v>1733</v>
      </c>
      <c r="N21" t="s">
        <v>7</v>
      </c>
      <c r="O21" t="s">
        <v>36</v>
      </c>
      <c r="P21" s="4">
        <v>-38.675387999999998</v>
      </c>
      <c r="Q21" s="4">
        <v>145.602982</v>
      </c>
      <c r="R21" s="4" t="s">
        <v>588</v>
      </c>
      <c r="S21" s="4" t="s">
        <v>588</v>
      </c>
      <c r="T21">
        <v>3</v>
      </c>
      <c r="U21">
        <v>3</v>
      </c>
      <c r="V21" t="s">
        <v>588</v>
      </c>
      <c r="W21" t="s">
        <v>588</v>
      </c>
      <c r="X21">
        <v>3</v>
      </c>
      <c r="Y21">
        <v>3</v>
      </c>
      <c r="Z21" t="s">
        <v>8</v>
      </c>
      <c r="AA21" s="1">
        <v>42720</v>
      </c>
      <c r="AB21" s="11">
        <v>16</v>
      </c>
      <c r="AC21" s="11">
        <v>12</v>
      </c>
      <c r="AD21" s="11">
        <v>2016</v>
      </c>
      <c r="AE21" s="13" t="s">
        <v>1741</v>
      </c>
      <c r="AF21" t="s">
        <v>7</v>
      </c>
      <c r="AG21" t="s">
        <v>588</v>
      </c>
      <c r="AH21" s="11" t="s">
        <v>588</v>
      </c>
      <c r="AI21" s="11" t="s">
        <v>588</v>
      </c>
      <c r="AJ21" s="11" t="s">
        <v>588</v>
      </c>
      <c r="AK21" s="13" t="s">
        <v>588</v>
      </c>
      <c r="AL21" t="s">
        <v>588</v>
      </c>
      <c r="AM21" t="s">
        <v>588</v>
      </c>
      <c r="AN21" t="s">
        <v>588</v>
      </c>
      <c r="AO21" t="s">
        <v>588</v>
      </c>
      <c r="AP21" s="1">
        <v>42733</v>
      </c>
      <c r="AQ21" t="s">
        <v>7</v>
      </c>
      <c r="AR21" t="s">
        <v>194</v>
      </c>
      <c r="AS21">
        <v>2</v>
      </c>
      <c r="AT21">
        <v>3</v>
      </c>
      <c r="AU21" s="7" t="s">
        <v>588</v>
      </c>
      <c r="AV21" t="s">
        <v>588</v>
      </c>
      <c r="AW21" t="s">
        <v>588</v>
      </c>
      <c r="AX21" t="s">
        <v>588</v>
      </c>
      <c r="AY21" t="s">
        <v>588</v>
      </c>
      <c r="AZ21" t="s">
        <v>588</v>
      </c>
      <c r="BA21" s="7" t="s">
        <v>588</v>
      </c>
      <c r="BB21" t="s">
        <v>588</v>
      </c>
      <c r="BC21" t="s">
        <v>588</v>
      </c>
      <c r="BD21" t="s">
        <v>588</v>
      </c>
      <c r="BE21" t="s">
        <v>588</v>
      </c>
      <c r="BF21" t="s">
        <v>588</v>
      </c>
      <c r="BG21" s="7" t="s">
        <v>588</v>
      </c>
      <c r="BH21" t="s">
        <v>588</v>
      </c>
      <c r="BI21" t="s">
        <v>588</v>
      </c>
      <c r="BJ21" t="s">
        <v>588</v>
      </c>
      <c r="BK21" t="s">
        <v>588</v>
      </c>
      <c r="BL21" t="s">
        <v>588</v>
      </c>
      <c r="BM21">
        <v>4</v>
      </c>
      <c r="BN21">
        <v>4</v>
      </c>
      <c r="BO21" t="s">
        <v>8</v>
      </c>
      <c r="BP21">
        <v>2</v>
      </c>
      <c r="BQ21" s="1">
        <v>42751</v>
      </c>
      <c r="BR21" t="s">
        <v>12</v>
      </c>
      <c r="BS21" t="s">
        <v>8</v>
      </c>
      <c r="BT21" t="s">
        <v>9</v>
      </c>
      <c r="BU21" t="s">
        <v>9</v>
      </c>
      <c r="BV21" t="s">
        <v>8</v>
      </c>
      <c r="BW21" t="s">
        <v>65</v>
      </c>
      <c r="BX21" t="s">
        <v>65</v>
      </c>
      <c r="BY21" t="s">
        <v>588</v>
      </c>
      <c r="BZ21" t="s">
        <v>588</v>
      </c>
    </row>
    <row r="22" spans="1:78" x14ac:dyDescent="0.25">
      <c r="A22">
        <v>201617</v>
      </c>
      <c r="B22" t="s">
        <v>23</v>
      </c>
      <c r="C22" t="s">
        <v>23</v>
      </c>
      <c r="D22" t="s">
        <v>61</v>
      </c>
      <c r="E22" t="s">
        <v>16</v>
      </c>
      <c r="F22">
        <v>1</v>
      </c>
      <c r="G22" t="s">
        <v>1646</v>
      </c>
      <c r="H22" s="11" t="s">
        <v>1646</v>
      </c>
      <c r="I22" s="1">
        <v>42704</v>
      </c>
      <c r="J22" s="11">
        <v>30</v>
      </c>
      <c r="K22" s="11">
        <v>11</v>
      </c>
      <c r="L22" s="11">
        <v>2016</v>
      </c>
      <c r="M22" s="11" t="s">
        <v>1780</v>
      </c>
      <c r="N22" t="s">
        <v>17</v>
      </c>
      <c r="O22" t="s">
        <v>10</v>
      </c>
      <c r="P22" s="4">
        <v>-38.674258000000002</v>
      </c>
      <c r="Q22" s="4">
        <v>145.62119899999999</v>
      </c>
      <c r="R22" s="4" t="s">
        <v>588</v>
      </c>
      <c r="S22" s="4" t="s">
        <v>588</v>
      </c>
      <c r="T22">
        <v>1</v>
      </c>
      <c r="U22">
        <v>3</v>
      </c>
      <c r="V22" t="s">
        <v>588</v>
      </c>
      <c r="W22" t="s">
        <v>588</v>
      </c>
      <c r="X22">
        <v>2</v>
      </c>
      <c r="Y22">
        <v>2</v>
      </c>
      <c r="Z22" t="s">
        <v>41</v>
      </c>
      <c r="AA22" s="1">
        <v>42704</v>
      </c>
      <c r="AB22" s="11">
        <v>30</v>
      </c>
      <c r="AC22" s="11">
        <v>11</v>
      </c>
      <c r="AD22" s="11">
        <v>2016</v>
      </c>
      <c r="AE22" s="13" t="s">
        <v>1780</v>
      </c>
      <c r="AF22" t="s">
        <v>17</v>
      </c>
      <c r="AG22" s="1">
        <v>42710</v>
      </c>
      <c r="AH22" s="11">
        <v>6</v>
      </c>
      <c r="AI22" s="11">
        <v>12</v>
      </c>
      <c r="AJ22" s="11">
        <v>2016</v>
      </c>
      <c r="AK22" s="13" t="s">
        <v>1733</v>
      </c>
      <c r="AL22" t="s">
        <v>7</v>
      </c>
      <c r="AM22" t="s">
        <v>20</v>
      </c>
      <c r="AN22" t="s">
        <v>8</v>
      </c>
      <c r="AO22" t="s">
        <v>32</v>
      </c>
      <c r="AP22" t="s">
        <v>588</v>
      </c>
      <c r="AQ22" t="s">
        <v>588</v>
      </c>
      <c r="AR22" t="s">
        <v>588</v>
      </c>
      <c r="AS22" t="s">
        <v>588</v>
      </c>
      <c r="AT22" t="s">
        <v>588</v>
      </c>
      <c r="AU22" s="7" t="s">
        <v>588</v>
      </c>
      <c r="AV22" t="s">
        <v>588</v>
      </c>
      <c r="AW22" t="s">
        <v>588</v>
      </c>
      <c r="AX22" t="s">
        <v>588</v>
      </c>
      <c r="AY22" t="s">
        <v>588</v>
      </c>
      <c r="AZ22" t="s">
        <v>588</v>
      </c>
      <c r="BA22" s="7" t="s">
        <v>588</v>
      </c>
      <c r="BB22" t="s">
        <v>588</v>
      </c>
      <c r="BC22" t="s">
        <v>588</v>
      </c>
      <c r="BD22" t="s">
        <v>588</v>
      </c>
      <c r="BE22" t="s">
        <v>588</v>
      </c>
      <c r="BF22" t="s">
        <v>588</v>
      </c>
      <c r="BG22" s="7" t="s">
        <v>588</v>
      </c>
      <c r="BH22" t="s">
        <v>588</v>
      </c>
      <c r="BI22" t="s">
        <v>588</v>
      </c>
      <c r="BJ22" t="s">
        <v>588</v>
      </c>
      <c r="BK22" t="s">
        <v>588</v>
      </c>
      <c r="BL22" t="s">
        <v>588</v>
      </c>
      <c r="BM22" t="s">
        <v>588</v>
      </c>
      <c r="BN22" t="s">
        <v>588</v>
      </c>
      <c r="BO22" t="s">
        <v>588</v>
      </c>
      <c r="BP22" t="s">
        <v>588</v>
      </c>
      <c r="BQ22" t="s">
        <v>588</v>
      </c>
      <c r="BR22" t="s">
        <v>588</v>
      </c>
      <c r="BS22" t="s">
        <v>8</v>
      </c>
      <c r="BT22" t="s">
        <v>9</v>
      </c>
      <c r="BU22" t="s">
        <v>9</v>
      </c>
      <c r="BV22" t="s">
        <v>588</v>
      </c>
      <c r="BW22" t="s">
        <v>588</v>
      </c>
      <c r="BX22" t="s">
        <v>588</v>
      </c>
      <c r="BY22" t="s">
        <v>588</v>
      </c>
      <c r="BZ22" t="s">
        <v>588</v>
      </c>
    </row>
    <row r="23" spans="1:78" x14ac:dyDescent="0.25">
      <c r="A23">
        <v>201617</v>
      </c>
      <c r="B23" t="s">
        <v>23</v>
      </c>
      <c r="C23" t="s">
        <v>23</v>
      </c>
      <c r="D23" t="s">
        <v>61</v>
      </c>
      <c r="E23" t="s">
        <v>16</v>
      </c>
      <c r="F23">
        <v>2</v>
      </c>
      <c r="G23" t="s">
        <v>1647</v>
      </c>
      <c r="H23" s="11" t="s">
        <v>1647</v>
      </c>
      <c r="I23" s="1">
        <v>42741</v>
      </c>
      <c r="J23" s="11">
        <v>6</v>
      </c>
      <c r="K23" s="11">
        <v>1</v>
      </c>
      <c r="L23" s="11">
        <v>2017</v>
      </c>
      <c r="M23" s="11" t="s">
        <v>1781</v>
      </c>
      <c r="N23" t="s">
        <v>12</v>
      </c>
      <c r="O23" t="s">
        <v>36</v>
      </c>
      <c r="P23" s="4">
        <v>-38.673771000000002</v>
      </c>
      <c r="Q23" s="4">
        <v>145.62200899999999</v>
      </c>
      <c r="R23" s="4" t="s">
        <v>588</v>
      </c>
      <c r="S23" s="4" t="s">
        <v>588</v>
      </c>
      <c r="T23">
        <v>1</v>
      </c>
      <c r="U23">
        <v>1</v>
      </c>
      <c r="V23" t="s">
        <v>588</v>
      </c>
      <c r="W23" t="s">
        <v>588</v>
      </c>
      <c r="X23">
        <v>2</v>
      </c>
      <c r="Y23">
        <v>2</v>
      </c>
      <c r="Z23" t="s">
        <v>41</v>
      </c>
      <c r="AA23" s="1">
        <v>42741</v>
      </c>
      <c r="AB23" s="11">
        <v>6</v>
      </c>
      <c r="AC23" s="11">
        <v>1</v>
      </c>
      <c r="AD23" s="11">
        <v>2017</v>
      </c>
      <c r="AE23" s="13" t="s">
        <v>1781</v>
      </c>
      <c r="AF23" t="s">
        <v>12</v>
      </c>
      <c r="AG23" s="1">
        <v>42742</v>
      </c>
      <c r="AH23" s="11">
        <v>7</v>
      </c>
      <c r="AI23" s="11">
        <v>1</v>
      </c>
      <c r="AJ23" s="11">
        <v>2017</v>
      </c>
      <c r="AK23" s="13" t="s">
        <v>1734</v>
      </c>
      <c r="AL23" t="s">
        <v>12</v>
      </c>
      <c r="AM23" t="s">
        <v>20</v>
      </c>
      <c r="AN23" t="s">
        <v>8</v>
      </c>
      <c r="AO23" t="s">
        <v>32</v>
      </c>
      <c r="AP23" t="s">
        <v>588</v>
      </c>
      <c r="AQ23" t="s">
        <v>588</v>
      </c>
      <c r="AR23" t="s">
        <v>588</v>
      </c>
      <c r="AS23" t="s">
        <v>588</v>
      </c>
      <c r="AT23" t="s">
        <v>588</v>
      </c>
      <c r="AU23" s="7" t="s">
        <v>588</v>
      </c>
      <c r="AV23" t="s">
        <v>588</v>
      </c>
      <c r="AW23" t="s">
        <v>588</v>
      </c>
      <c r="AX23" t="s">
        <v>588</v>
      </c>
      <c r="AY23" t="s">
        <v>588</v>
      </c>
      <c r="AZ23" t="s">
        <v>588</v>
      </c>
      <c r="BA23" s="7" t="s">
        <v>588</v>
      </c>
      <c r="BB23" t="s">
        <v>588</v>
      </c>
      <c r="BC23" t="s">
        <v>588</v>
      </c>
      <c r="BD23" t="s">
        <v>588</v>
      </c>
      <c r="BE23" t="s">
        <v>588</v>
      </c>
      <c r="BF23" t="s">
        <v>588</v>
      </c>
      <c r="BG23" s="7" t="s">
        <v>588</v>
      </c>
      <c r="BH23" t="s">
        <v>588</v>
      </c>
      <c r="BI23" t="s">
        <v>588</v>
      </c>
      <c r="BJ23" t="s">
        <v>588</v>
      </c>
      <c r="BK23" t="s">
        <v>588</v>
      </c>
      <c r="BL23" t="s">
        <v>588</v>
      </c>
      <c r="BM23" t="s">
        <v>588</v>
      </c>
      <c r="BN23" t="s">
        <v>588</v>
      </c>
      <c r="BO23" t="s">
        <v>588</v>
      </c>
      <c r="BP23" t="s">
        <v>588</v>
      </c>
      <c r="BQ23" t="s">
        <v>588</v>
      </c>
      <c r="BR23" t="s">
        <v>588</v>
      </c>
      <c r="BS23" t="s">
        <v>8</v>
      </c>
      <c r="BT23" t="s">
        <v>9</v>
      </c>
      <c r="BU23" t="s">
        <v>9</v>
      </c>
      <c r="BV23" t="s">
        <v>588</v>
      </c>
      <c r="BW23" t="s">
        <v>588</v>
      </c>
      <c r="BX23" t="s">
        <v>588</v>
      </c>
      <c r="BY23" t="s">
        <v>588</v>
      </c>
      <c r="BZ23" t="s">
        <v>588</v>
      </c>
    </row>
    <row r="24" spans="1:78" x14ac:dyDescent="0.25">
      <c r="A24">
        <v>201617</v>
      </c>
      <c r="B24" t="s">
        <v>46</v>
      </c>
      <c r="C24" t="s">
        <v>46</v>
      </c>
      <c r="D24" t="s">
        <v>5</v>
      </c>
      <c r="E24" t="s">
        <v>6</v>
      </c>
      <c r="F24">
        <v>1</v>
      </c>
      <c r="G24" t="s">
        <v>1648</v>
      </c>
      <c r="H24" s="11" t="s">
        <v>1648</v>
      </c>
      <c r="I24" s="1">
        <v>42762</v>
      </c>
      <c r="J24" s="11">
        <v>27</v>
      </c>
      <c r="K24" s="11">
        <v>1</v>
      </c>
      <c r="L24" s="11">
        <v>2017</v>
      </c>
      <c r="M24" s="11" t="s">
        <v>1736</v>
      </c>
      <c r="N24" t="s">
        <v>12</v>
      </c>
      <c r="O24" t="s">
        <v>10</v>
      </c>
      <c r="P24" s="4">
        <v>-38.664259999999999</v>
      </c>
      <c r="Q24" s="4">
        <v>145.58403999999999</v>
      </c>
      <c r="R24" s="4" t="s">
        <v>588</v>
      </c>
      <c r="S24" s="4" t="s">
        <v>588</v>
      </c>
      <c r="T24">
        <v>3</v>
      </c>
      <c r="U24">
        <v>3</v>
      </c>
      <c r="V24" t="s">
        <v>588</v>
      </c>
      <c r="W24" t="s">
        <v>588</v>
      </c>
      <c r="X24">
        <v>4</v>
      </c>
      <c r="Y24">
        <v>4</v>
      </c>
      <c r="Z24" t="s">
        <v>8</v>
      </c>
      <c r="AA24" s="1">
        <v>42781</v>
      </c>
      <c r="AB24" s="11">
        <v>15</v>
      </c>
      <c r="AC24" s="11">
        <v>2</v>
      </c>
      <c r="AD24" s="11">
        <v>2017</v>
      </c>
      <c r="AE24" s="13" t="s">
        <v>1768</v>
      </c>
      <c r="AF24" t="s">
        <v>21</v>
      </c>
      <c r="AG24" t="s">
        <v>588</v>
      </c>
      <c r="AH24" s="11" t="s">
        <v>588</v>
      </c>
      <c r="AI24" s="11" t="s">
        <v>588</v>
      </c>
      <c r="AJ24" s="11" t="s">
        <v>588</v>
      </c>
      <c r="AK24" s="13" t="s">
        <v>588</v>
      </c>
      <c r="AL24" t="s">
        <v>588</v>
      </c>
      <c r="AM24" t="s">
        <v>588</v>
      </c>
      <c r="AN24" t="s">
        <v>588</v>
      </c>
      <c r="AO24" t="s">
        <v>588</v>
      </c>
      <c r="AP24" s="1">
        <v>42790</v>
      </c>
      <c r="AQ24" t="s">
        <v>21</v>
      </c>
      <c r="AR24" t="s">
        <v>195</v>
      </c>
      <c r="AS24">
        <v>3</v>
      </c>
      <c r="AT24">
        <v>3</v>
      </c>
      <c r="AU24" s="7">
        <v>42795</v>
      </c>
      <c r="AV24" s="1">
        <v>42811</v>
      </c>
      <c r="AW24" t="s">
        <v>22</v>
      </c>
      <c r="AX24" t="s">
        <v>20</v>
      </c>
      <c r="AY24" t="s">
        <v>588</v>
      </c>
      <c r="AZ24" t="s">
        <v>20</v>
      </c>
      <c r="BA24" s="7">
        <v>42795</v>
      </c>
      <c r="BB24" s="1">
        <v>42811</v>
      </c>
      <c r="BC24" t="s">
        <v>22</v>
      </c>
      <c r="BD24" t="s">
        <v>20</v>
      </c>
      <c r="BE24" t="s">
        <v>588</v>
      </c>
      <c r="BF24" t="s">
        <v>20</v>
      </c>
      <c r="BG24" s="7" t="s">
        <v>588</v>
      </c>
      <c r="BH24" t="s">
        <v>588</v>
      </c>
      <c r="BI24" t="s">
        <v>588</v>
      </c>
      <c r="BJ24" t="s">
        <v>588</v>
      </c>
      <c r="BK24" t="s">
        <v>588</v>
      </c>
      <c r="BL24" t="s">
        <v>588</v>
      </c>
      <c r="BM24">
        <v>7</v>
      </c>
      <c r="BN24">
        <v>7</v>
      </c>
      <c r="BO24" t="s">
        <v>8</v>
      </c>
      <c r="BP24">
        <v>1</v>
      </c>
      <c r="BQ24" s="1">
        <v>42825</v>
      </c>
      <c r="BR24" t="s">
        <v>22</v>
      </c>
      <c r="BS24" t="s">
        <v>8</v>
      </c>
      <c r="BT24" t="s">
        <v>9</v>
      </c>
      <c r="BU24" t="s">
        <v>9</v>
      </c>
      <c r="BV24" t="s">
        <v>8</v>
      </c>
      <c r="BW24" t="s">
        <v>9</v>
      </c>
      <c r="BX24" t="s">
        <v>9</v>
      </c>
      <c r="BY24" t="s">
        <v>197</v>
      </c>
      <c r="BZ24" t="s">
        <v>588</v>
      </c>
    </row>
    <row r="25" spans="1:78" x14ac:dyDescent="0.25">
      <c r="A25">
        <v>201617</v>
      </c>
      <c r="B25" t="s">
        <v>14</v>
      </c>
      <c r="C25" t="s">
        <v>14</v>
      </c>
      <c r="D25" t="s">
        <v>15</v>
      </c>
      <c r="E25" t="s">
        <v>16</v>
      </c>
      <c r="F25">
        <v>1</v>
      </c>
      <c r="G25" t="s">
        <v>1649</v>
      </c>
      <c r="H25" s="11" t="s">
        <v>1649</v>
      </c>
      <c r="I25" s="1">
        <v>42723</v>
      </c>
      <c r="J25" s="11">
        <v>19</v>
      </c>
      <c r="K25" s="11">
        <v>12</v>
      </c>
      <c r="L25" s="11">
        <v>2016</v>
      </c>
      <c r="M25" s="11" t="s">
        <v>1769</v>
      </c>
      <c r="N25" t="s">
        <v>7</v>
      </c>
      <c r="O25" t="s">
        <v>19</v>
      </c>
      <c r="P25" s="4">
        <v>-38.660699999999999</v>
      </c>
      <c r="Q25" s="4">
        <v>145.58512999999999</v>
      </c>
      <c r="R25" s="4" t="s">
        <v>588</v>
      </c>
      <c r="S25" s="4" t="s">
        <v>588</v>
      </c>
      <c r="T25">
        <v>1</v>
      </c>
      <c r="U25">
        <v>3</v>
      </c>
      <c r="V25" t="s">
        <v>588</v>
      </c>
      <c r="W25" t="s">
        <v>588</v>
      </c>
      <c r="X25">
        <v>2</v>
      </c>
      <c r="Y25">
        <v>2</v>
      </c>
      <c r="Z25" t="s">
        <v>41</v>
      </c>
      <c r="AA25" s="1">
        <v>42723</v>
      </c>
      <c r="AB25" s="11">
        <v>19</v>
      </c>
      <c r="AC25" s="11">
        <v>12</v>
      </c>
      <c r="AD25" s="11">
        <v>2016</v>
      </c>
      <c r="AE25" s="13" t="s">
        <v>1769</v>
      </c>
      <c r="AF25" t="s">
        <v>7</v>
      </c>
      <c r="AG25" s="1">
        <v>42734</v>
      </c>
      <c r="AH25" s="11">
        <v>30</v>
      </c>
      <c r="AI25" s="11">
        <v>12</v>
      </c>
      <c r="AJ25" s="11">
        <v>2016</v>
      </c>
      <c r="AK25" s="13" t="s">
        <v>1723</v>
      </c>
      <c r="AL25" t="s">
        <v>7</v>
      </c>
      <c r="AM25" t="s">
        <v>20</v>
      </c>
      <c r="AN25" t="s">
        <v>41</v>
      </c>
      <c r="AO25" t="s">
        <v>20</v>
      </c>
      <c r="AP25" t="s">
        <v>588</v>
      </c>
      <c r="AQ25" t="s">
        <v>588</v>
      </c>
      <c r="AR25" t="s">
        <v>588</v>
      </c>
      <c r="AS25" t="s">
        <v>588</v>
      </c>
      <c r="AT25" t="s">
        <v>588</v>
      </c>
      <c r="AU25" s="7" t="s">
        <v>588</v>
      </c>
      <c r="AV25" t="s">
        <v>588</v>
      </c>
      <c r="AW25" t="s">
        <v>588</v>
      </c>
      <c r="AX25" t="s">
        <v>588</v>
      </c>
      <c r="AY25" t="s">
        <v>588</v>
      </c>
      <c r="AZ25" t="s">
        <v>588</v>
      </c>
      <c r="BA25" s="7" t="s">
        <v>588</v>
      </c>
      <c r="BB25" t="s">
        <v>588</v>
      </c>
      <c r="BC25" t="s">
        <v>588</v>
      </c>
      <c r="BD25" t="s">
        <v>588</v>
      </c>
      <c r="BE25" t="s">
        <v>588</v>
      </c>
      <c r="BF25" t="s">
        <v>588</v>
      </c>
      <c r="BG25" s="7" t="s">
        <v>588</v>
      </c>
      <c r="BH25" t="s">
        <v>588</v>
      </c>
      <c r="BI25" t="s">
        <v>588</v>
      </c>
      <c r="BJ25" t="s">
        <v>588</v>
      </c>
      <c r="BK25" t="s">
        <v>588</v>
      </c>
      <c r="BL25" t="s">
        <v>588</v>
      </c>
      <c r="BM25" t="s">
        <v>588</v>
      </c>
      <c r="BN25" t="s">
        <v>588</v>
      </c>
      <c r="BO25" t="s">
        <v>588</v>
      </c>
      <c r="BP25" t="s">
        <v>588</v>
      </c>
      <c r="BQ25" t="s">
        <v>588</v>
      </c>
      <c r="BR25" t="s">
        <v>588</v>
      </c>
      <c r="BS25" t="s">
        <v>8</v>
      </c>
      <c r="BT25" t="s">
        <v>18</v>
      </c>
      <c r="BU25" t="s">
        <v>18</v>
      </c>
      <c r="BV25" t="s">
        <v>588</v>
      </c>
      <c r="BW25" t="s">
        <v>588</v>
      </c>
      <c r="BX25" t="s">
        <v>588</v>
      </c>
      <c r="BY25" t="s">
        <v>588</v>
      </c>
      <c r="BZ25" t="s">
        <v>588</v>
      </c>
    </row>
    <row r="26" spans="1:78" x14ac:dyDescent="0.25">
      <c r="A26">
        <v>201617</v>
      </c>
      <c r="B26" t="s">
        <v>14</v>
      </c>
      <c r="C26" t="s">
        <v>14</v>
      </c>
      <c r="D26" t="s">
        <v>15</v>
      </c>
      <c r="E26" t="s">
        <v>16</v>
      </c>
      <c r="F26">
        <v>2</v>
      </c>
      <c r="G26" t="s">
        <v>1650</v>
      </c>
      <c r="H26" s="11" t="s">
        <v>1650</v>
      </c>
      <c r="I26" s="1">
        <v>42762</v>
      </c>
      <c r="J26" s="11">
        <v>27</v>
      </c>
      <c r="K26" s="11">
        <v>1</v>
      </c>
      <c r="L26" s="11">
        <v>2017</v>
      </c>
      <c r="M26" s="11" t="s">
        <v>1736</v>
      </c>
      <c r="N26" t="s">
        <v>12</v>
      </c>
      <c r="O26" t="s">
        <v>19</v>
      </c>
      <c r="P26" s="4">
        <v>-38.659309999999998</v>
      </c>
      <c r="Q26" s="4">
        <v>145.58063999999999</v>
      </c>
      <c r="R26" s="4" t="s">
        <v>588</v>
      </c>
      <c r="S26" s="4" t="s">
        <v>588</v>
      </c>
      <c r="T26">
        <v>3</v>
      </c>
      <c r="U26">
        <v>3</v>
      </c>
      <c r="V26" s="1">
        <v>42764</v>
      </c>
      <c r="W26" t="s">
        <v>223</v>
      </c>
      <c r="X26">
        <v>3</v>
      </c>
      <c r="Y26">
        <v>3</v>
      </c>
      <c r="Z26" t="s">
        <v>41</v>
      </c>
      <c r="AA26" s="1">
        <v>42773</v>
      </c>
      <c r="AB26" s="11">
        <v>7</v>
      </c>
      <c r="AC26" s="11">
        <v>2</v>
      </c>
      <c r="AD26" s="11">
        <v>2017</v>
      </c>
      <c r="AE26" s="13" t="s">
        <v>1782</v>
      </c>
      <c r="AF26" t="s">
        <v>21</v>
      </c>
      <c r="AG26" s="1">
        <v>42779</v>
      </c>
      <c r="AH26" s="11">
        <v>13</v>
      </c>
      <c r="AI26" s="11">
        <v>2</v>
      </c>
      <c r="AJ26" s="11">
        <v>2017</v>
      </c>
      <c r="AK26" s="13" t="s">
        <v>1735</v>
      </c>
      <c r="AL26" t="s">
        <v>21</v>
      </c>
      <c r="AM26" t="s">
        <v>20</v>
      </c>
      <c r="AN26" t="s">
        <v>41</v>
      </c>
      <c r="AO26" t="s">
        <v>20</v>
      </c>
      <c r="AP26" t="s">
        <v>588</v>
      </c>
      <c r="AQ26" t="s">
        <v>588</v>
      </c>
      <c r="AR26" t="s">
        <v>588</v>
      </c>
      <c r="AS26" t="s">
        <v>588</v>
      </c>
      <c r="AT26" t="s">
        <v>588</v>
      </c>
      <c r="AU26" s="7" t="s">
        <v>588</v>
      </c>
      <c r="AV26" t="s">
        <v>588</v>
      </c>
      <c r="AW26" t="s">
        <v>588</v>
      </c>
      <c r="AX26" t="s">
        <v>588</v>
      </c>
      <c r="AY26" t="s">
        <v>588</v>
      </c>
      <c r="AZ26" t="s">
        <v>588</v>
      </c>
      <c r="BA26" s="7" t="s">
        <v>588</v>
      </c>
      <c r="BB26" t="s">
        <v>588</v>
      </c>
      <c r="BC26" t="s">
        <v>588</v>
      </c>
      <c r="BD26" t="s">
        <v>588</v>
      </c>
      <c r="BE26" t="s">
        <v>588</v>
      </c>
      <c r="BF26" t="s">
        <v>588</v>
      </c>
      <c r="BG26" s="7" t="s">
        <v>588</v>
      </c>
      <c r="BH26" t="s">
        <v>588</v>
      </c>
      <c r="BI26" t="s">
        <v>588</v>
      </c>
      <c r="BJ26" t="s">
        <v>588</v>
      </c>
      <c r="BK26" t="s">
        <v>588</v>
      </c>
      <c r="BL26" t="s">
        <v>588</v>
      </c>
      <c r="BM26" t="s">
        <v>588</v>
      </c>
      <c r="BN26" t="s">
        <v>588</v>
      </c>
      <c r="BO26" t="s">
        <v>588</v>
      </c>
      <c r="BP26" t="s">
        <v>588</v>
      </c>
      <c r="BQ26" t="s">
        <v>588</v>
      </c>
      <c r="BR26" t="s">
        <v>588</v>
      </c>
      <c r="BS26" t="s">
        <v>8</v>
      </c>
      <c r="BT26" t="s">
        <v>9</v>
      </c>
      <c r="BU26" t="s">
        <v>9</v>
      </c>
      <c r="BV26" t="s">
        <v>588</v>
      </c>
      <c r="BW26" t="s">
        <v>588</v>
      </c>
      <c r="BX26" t="s">
        <v>588</v>
      </c>
      <c r="BY26" t="s">
        <v>588</v>
      </c>
      <c r="BZ26" t="s">
        <v>588</v>
      </c>
    </row>
    <row r="27" spans="1:78" x14ac:dyDescent="0.25">
      <c r="A27">
        <v>201617</v>
      </c>
      <c r="B27" t="s">
        <v>1439</v>
      </c>
      <c r="C27" s="24" t="s">
        <v>460</v>
      </c>
      <c r="D27" t="s">
        <v>1440</v>
      </c>
      <c r="E27" t="s">
        <v>16</v>
      </c>
      <c r="F27">
        <v>1</v>
      </c>
      <c r="G27" t="s">
        <v>1653</v>
      </c>
      <c r="H27" s="11" t="s">
        <v>1838</v>
      </c>
      <c r="I27" s="1">
        <v>42741</v>
      </c>
      <c r="J27" s="11">
        <v>6</v>
      </c>
      <c r="K27" s="11">
        <v>1</v>
      </c>
      <c r="L27" s="11">
        <v>2017</v>
      </c>
      <c r="M27" s="11" t="s">
        <v>1781</v>
      </c>
      <c r="N27" t="s">
        <v>12</v>
      </c>
      <c r="O27" t="s">
        <v>51</v>
      </c>
      <c r="P27">
        <v>-38.643839999999997</v>
      </c>
      <c r="Q27">
        <v>145.55799999999999</v>
      </c>
      <c r="R27" t="s">
        <v>588</v>
      </c>
      <c r="S27" t="s">
        <v>588</v>
      </c>
      <c r="T27">
        <v>2</v>
      </c>
      <c r="U27">
        <v>3</v>
      </c>
      <c r="V27" t="s">
        <v>588</v>
      </c>
      <c r="W27" t="s">
        <v>588</v>
      </c>
      <c r="X27">
        <v>3</v>
      </c>
      <c r="Y27">
        <v>3</v>
      </c>
      <c r="Z27" t="s">
        <v>8</v>
      </c>
      <c r="AA27" s="1">
        <v>42766</v>
      </c>
      <c r="AB27" s="11">
        <v>31</v>
      </c>
      <c r="AC27" s="11">
        <v>1</v>
      </c>
      <c r="AD27" s="11">
        <v>2017</v>
      </c>
      <c r="AE27" s="13" t="s">
        <v>1765</v>
      </c>
      <c r="AF27" t="s">
        <v>12</v>
      </c>
      <c r="AG27" t="s">
        <v>588</v>
      </c>
      <c r="AH27" s="11" t="s">
        <v>588</v>
      </c>
      <c r="AI27" s="11" t="s">
        <v>588</v>
      </c>
      <c r="AJ27" s="11" t="s">
        <v>588</v>
      </c>
      <c r="AK27" s="13" t="s">
        <v>588</v>
      </c>
      <c r="AL27" t="s">
        <v>588</v>
      </c>
      <c r="AM27" t="s">
        <v>588</v>
      </c>
      <c r="AN27" t="s">
        <v>588</v>
      </c>
      <c r="AO27" t="s">
        <v>588</v>
      </c>
      <c r="AP27" s="1">
        <v>42769</v>
      </c>
      <c r="AQ27" t="s">
        <v>21</v>
      </c>
      <c r="AR27" t="s">
        <v>195</v>
      </c>
      <c r="AS27">
        <v>2</v>
      </c>
      <c r="AT27">
        <v>2</v>
      </c>
      <c r="AU27" s="1">
        <v>42783</v>
      </c>
      <c r="AV27" s="1">
        <v>42787</v>
      </c>
      <c r="AW27" t="s">
        <v>21</v>
      </c>
      <c r="AX27" t="s">
        <v>20</v>
      </c>
      <c r="AY27" t="s">
        <v>41</v>
      </c>
      <c r="AZ27" t="s">
        <v>20</v>
      </c>
      <c r="BA27" t="s">
        <v>588</v>
      </c>
      <c r="BB27" t="s">
        <v>588</v>
      </c>
      <c r="BC27" t="s">
        <v>588</v>
      </c>
      <c r="BD27" t="s">
        <v>588</v>
      </c>
      <c r="BE27" t="s">
        <v>588</v>
      </c>
      <c r="BF27" t="s">
        <v>588</v>
      </c>
      <c r="BG27" t="s">
        <v>588</v>
      </c>
      <c r="BH27" t="s">
        <v>588</v>
      </c>
      <c r="BI27" t="s">
        <v>588</v>
      </c>
      <c r="BJ27" t="s">
        <v>588</v>
      </c>
      <c r="BK27" t="s">
        <v>588</v>
      </c>
      <c r="BL27" t="s">
        <v>588</v>
      </c>
      <c r="BM27">
        <v>10</v>
      </c>
      <c r="BN27">
        <v>10</v>
      </c>
      <c r="BO27" t="s">
        <v>8</v>
      </c>
      <c r="BP27">
        <v>1</v>
      </c>
      <c r="BQ27" s="1">
        <v>42832</v>
      </c>
      <c r="BR27" t="s">
        <v>72</v>
      </c>
      <c r="BS27" t="s">
        <v>41</v>
      </c>
      <c r="BT27" t="s">
        <v>42</v>
      </c>
      <c r="BU27" t="s">
        <v>42</v>
      </c>
      <c r="BV27" t="s">
        <v>8</v>
      </c>
      <c r="BW27" t="s">
        <v>123</v>
      </c>
      <c r="BX27" t="s">
        <v>123</v>
      </c>
      <c r="BY27" t="s">
        <v>588</v>
      </c>
      <c r="BZ27" t="s">
        <v>588</v>
      </c>
    </row>
    <row r="28" spans="1:78" x14ac:dyDescent="0.25">
      <c r="A28">
        <v>201617</v>
      </c>
      <c r="B28" t="s">
        <v>580</v>
      </c>
      <c r="C28" t="s">
        <v>580</v>
      </c>
      <c r="D28" t="s">
        <v>270</v>
      </c>
      <c r="E28" t="s">
        <v>16</v>
      </c>
      <c r="F28">
        <v>1</v>
      </c>
      <c r="G28" t="s">
        <v>1654</v>
      </c>
      <c r="H28" s="11" t="s">
        <v>1654</v>
      </c>
      <c r="I28" s="1">
        <v>42741</v>
      </c>
      <c r="J28" s="11">
        <v>6</v>
      </c>
      <c r="K28" s="11">
        <v>1</v>
      </c>
      <c r="L28" s="11">
        <v>2017</v>
      </c>
      <c r="M28" s="11" t="s">
        <v>1781</v>
      </c>
      <c r="N28" t="s">
        <v>12</v>
      </c>
      <c r="O28" t="s">
        <v>10</v>
      </c>
      <c r="P28">
        <v>-38.634480000000003</v>
      </c>
      <c r="Q28">
        <v>145.55197000000001</v>
      </c>
      <c r="R28" t="s">
        <v>588</v>
      </c>
      <c r="S28" t="s">
        <v>588</v>
      </c>
      <c r="T28">
        <v>3</v>
      </c>
      <c r="U28">
        <v>3</v>
      </c>
      <c r="V28" t="s">
        <v>588</v>
      </c>
      <c r="W28" t="s">
        <v>588</v>
      </c>
      <c r="X28">
        <v>3</v>
      </c>
      <c r="Y28">
        <v>3</v>
      </c>
      <c r="Z28" t="s">
        <v>41</v>
      </c>
      <c r="AA28" s="1">
        <v>42748</v>
      </c>
      <c r="AB28" s="11">
        <v>13</v>
      </c>
      <c r="AC28" s="11">
        <v>1</v>
      </c>
      <c r="AD28" s="11">
        <v>2017</v>
      </c>
      <c r="AE28" s="13" t="s">
        <v>1722</v>
      </c>
      <c r="AF28" t="s">
        <v>12</v>
      </c>
      <c r="AG28" s="1">
        <v>42758</v>
      </c>
      <c r="AH28" s="11">
        <v>23</v>
      </c>
      <c r="AI28" s="11">
        <v>1</v>
      </c>
      <c r="AJ28" s="11">
        <v>2017</v>
      </c>
      <c r="AK28" s="13" t="s">
        <v>1738</v>
      </c>
      <c r="AL28" t="s">
        <v>12</v>
      </c>
      <c r="AM28" s="1" t="s">
        <v>11</v>
      </c>
      <c r="AN28" t="s">
        <v>8</v>
      </c>
      <c r="AO28" s="1" t="s">
        <v>1612</v>
      </c>
      <c r="AP28" t="s">
        <v>588</v>
      </c>
      <c r="AQ28" s="1" t="s">
        <v>588</v>
      </c>
      <c r="AR28" t="s">
        <v>588</v>
      </c>
      <c r="AS28" s="1" t="s">
        <v>588</v>
      </c>
      <c r="AT28" t="s">
        <v>588</v>
      </c>
      <c r="AU28" s="1" t="s">
        <v>588</v>
      </c>
      <c r="AV28" t="s">
        <v>588</v>
      </c>
      <c r="AW28" s="1" t="s">
        <v>588</v>
      </c>
      <c r="AX28" t="s">
        <v>588</v>
      </c>
      <c r="AY28" s="1" t="s">
        <v>588</v>
      </c>
      <c r="AZ28" t="s">
        <v>588</v>
      </c>
      <c r="BA28" s="1" t="s">
        <v>588</v>
      </c>
      <c r="BB28" t="s">
        <v>588</v>
      </c>
      <c r="BC28" s="1" t="s">
        <v>588</v>
      </c>
      <c r="BD28" t="s">
        <v>588</v>
      </c>
      <c r="BE28" s="1" t="s">
        <v>588</v>
      </c>
      <c r="BF28" t="s">
        <v>588</v>
      </c>
      <c r="BG28" s="1" t="s">
        <v>588</v>
      </c>
      <c r="BH28" t="s">
        <v>588</v>
      </c>
      <c r="BI28" s="1" t="s">
        <v>588</v>
      </c>
      <c r="BJ28" t="s">
        <v>588</v>
      </c>
      <c r="BK28" s="1" t="s">
        <v>588</v>
      </c>
      <c r="BL28" t="s">
        <v>588</v>
      </c>
      <c r="BM28" s="1" t="s">
        <v>588</v>
      </c>
      <c r="BN28" t="s">
        <v>588</v>
      </c>
      <c r="BO28" s="1" t="s">
        <v>588</v>
      </c>
      <c r="BP28" t="s">
        <v>588</v>
      </c>
      <c r="BQ28" s="1" t="s">
        <v>588</v>
      </c>
      <c r="BR28" t="s">
        <v>588</v>
      </c>
      <c r="BS28" t="s">
        <v>41</v>
      </c>
      <c r="BT28" t="s">
        <v>42</v>
      </c>
      <c r="BU28" t="s">
        <v>42</v>
      </c>
      <c r="BV28" t="s">
        <v>588</v>
      </c>
      <c r="BW28" t="s">
        <v>588</v>
      </c>
      <c r="BX28" t="s">
        <v>588</v>
      </c>
      <c r="BY28" t="s">
        <v>588</v>
      </c>
      <c r="BZ28" t="s">
        <v>588</v>
      </c>
    </row>
    <row r="29" spans="1:78" x14ac:dyDescent="0.25">
      <c r="A29">
        <v>201617</v>
      </c>
      <c r="B29" t="s">
        <v>580</v>
      </c>
      <c r="C29" t="s">
        <v>580</v>
      </c>
      <c r="D29" t="s">
        <v>270</v>
      </c>
      <c r="E29" t="s">
        <v>16</v>
      </c>
      <c r="F29">
        <v>2</v>
      </c>
      <c r="G29" t="s">
        <v>1655</v>
      </c>
      <c r="H29" s="11" t="s">
        <v>1655</v>
      </c>
      <c r="I29" s="1">
        <v>42758</v>
      </c>
      <c r="J29" s="11">
        <v>23</v>
      </c>
      <c r="K29" s="11">
        <v>1</v>
      </c>
      <c r="L29" s="11">
        <v>2017</v>
      </c>
      <c r="M29" s="11" t="s">
        <v>1738</v>
      </c>
      <c r="N29" t="s">
        <v>12</v>
      </c>
      <c r="O29" t="s">
        <v>10</v>
      </c>
      <c r="P29">
        <v>-38.632959999999997</v>
      </c>
      <c r="Q29">
        <v>145.55139</v>
      </c>
      <c r="R29" t="s">
        <v>588</v>
      </c>
      <c r="S29" t="s">
        <v>588</v>
      </c>
      <c r="T29">
        <v>3</v>
      </c>
      <c r="U29">
        <v>3</v>
      </c>
      <c r="V29" s="1">
        <v>42760</v>
      </c>
      <c r="W29" t="s">
        <v>223</v>
      </c>
      <c r="X29">
        <v>4</v>
      </c>
      <c r="Y29">
        <v>4</v>
      </c>
      <c r="Z29" t="s">
        <v>41</v>
      </c>
      <c r="AA29" s="1">
        <v>42769</v>
      </c>
      <c r="AB29" s="11">
        <v>3</v>
      </c>
      <c r="AC29" s="11">
        <v>2</v>
      </c>
      <c r="AD29" s="11">
        <v>2017</v>
      </c>
      <c r="AE29" s="13" t="s">
        <v>1726</v>
      </c>
      <c r="AF29" t="s">
        <v>21</v>
      </c>
      <c r="AG29" s="1">
        <v>42788</v>
      </c>
      <c r="AH29" s="11">
        <v>22</v>
      </c>
      <c r="AI29" s="11">
        <v>2</v>
      </c>
      <c r="AJ29" s="11">
        <v>2017</v>
      </c>
      <c r="AK29" s="13" t="s">
        <v>1739</v>
      </c>
      <c r="AL29" t="s">
        <v>21</v>
      </c>
      <c r="AM29" s="1" t="s">
        <v>11</v>
      </c>
      <c r="AN29" t="s">
        <v>8</v>
      </c>
      <c r="AO29" s="1" t="s">
        <v>1612</v>
      </c>
      <c r="AP29" t="s">
        <v>588</v>
      </c>
      <c r="AQ29" s="1" t="s">
        <v>588</v>
      </c>
      <c r="AR29" t="s">
        <v>588</v>
      </c>
      <c r="AS29" s="1" t="s">
        <v>588</v>
      </c>
      <c r="AT29" t="s">
        <v>588</v>
      </c>
      <c r="AU29" s="1" t="s">
        <v>588</v>
      </c>
      <c r="AV29" t="s">
        <v>588</v>
      </c>
      <c r="AW29" s="1" t="s">
        <v>588</v>
      </c>
      <c r="AX29" t="s">
        <v>588</v>
      </c>
      <c r="AY29" s="1" t="s">
        <v>588</v>
      </c>
      <c r="AZ29" t="s">
        <v>588</v>
      </c>
      <c r="BA29" s="1" t="s">
        <v>588</v>
      </c>
      <c r="BB29" t="s">
        <v>588</v>
      </c>
      <c r="BC29" s="1" t="s">
        <v>588</v>
      </c>
      <c r="BD29" t="s">
        <v>588</v>
      </c>
      <c r="BE29" s="1" t="s">
        <v>588</v>
      </c>
      <c r="BF29" t="s">
        <v>588</v>
      </c>
      <c r="BG29" s="1" t="s">
        <v>588</v>
      </c>
      <c r="BH29" t="s">
        <v>588</v>
      </c>
      <c r="BI29" s="1" t="s">
        <v>588</v>
      </c>
      <c r="BJ29" t="s">
        <v>588</v>
      </c>
      <c r="BK29" s="1" t="s">
        <v>588</v>
      </c>
      <c r="BL29" t="s">
        <v>588</v>
      </c>
      <c r="BM29" s="1" t="s">
        <v>588</v>
      </c>
      <c r="BN29" t="s">
        <v>588</v>
      </c>
      <c r="BO29" s="1" t="s">
        <v>588</v>
      </c>
      <c r="BP29" t="s">
        <v>588</v>
      </c>
      <c r="BQ29" s="1" t="s">
        <v>588</v>
      </c>
      <c r="BR29" t="s">
        <v>588</v>
      </c>
      <c r="BS29" t="s">
        <v>41</v>
      </c>
      <c r="BT29" t="s">
        <v>42</v>
      </c>
      <c r="BU29" t="s">
        <v>42</v>
      </c>
      <c r="BV29" t="s">
        <v>588</v>
      </c>
      <c r="BW29" t="s">
        <v>588</v>
      </c>
      <c r="BX29" t="s">
        <v>588</v>
      </c>
      <c r="BY29" t="s">
        <v>588</v>
      </c>
      <c r="BZ29" t="s">
        <v>588</v>
      </c>
    </row>
    <row r="30" spans="1:78" x14ac:dyDescent="0.25">
      <c r="A30">
        <v>201617</v>
      </c>
      <c r="B30" t="s">
        <v>1625</v>
      </c>
      <c r="C30" t="s">
        <v>580</v>
      </c>
      <c r="D30" t="s">
        <v>571</v>
      </c>
      <c r="E30" t="s">
        <v>572</v>
      </c>
      <c r="F30">
        <v>3</v>
      </c>
      <c r="G30" t="s">
        <v>1659</v>
      </c>
      <c r="H30" s="11" t="s">
        <v>1785</v>
      </c>
      <c r="I30" s="1">
        <v>42788</v>
      </c>
      <c r="J30" s="11">
        <v>22</v>
      </c>
      <c r="K30" s="11">
        <v>2</v>
      </c>
      <c r="L30" s="11">
        <v>2017</v>
      </c>
      <c r="M30" s="11" t="s">
        <v>1739</v>
      </c>
      <c r="N30" t="s">
        <v>21</v>
      </c>
      <c r="O30" t="s">
        <v>51</v>
      </c>
      <c r="P30">
        <v>-38.631830000000001</v>
      </c>
      <c r="Q30">
        <v>145.55096</v>
      </c>
      <c r="R30" t="s">
        <v>588</v>
      </c>
      <c r="S30" t="s">
        <v>588</v>
      </c>
      <c r="T30">
        <v>3</v>
      </c>
      <c r="U30">
        <v>3</v>
      </c>
      <c r="V30" t="s">
        <v>588</v>
      </c>
      <c r="W30" t="s">
        <v>588</v>
      </c>
      <c r="X30">
        <v>2</v>
      </c>
      <c r="Y30">
        <v>2</v>
      </c>
      <c r="Z30" t="s">
        <v>41</v>
      </c>
      <c r="AA30" s="1">
        <v>42788</v>
      </c>
      <c r="AB30" s="11">
        <v>22</v>
      </c>
      <c r="AC30" s="11">
        <v>2</v>
      </c>
      <c r="AD30" s="11">
        <v>2017</v>
      </c>
      <c r="AE30" s="13" t="s">
        <v>1739</v>
      </c>
      <c r="AF30" t="s">
        <v>21</v>
      </c>
      <c r="AG30" s="1">
        <v>42802</v>
      </c>
      <c r="AH30" s="11">
        <v>8</v>
      </c>
      <c r="AI30" s="11">
        <v>3</v>
      </c>
      <c r="AJ30" s="11">
        <v>2017</v>
      </c>
      <c r="AK30" s="13" t="s">
        <v>1740</v>
      </c>
      <c r="AL30" t="s">
        <v>22</v>
      </c>
      <c r="AM30" t="s">
        <v>20</v>
      </c>
      <c r="AN30" t="s">
        <v>41</v>
      </c>
      <c r="AO30" t="s">
        <v>20</v>
      </c>
      <c r="AP30" t="s">
        <v>588</v>
      </c>
      <c r="AQ30" s="1" t="s">
        <v>588</v>
      </c>
      <c r="AR30" t="s">
        <v>588</v>
      </c>
      <c r="AS30" s="1" t="s">
        <v>588</v>
      </c>
      <c r="AT30" t="s">
        <v>588</v>
      </c>
      <c r="AU30" s="1" t="s">
        <v>588</v>
      </c>
      <c r="AV30" t="s">
        <v>588</v>
      </c>
      <c r="AW30" s="1" t="s">
        <v>588</v>
      </c>
      <c r="AX30" t="s">
        <v>588</v>
      </c>
      <c r="AY30" s="1" t="s">
        <v>588</v>
      </c>
      <c r="AZ30" t="s">
        <v>588</v>
      </c>
      <c r="BA30" s="1" t="s">
        <v>588</v>
      </c>
      <c r="BB30" t="s">
        <v>588</v>
      </c>
      <c r="BC30" s="1" t="s">
        <v>588</v>
      </c>
      <c r="BD30" t="s">
        <v>588</v>
      </c>
      <c r="BE30" s="1" t="s">
        <v>588</v>
      </c>
      <c r="BF30" t="s">
        <v>588</v>
      </c>
      <c r="BG30" s="1" t="s">
        <v>588</v>
      </c>
      <c r="BH30" t="s">
        <v>588</v>
      </c>
      <c r="BI30" s="1" t="s">
        <v>588</v>
      </c>
      <c r="BJ30" t="s">
        <v>588</v>
      </c>
      <c r="BK30" s="1" t="s">
        <v>588</v>
      </c>
      <c r="BL30" t="s">
        <v>588</v>
      </c>
      <c r="BM30" s="1" t="s">
        <v>588</v>
      </c>
      <c r="BN30" t="s">
        <v>588</v>
      </c>
      <c r="BO30" s="1" t="s">
        <v>588</v>
      </c>
      <c r="BP30" t="s">
        <v>588</v>
      </c>
      <c r="BQ30" s="1" t="s">
        <v>588</v>
      </c>
      <c r="BR30" t="s">
        <v>588</v>
      </c>
      <c r="BS30" t="s">
        <v>41</v>
      </c>
      <c r="BT30" t="s">
        <v>42</v>
      </c>
      <c r="BU30" t="s">
        <v>42</v>
      </c>
      <c r="BV30" t="s">
        <v>588</v>
      </c>
      <c r="BW30" t="s">
        <v>588</v>
      </c>
      <c r="BX30" t="s">
        <v>588</v>
      </c>
      <c r="BY30" t="s">
        <v>588</v>
      </c>
      <c r="BZ30" t="s">
        <v>588</v>
      </c>
    </row>
    <row r="31" spans="1:78" x14ac:dyDescent="0.25">
      <c r="A31">
        <v>201617</v>
      </c>
      <c r="B31" t="s">
        <v>274</v>
      </c>
      <c r="C31" t="s">
        <v>274</v>
      </c>
      <c r="D31" t="s">
        <v>275</v>
      </c>
      <c r="E31" t="s">
        <v>573</v>
      </c>
      <c r="F31">
        <v>1</v>
      </c>
      <c r="G31" t="s">
        <v>1656</v>
      </c>
      <c r="H31" s="11" t="s">
        <v>1656</v>
      </c>
      <c r="I31" s="1">
        <v>42741</v>
      </c>
      <c r="J31" s="11">
        <v>6</v>
      </c>
      <c r="K31" s="11">
        <v>1</v>
      </c>
      <c r="L31" s="11">
        <v>2017</v>
      </c>
      <c r="M31" s="11" t="s">
        <v>1781</v>
      </c>
      <c r="N31" t="s">
        <v>12</v>
      </c>
      <c r="O31" t="s">
        <v>10</v>
      </c>
      <c r="P31">
        <v>-38.639400000000002</v>
      </c>
      <c r="Q31">
        <v>145.55524</v>
      </c>
      <c r="R31" t="s">
        <v>588</v>
      </c>
      <c r="S31" t="s">
        <v>588</v>
      </c>
      <c r="T31">
        <v>2</v>
      </c>
      <c r="U31">
        <v>2</v>
      </c>
      <c r="V31" t="s">
        <v>588</v>
      </c>
      <c r="W31" t="s">
        <v>588</v>
      </c>
      <c r="X31">
        <v>7</v>
      </c>
      <c r="Y31">
        <v>7</v>
      </c>
      <c r="Z31" t="s">
        <v>647</v>
      </c>
      <c r="AA31" s="1">
        <v>42778</v>
      </c>
      <c r="AB31" s="11">
        <v>12</v>
      </c>
      <c r="AC31" s="11">
        <v>2</v>
      </c>
      <c r="AD31" s="11">
        <v>2017</v>
      </c>
      <c r="AE31" s="13" t="s">
        <v>1737</v>
      </c>
      <c r="AF31" t="s">
        <v>21</v>
      </c>
      <c r="AG31" t="s">
        <v>1613</v>
      </c>
      <c r="AH31" s="11" t="s">
        <v>588</v>
      </c>
      <c r="AI31" s="11" t="s">
        <v>588</v>
      </c>
      <c r="AJ31" s="11" t="s">
        <v>588</v>
      </c>
      <c r="AK31" s="13" t="s">
        <v>588</v>
      </c>
      <c r="AL31" t="s">
        <v>588</v>
      </c>
      <c r="AM31" s="1" t="s">
        <v>588</v>
      </c>
      <c r="AN31" t="s">
        <v>588</v>
      </c>
      <c r="AO31" s="1" t="s">
        <v>588</v>
      </c>
      <c r="AP31" t="s">
        <v>588</v>
      </c>
      <c r="AQ31" s="1" t="s">
        <v>588</v>
      </c>
      <c r="AR31" t="s">
        <v>588</v>
      </c>
      <c r="AS31" s="1" t="s">
        <v>588</v>
      </c>
      <c r="AT31" t="s">
        <v>588</v>
      </c>
      <c r="AU31" s="1" t="s">
        <v>588</v>
      </c>
      <c r="AV31" t="s">
        <v>588</v>
      </c>
      <c r="AW31" s="1" t="s">
        <v>588</v>
      </c>
      <c r="AX31" t="s">
        <v>588</v>
      </c>
      <c r="AY31" s="1" t="s">
        <v>588</v>
      </c>
      <c r="AZ31" t="s">
        <v>588</v>
      </c>
      <c r="BA31" s="1" t="s">
        <v>588</v>
      </c>
      <c r="BB31" t="s">
        <v>588</v>
      </c>
      <c r="BC31" s="1" t="s">
        <v>588</v>
      </c>
      <c r="BD31" t="s">
        <v>588</v>
      </c>
      <c r="BE31" s="1" t="s">
        <v>588</v>
      </c>
      <c r="BF31" t="s">
        <v>588</v>
      </c>
      <c r="BG31" s="1" t="s">
        <v>588</v>
      </c>
      <c r="BH31" t="s">
        <v>588</v>
      </c>
      <c r="BI31" s="1" t="s">
        <v>588</v>
      </c>
      <c r="BJ31" t="s">
        <v>588</v>
      </c>
      <c r="BK31" s="1" t="s">
        <v>588</v>
      </c>
      <c r="BL31" t="s">
        <v>588</v>
      </c>
      <c r="BM31" s="1" t="s">
        <v>588</v>
      </c>
      <c r="BN31" t="s">
        <v>588</v>
      </c>
      <c r="BO31" s="1" t="s">
        <v>588</v>
      </c>
      <c r="BP31" t="s">
        <v>588</v>
      </c>
      <c r="BQ31" s="1" t="s">
        <v>588</v>
      </c>
      <c r="BR31" t="s">
        <v>588</v>
      </c>
      <c r="BS31" t="s">
        <v>41</v>
      </c>
      <c r="BT31" t="s">
        <v>42</v>
      </c>
      <c r="BU31" t="s">
        <v>42</v>
      </c>
      <c r="BV31" t="s">
        <v>588</v>
      </c>
      <c r="BW31" t="s">
        <v>588</v>
      </c>
      <c r="BX31" t="s">
        <v>588</v>
      </c>
      <c r="BY31" t="s">
        <v>588</v>
      </c>
      <c r="BZ31" t="s">
        <v>588</v>
      </c>
    </row>
    <row r="32" spans="1:78" x14ac:dyDescent="0.25">
      <c r="A32">
        <v>201617</v>
      </c>
      <c r="B32" t="s">
        <v>1624</v>
      </c>
      <c r="C32" t="s">
        <v>280</v>
      </c>
      <c r="D32" t="s">
        <v>571</v>
      </c>
      <c r="E32" t="s">
        <v>572</v>
      </c>
      <c r="F32">
        <v>1</v>
      </c>
      <c r="G32" t="s">
        <v>1657</v>
      </c>
      <c r="H32" s="11" t="s">
        <v>1783</v>
      </c>
      <c r="I32" s="1">
        <v>42741</v>
      </c>
      <c r="J32" s="11">
        <v>6</v>
      </c>
      <c r="K32" s="11">
        <v>1</v>
      </c>
      <c r="L32" s="11">
        <v>2017</v>
      </c>
      <c r="M32" s="11" t="s">
        <v>1781</v>
      </c>
      <c r="N32" t="s">
        <v>12</v>
      </c>
      <c r="O32" t="s">
        <v>10</v>
      </c>
      <c r="P32">
        <v>-38.63062</v>
      </c>
      <c r="Q32">
        <v>145.54982999999999</v>
      </c>
      <c r="R32" t="s">
        <v>588</v>
      </c>
      <c r="S32" t="s">
        <v>588</v>
      </c>
      <c r="T32">
        <v>3</v>
      </c>
      <c r="U32">
        <v>3</v>
      </c>
      <c r="V32" s="1">
        <v>42745</v>
      </c>
      <c r="W32" t="s">
        <v>223</v>
      </c>
      <c r="X32">
        <v>3</v>
      </c>
      <c r="Y32">
        <v>3</v>
      </c>
      <c r="Z32" t="s">
        <v>41</v>
      </c>
      <c r="AA32" s="1">
        <v>42748</v>
      </c>
      <c r="AB32" s="11">
        <v>13</v>
      </c>
      <c r="AC32" s="11">
        <v>1</v>
      </c>
      <c r="AD32" s="11">
        <v>2017</v>
      </c>
      <c r="AE32" s="13" t="s">
        <v>1722</v>
      </c>
      <c r="AF32" t="s">
        <v>12</v>
      </c>
      <c r="AG32" s="1">
        <v>42758</v>
      </c>
      <c r="AH32" s="11">
        <v>23</v>
      </c>
      <c r="AI32" s="11">
        <v>1</v>
      </c>
      <c r="AJ32" s="11">
        <v>2017</v>
      </c>
      <c r="AK32" s="13" t="s">
        <v>1738</v>
      </c>
      <c r="AL32" t="s">
        <v>12</v>
      </c>
      <c r="AM32" t="s">
        <v>20</v>
      </c>
      <c r="AN32" t="s">
        <v>8</v>
      </c>
      <c r="AO32" t="s">
        <v>11</v>
      </c>
      <c r="AP32" t="s">
        <v>588</v>
      </c>
      <c r="AQ32" s="1" t="s">
        <v>588</v>
      </c>
      <c r="AR32" t="s">
        <v>588</v>
      </c>
      <c r="AS32" s="1" t="s">
        <v>588</v>
      </c>
      <c r="AT32" t="s">
        <v>588</v>
      </c>
      <c r="AU32" s="1" t="s">
        <v>588</v>
      </c>
      <c r="AV32" t="s">
        <v>588</v>
      </c>
      <c r="AW32" s="1" t="s">
        <v>588</v>
      </c>
      <c r="AX32" t="s">
        <v>588</v>
      </c>
      <c r="AY32" s="1" t="s">
        <v>588</v>
      </c>
      <c r="AZ32" t="s">
        <v>588</v>
      </c>
      <c r="BA32" s="1" t="s">
        <v>588</v>
      </c>
      <c r="BB32" t="s">
        <v>588</v>
      </c>
      <c r="BC32" s="1" t="s">
        <v>588</v>
      </c>
      <c r="BD32" t="s">
        <v>588</v>
      </c>
      <c r="BE32" s="1" t="s">
        <v>588</v>
      </c>
      <c r="BF32" t="s">
        <v>588</v>
      </c>
      <c r="BG32" s="1" t="s">
        <v>588</v>
      </c>
      <c r="BH32" t="s">
        <v>588</v>
      </c>
      <c r="BI32" s="1" t="s">
        <v>588</v>
      </c>
      <c r="BJ32" t="s">
        <v>588</v>
      </c>
      <c r="BK32" s="1" t="s">
        <v>588</v>
      </c>
      <c r="BL32" t="s">
        <v>588</v>
      </c>
      <c r="BM32" s="1" t="s">
        <v>588</v>
      </c>
      <c r="BN32" t="s">
        <v>588</v>
      </c>
      <c r="BO32" s="1" t="s">
        <v>588</v>
      </c>
      <c r="BP32" t="s">
        <v>588</v>
      </c>
      <c r="BQ32" s="1" t="s">
        <v>588</v>
      </c>
      <c r="BR32" t="s">
        <v>588</v>
      </c>
      <c r="BS32" t="s">
        <v>8</v>
      </c>
      <c r="BT32" t="s">
        <v>120</v>
      </c>
      <c r="BU32" t="s">
        <v>120</v>
      </c>
      <c r="BV32" t="s">
        <v>588</v>
      </c>
      <c r="BW32" t="s">
        <v>588</v>
      </c>
      <c r="BX32" t="s">
        <v>588</v>
      </c>
      <c r="BY32" t="s">
        <v>588</v>
      </c>
      <c r="BZ32" t="s">
        <v>588</v>
      </c>
    </row>
    <row r="33" spans="1:78" x14ac:dyDescent="0.25">
      <c r="A33">
        <v>201617</v>
      </c>
      <c r="B33" t="s">
        <v>1624</v>
      </c>
      <c r="C33" t="s">
        <v>280</v>
      </c>
      <c r="D33" t="s">
        <v>571</v>
      </c>
      <c r="E33" t="s">
        <v>572</v>
      </c>
      <c r="F33">
        <v>2</v>
      </c>
      <c r="G33" t="s">
        <v>1658</v>
      </c>
      <c r="H33" s="11" t="s">
        <v>1784</v>
      </c>
      <c r="I33" s="1">
        <v>42758</v>
      </c>
      <c r="J33" s="11">
        <v>23</v>
      </c>
      <c r="K33" s="11">
        <v>1</v>
      </c>
      <c r="L33" s="11">
        <v>2017</v>
      </c>
      <c r="M33" s="11" t="s">
        <v>1738</v>
      </c>
      <c r="N33" t="s">
        <v>12</v>
      </c>
      <c r="O33" t="s">
        <v>10</v>
      </c>
      <c r="P33">
        <v>-38.630032</v>
      </c>
      <c r="Q33">
        <v>145.549454</v>
      </c>
      <c r="R33" t="s">
        <v>588</v>
      </c>
      <c r="S33" t="s">
        <v>588</v>
      </c>
      <c r="T33">
        <v>3</v>
      </c>
      <c r="U33">
        <v>3</v>
      </c>
      <c r="V33" s="1">
        <v>42762</v>
      </c>
      <c r="W33" t="s">
        <v>223</v>
      </c>
      <c r="X33">
        <v>4</v>
      </c>
      <c r="Y33">
        <v>4</v>
      </c>
      <c r="Z33" t="s">
        <v>41</v>
      </c>
      <c r="AA33" s="1">
        <v>42769</v>
      </c>
      <c r="AB33" s="11">
        <v>3</v>
      </c>
      <c r="AC33" s="11">
        <v>2</v>
      </c>
      <c r="AD33" s="11">
        <v>2017</v>
      </c>
      <c r="AE33" s="13" t="s">
        <v>1726</v>
      </c>
      <c r="AF33" t="s">
        <v>21</v>
      </c>
      <c r="AG33" s="1">
        <v>42774</v>
      </c>
      <c r="AH33" s="11">
        <v>8</v>
      </c>
      <c r="AI33" s="11">
        <v>2</v>
      </c>
      <c r="AJ33" s="11">
        <v>2017</v>
      </c>
      <c r="AK33" s="13" t="s">
        <v>1724</v>
      </c>
      <c r="AL33" t="s">
        <v>21</v>
      </c>
      <c r="AM33" t="s">
        <v>20</v>
      </c>
      <c r="AN33" t="s">
        <v>8</v>
      </c>
      <c r="AO33" t="s">
        <v>32</v>
      </c>
      <c r="AP33" t="s">
        <v>588</v>
      </c>
      <c r="AQ33" s="1" t="s">
        <v>588</v>
      </c>
      <c r="AR33" t="s">
        <v>588</v>
      </c>
      <c r="AS33" s="1" t="s">
        <v>588</v>
      </c>
      <c r="AT33" t="s">
        <v>588</v>
      </c>
      <c r="AU33" s="1" t="s">
        <v>588</v>
      </c>
      <c r="AV33" t="s">
        <v>588</v>
      </c>
      <c r="AW33" s="1" t="s">
        <v>588</v>
      </c>
      <c r="AX33" t="s">
        <v>588</v>
      </c>
      <c r="AY33" s="1" t="s">
        <v>588</v>
      </c>
      <c r="AZ33" t="s">
        <v>588</v>
      </c>
      <c r="BA33" s="1" t="s">
        <v>588</v>
      </c>
      <c r="BB33" t="s">
        <v>588</v>
      </c>
      <c r="BC33" s="1" t="s">
        <v>588</v>
      </c>
      <c r="BD33" t="s">
        <v>588</v>
      </c>
      <c r="BE33" s="1" t="s">
        <v>588</v>
      </c>
      <c r="BF33" t="s">
        <v>588</v>
      </c>
      <c r="BG33" s="1" t="s">
        <v>588</v>
      </c>
      <c r="BH33" t="s">
        <v>588</v>
      </c>
      <c r="BI33" s="1" t="s">
        <v>588</v>
      </c>
      <c r="BJ33" t="s">
        <v>588</v>
      </c>
      <c r="BK33" s="1" t="s">
        <v>588</v>
      </c>
      <c r="BL33" t="s">
        <v>588</v>
      </c>
      <c r="BM33" s="1" t="s">
        <v>588</v>
      </c>
      <c r="BN33" t="s">
        <v>588</v>
      </c>
      <c r="BO33" s="1" t="s">
        <v>588</v>
      </c>
      <c r="BP33" t="s">
        <v>588</v>
      </c>
      <c r="BQ33" s="1" t="s">
        <v>588</v>
      </c>
      <c r="BR33" t="s">
        <v>588</v>
      </c>
      <c r="BS33" t="s">
        <v>8</v>
      </c>
      <c r="BT33" t="s">
        <v>120</v>
      </c>
      <c r="BU33" t="s">
        <v>120</v>
      </c>
      <c r="BV33" t="s">
        <v>588</v>
      </c>
      <c r="BW33" t="s">
        <v>588</v>
      </c>
      <c r="BX33" t="s">
        <v>588</v>
      </c>
      <c r="BY33" t="s">
        <v>588</v>
      </c>
      <c r="BZ33" t="s">
        <v>588</v>
      </c>
    </row>
    <row r="34" spans="1:78" x14ac:dyDescent="0.25">
      <c r="A34">
        <v>201617</v>
      </c>
      <c r="B34" t="s">
        <v>581</v>
      </c>
      <c r="C34" s="24" t="s">
        <v>284</v>
      </c>
      <c r="D34" t="s">
        <v>569</v>
      </c>
      <c r="E34" t="s">
        <v>16</v>
      </c>
      <c r="F34">
        <v>1</v>
      </c>
      <c r="G34" t="s">
        <v>1660</v>
      </c>
      <c r="H34" s="11" t="s">
        <v>1839</v>
      </c>
      <c r="I34" s="1">
        <v>42705</v>
      </c>
      <c r="J34" s="11">
        <v>1</v>
      </c>
      <c r="K34" s="11">
        <v>12</v>
      </c>
      <c r="L34" s="11">
        <v>2016</v>
      </c>
      <c r="M34" s="11" t="s">
        <v>1728</v>
      </c>
      <c r="N34" t="s">
        <v>7</v>
      </c>
      <c r="O34" t="s">
        <v>51</v>
      </c>
      <c r="P34">
        <v>-38.589149999999997</v>
      </c>
      <c r="Q34">
        <v>145.51694000000001</v>
      </c>
      <c r="R34" t="s">
        <v>588</v>
      </c>
      <c r="S34" t="s">
        <v>588</v>
      </c>
      <c r="T34">
        <v>2</v>
      </c>
      <c r="U34">
        <v>2</v>
      </c>
      <c r="V34" t="s">
        <v>588</v>
      </c>
      <c r="W34" t="s">
        <v>588</v>
      </c>
      <c r="X34">
        <v>4</v>
      </c>
      <c r="Y34">
        <v>4</v>
      </c>
      <c r="Z34" t="s">
        <v>41</v>
      </c>
      <c r="AA34" s="1">
        <v>42716</v>
      </c>
      <c r="AB34" s="11">
        <v>12</v>
      </c>
      <c r="AC34" s="11">
        <v>12</v>
      </c>
      <c r="AD34" s="11">
        <v>2016</v>
      </c>
      <c r="AE34" s="13" t="s">
        <v>1748</v>
      </c>
      <c r="AF34" t="s">
        <v>7</v>
      </c>
      <c r="AG34" s="1">
        <v>42720</v>
      </c>
      <c r="AH34" s="11">
        <v>16</v>
      </c>
      <c r="AI34" s="11">
        <v>12</v>
      </c>
      <c r="AJ34" s="11">
        <v>2016</v>
      </c>
      <c r="AK34" s="13" t="s">
        <v>1741</v>
      </c>
      <c r="AL34" t="s">
        <v>7</v>
      </c>
      <c r="AM34" t="s">
        <v>20</v>
      </c>
      <c r="AN34" t="s">
        <v>8</v>
      </c>
      <c r="AO34" t="s">
        <v>32</v>
      </c>
      <c r="AP34" t="s">
        <v>588</v>
      </c>
      <c r="AQ34" s="1" t="s">
        <v>588</v>
      </c>
      <c r="AR34" t="s">
        <v>588</v>
      </c>
      <c r="AS34" s="1" t="s">
        <v>588</v>
      </c>
      <c r="AT34" t="s">
        <v>588</v>
      </c>
      <c r="AU34" s="1" t="s">
        <v>588</v>
      </c>
      <c r="AV34" t="s">
        <v>588</v>
      </c>
      <c r="AW34" s="1" t="s">
        <v>588</v>
      </c>
      <c r="AX34" t="s">
        <v>588</v>
      </c>
      <c r="AY34" s="1" t="s">
        <v>588</v>
      </c>
      <c r="AZ34" t="s">
        <v>588</v>
      </c>
      <c r="BA34" s="1" t="s">
        <v>588</v>
      </c>
      <c r="BB34" t="s">
        <v>588</v>
      </c>
      <c r="BC34" s="1" t="s">
        <v>588</v>
      </c>
      <c r="BD34" t="s">
        <v>588</v>
      </c>
      <c r="BE34" s="1" t="s">
        <v>588</v>
      </c>
      <c r="BF34" t="s">
        <v>588</v>
      </c>
      <c r="BG34" s="1" t="s">
        <v>588</v>
      </c>
      <c r="BH34" t="s">
        <v>588</v>
      </c>
      <c r="BI34" s="1" t="s">
        <v>588</v>
      </c>
      <c r="BJ34" t="s">
        <v>588</v>
      </c>
      <c r="BK34" s="1" t="s">
        <v>588</v>
      </c>
      <c r="BL34" t="s">
        <v>588</v>
      </c>
      <c r="BM34" s="1" t="s">
        <v>588</v>
      </c>
      <c r="BN34" t="s">
        <v>588</v>
      </c>
      <c r="BO34" s="1" t="s">
        <v>588</v>
      </c>
      <c r="BP34" t="s">
        <v>588</v>
      </c>
      <c r="BQ34" s="1" t="s">
        <v>588</v>
      </c>
      <c r="BR34" t="s">
        <v>588</v>
      </c>
      <c r="BS34" t="s">
        <v>8</v>
      </c>
      <c r="BT34" t="s">
        <v>120</v>
      </c>
      <c r="BU34" t="s">
        <v>120</v>
      </c>
      <c r="BV34" t="s">
        <v>588</v>
      </c>
      <c r="BW34" t="s">
        <v>588</v>
      </c>
      <c r="BX34" t="s">
        <v>588</v>
      </c>
      <c r="BY34" t="s">
        <v>588</v>
      </c>
      <c r="BZ34" t="s">
        <v>588</v>
      </c>
    </row>
    <row r="35" spans="1:78" x14ac:dyDescent="0.25">
      <c r="A35">
        <v>201617</v>
      </c>
      <c r="B35" t="s">
        <v>581</v>
      </c>
      <c r="C35" s="24" t="s">
        <v>284</v>
      </c>
      <c r="D35" t="s">
        <v>569</v>
      </c>
      <c r="E35" t="s">
        <v>16</v>
      </c>
      <c r="F35">
        <v>2</v>
      </c>
      <c r="G35" t="s">
        <v>1661</v>
      </c>
      <c r="H35" s="11" t="s">
        <v>1840</v>
      </c>
      <c r="I35" s="1">
        <v>42727</v>
      </c>
      <c r="J35" s="11">
        <v>23</v>
      </c>
      <c r="K35" s="11">
        <v>12</v>
      </c>
      <c r="L35" s="11">
        <v>2016</v>
      </c>
      <c r="M35" s="11" t="s">
        <v>1755</v>
      </c>
      <c r="N35" t="s">
        <v>7</v>
      </c>
      <c r="O35" t="s">
        <v>51</v>
      </c>
      <c r="P35">
        <v>-38.589750000000002</v>
      </c>
      <c r="Q35">
        <v>145.51752999999999</v>
      </c>
      <c r="R35" t="s">
        <v>588</v>
      </c>
      <c r="S35" t="s">
        <v>588</v>
      </c>
      <c r="T35">
        <v>1</v>
      </c>
      <c r="U35">
        <v>3</v>
      </c>
      <c r="V35" t="s">
        <v>588</v>
      </c>
      <c r="W35" t="s">
        <v>588</v>
      </c>
      <c r="X35">
        <v>2</v>
      </c>
      <c r="Y35">
        <v>2</v>
      </c>
      <c r="Z35" t="s">
        <v>41</v>
      </c>
      <c r="AA35" s="1">
        <v>42727</v>
      </c>
      <c r="AB35" s="11">
        <v>23</v>
      </c>
      <c r="AC35" s="11">
        <v>12</v>
      </c>
      <c r="AD35" s="11">
        <v>2016</v>
      </c>
      <c r="AE35" s="13" t="s">
        <v>1755</v>
      </c>
      <c r="AF35" t="s">
        <v>7</v>
      </c>
      <c r="AG35" s="1">
        <v>42734</v>
      </c>
      <c r="AH35" s="11">
        <v>30</v>
      </c>
      <c r="AI35" s="11">
        <v>12</v>
      </c>
      <c r="AJ35" s="11">
        <v>2016</v>
      </c>
      <c r="AK35" s="13" t="s">
        <v>1723</v>
      </c>
      <c r="AL35" t="s">
        <v>7</v>
      </c>
      <c r="AM35" t="s">
        <v>11</v>
      </c>
      <c r="AN35" t="s">
        <v>8</v>
      </c>
      <c r="AO35" t="s">
        <v>20</v>
      </c>
      <c r="AP35" t="s">
        <v>588</v>
      </c>
      <c r="AQ35" s="1" t="s">
        <v>588</v>
      </c>
      <c r="AR35" t="s">
        <v>588</v>
      </c>
      <c r="AS35" s="1" t="s">
        <v>588</v>
      </c>
      <c r="AT35" t="s">
        <v>588</v>
      </c>
      <c r="AU35" s="1" t="s">
        <v>588</v>
      </c>
      <c r="AV35" t="s">
        <v>588</v>
      </c>
      <c r="AW35" s="1" t="s">
        <v>588</v>
      </c>
      <c r="AX35" t="s">
        <v>588</v>
      </c>
      <c r="AY35" s="1" t="s">
        <v>588</v>
      </c>
      <c r="AZ35" t="s">
        <v>588</v>
      </c>
      <c r="BA35" s="1" t="s">
        <v>588</v>
      </c>
      <c r="BB35" t="s">
        <v>588</v>
      </c>
      <c r="BC35" s="1" t="s">
        <v>588</v>
      </c>
      <c r="BD35" t="s">
        <v>588</v>
      </c>
      <c r="BE35" s="1" t="s">
        <v>588</v>
      </c>
      <c r="BF35" t="s">
        <v>588</v>
      </c>
      <c r="BG35" s="1" t="s">
        <v>588</v>
      </c>
      <c r="BH35" t="s">
        <v>588</v>
      </c>
      <c r="BI35" s="1" t="s">
        <v>588</v>
      </c>
      <c r="BJ35" t="s">
        <v>588</v>
      </c>
      <c r="BK35" s="1" t="s">
        <v>588</v>
      </c>
      <c r="BL35" t="s">
        <v>588</v>
      </c>
      <c r="BM35" s="1" t="s">
        <v>588</v>
      </c>
      <c r="BN35" t="s">
        <v>588</v>
      </c>
      <c r="BO35" s="1" t="s">
        <v>588</v>
      </c>
      <c r="BP35" t="s">
        <v>588</v>
      </c>
      <c r="BQ35" s="1" t="s">
        <v>588</v>
      </c>
      <c r="BR35" t="s">
        <v>588</v>
      </c>
      <c r="BS35" t="s">
        <v>8</v>
      </c>
      <c r="BT35" t="s">
        <v>120</v>
      </c>
      <c r="BU35" t="s">
        <v>120</v>
      </c>
      <c r="BV35" t="s">
        <v>588</v>
      </c>
      <c r="BW35" t="s">
        <v>588</v>
      </c>
      <c r="BX35" t="s">
        <v>588</v>
      </c>
      <c r="BY35" t="s">
        <v>588</v>
      </c>
      <c r="BZ35" t="s">
        <v>588</v>
      </c>
    </row>
    <row r="36" spans="1:78" x14ac:dyDescent="0.25">
      <c r="A36">
        <v>201617</v>
      </c>
      <c r="B36" t="s">
        <v>581</v>
      </c>
      <c r="C36" s="24" t="s">
        <v>284</v>
      </c>
      <c r="D36" t="s">
        <v>569</v>
      </c>
      <c r="E36" t="s">
        <v>16</v>
      </c>
      <c r="F36">
        <v>3</v>
      </c>
      <c r="G36" t="s">
        <v>1662</v>
      </c>
      <c r="H36" s="11" t="s">
        <v>1841</v>
      </c>
      <c r="I36" s="1">
        <v>42744</v>
      </c>
      <c r="J36" s="11">
        <v>9</v>
      </c>
      <c r="K36" s="11">
        <v>1</v>
      </c>
      <c r="L36" s="11">
        <v>2017</v>
      </c>
      <c r="M36" s="11" t="s">
        <v>1786</v>
      </c>
      <c r="N36" t="s">
        <v>12</v>
      </c>
      <c r="O36" t="s">
        <v>10</v>
      </c>
      <c r="P36">
        <v>-38.58914</v>
      </c>
      <c r="Q36">
        <v>145.51687999999999</v>
      </c>
      <c r="R36" t="s">
        <v>588</v>
      </c>
      <c r="S36" t="s">
        <v>588</v>
      </c>
      <c r="T36">
        <v>1</v>
      </c>
      <c r="U36">
        <v>3</v>
      </c>
      <c r="V36" t="s">
        <v>588</v>
      </c>
      <c r="W36" t="s">
        <v>588</v>
      </c>
      <c r="X36">
        <v>2</v>
      </c>
      <c r="Y36">
        <v>2</v>
      </c>
      <c r="Z36" t="s">
        <v>41</v>
      </c>
      <c r="AA36" s="1">
        <v>42744</v>
      </c>
      <c r="AB36" s="11">
        <v>9</v>
      </c>
      <c r="AC36" s="11">
        <v>1</v>
      </c>
      <c r="AD36" s="11">
        <v>2017</v>
      </c>
      <c r="AE36" s="13" t="s">
        <v>1786</v>
      </c>
      <c r="AF36" t="s">
        <v>12</v>
      </c>
      <c r="AG36" s="1">
        <v>42752</v>
      </c>
      <c r="AH36" s="11">
        <v>17</v>
      </c>
      <c r="AI36" s="11">
        <v>1</v>
      </c>
      <c r="AJ36" s="11">
        <v>2017</v>
      </c>
      <c r="AK36" s="13" t="s">
        <v>1742</v>
      </c>
      <c r="AL36" t="s">
        <v>12</v>
      </c>
      <c r="AM36" t="s">
        <v>20</v>
      </c>
      <c r="AN36" t="s">
        <v>41</v>
      </c>
      <c r="AO36" t="s">
        <v>20</v>
      </c>
      <c r="AP36" t="s">
        <v>588</v>
      </c>
      <c r="AQ36" s="1" t="s">
        <v>588</v>
      </c>
      <c r="AR36" t="s">
        <v>588</v>
      </c>
      <c r="AS36" s="1" t="s">
        <v>588</v>
      </c>
      <c r="AT36" t="s">
        <v>588</v>
      </c>
      <c r="AU36" s="1" t="s">
        <v>588</v>
      </c>
      <c r="AV36" t="s">
        <v>588</v>
      </c>
      <c r="AW36" s="1" t="s">
        <v>588</v>
      </c>
      <c r="AX36" t="s">
        <v>588</v>
      </c>
      <c r="AY36" s="1" t="s">
        <v>588</v>
      </c>
      <c r="AZ36" t="s">
        <v>588</v>
      </c>
      <c r="BA36" s="1" t="s">
        <v>588</v>
      </c>
      <c r="BB36" t="s">
        <v>588</v>
      </c>
      <c r="BC36" s="1" t="s">
        <v>588</v>
      </c>
      <c r="BD36" t="s">
        <v>588</v>
      </c>
      <c r="BE36" s="1" t="s">
        <v>588</v>
      </c>
      <c r="BF36" t="s">
        <v>588</v>
      </c>
      <c r="BG36" s="1" t="s">
        <v>588</v>
      </c>
      <c r="BH36" t="s">
        <v>588</v>
      </c>
      <c r="BI36" s="1" t="s">
        <v>588</v>
      </c>
      <c r="BJ36" t="s">
        <v>588</v>
      </c>
      <c r="BK36" s="1" t="s">
        <v>588</v>
      </c>
      <c r="BL36" t="s">
        <v>588</v>
      </c>
      <c r="BM36" s="1" t="s">
        <v>588</v>
      </c>
      <c r="BN36" t="s">
        <v>588</v>
      </c>
      <c r="BO36" s="1" t="s">
        <v>588</v>
      </c>
      <c r="BP36" t="s">
        <v>588</v>
      </c>
      <c r="BQ36" s="1" t="s">
        <v>588</v>
      </c>
      <c r="BR36" t="s">
        <v>588</v>
      </c>
      <c r="BS36" t="s">
        <v>8</v>
      </c>
      <c r="BT36" t="s">
        <v>120</v>
      </c>
      <c r="BU36" t="s">
        <v>120</v>
      </c>
      <c r="BV36" t="s">
        <v>588</v>
      </c>
      <c r="BW36" t="s">
        <v>588</v>
      </c>
      <c r="BX36" t="s">
        <v>588</v>
      </c>
      <c r="BY36" t="s">
        <v>588</v>
      </c>
      <c r="BZ36" t="s">
        <v>588</v>
      </c>
    </row>
    <row r="37" spans="1:78" x14ac:dyDescent="0.25">
      <c r="A37">
        <v>201617</v>
      </c>
      <c r="B37" t="s">
        <v>581</v>
      </c>
      <c r="C37" s="24" t="s">
        <v>284</v>
      </c>
      <c r="D37" t="s">
        <v>569</v>
      </c>
      <c r="E37" t="s">
        <v>16</v>
      </c>
      <c r="F37">
        <v>4</v>
      </c>
      <c r="G37" t="s">
        <v>1663</v>
      </c>
      <c r="H37" s="11" t="s">
        <v>1842</v>
      </c>
      <c r="I37" s="1">
        <v>42758</v>
      </c>
      <c r="J37" s="11">
        <v>23</v>
      </c>
      <c r="K37" s="11">
        <v>1</v>
      </c>
      <c r="L37" s="11">
        <v>2017</v>
      </c>
      <c r="M37" s="11" t="s">
        <v>1738</v>
      </c>
      <c r="N37" t="s">
        <v>12</v>
      </c>
      <c r="O37" t="s">
        <v>51</v>
      </c>
      <c r="P37">
        <v>-38.588630000000002</v>
      </c>
      <c r="Q37">
        <v>145.51649</v>
      </c>
      <c r="R37" t="s">
        <v>588</v>
      </c>
      <c r="S37" t="s">
        <v>588</v>
      </c>
      <c r="T37">
        <v>3</v>
      </c>
      <c r="U37">
        <v>3</v>
      </c>
      <c r="V37" s="1">
        <v>42762</v>
      </c>
      <c r="W37" t="s">
        <v>223</v>
      </c>
      <c r="X37">
        <v>3</v>
      </c>
      <c r="Y37">
        <v>3</v>
      </c>
      <c r="Z37" t="s">
        <v>8</v>
      </c>
      <c r="AA37" s="1">
        <v>42781</v>
      </c>
      <c r="AB37" s="11">
        <v>15</v>
      </c>
      <c r="AC37" s="11">
        <v>2</v>
      </c>
      <c r="AD37" s="11">
        <v>2017</v>
      </c>
      <c r="AE37" s="13" t="s">
        <v>1768</v>
      </c>
      <c r="AF37" t="s">
        <v>12</v>
      </c>
      <c r="AG37" t="s">
        <v>588</v>
      </c>
      <c r="AH37" s="11" t="s">
        <v>588</v>
      </c>
      <c r="AI37" s="11" t="s">
        <v>588</v>
      </c>
      <c r="AJ37" s="11" t="s">
        <v>588</v>
      </c>
      <c r="AK37" s="13" t="s">
        <v>588</v>
      </c>
      <c r="AL37" t="s">
        <v>588</v>
      </c>
      <c r="AM37" t="s">
        <v>588</v>
      </c>
      <c r="AN37" t="s">
        <v>588</v>
      </c>
      <c r="AO37" t="s">
        <v>588</v>
      </c>
      <c r="AP37" s="1">
        <v>42790</v>
      </c>
      <c r="AQ37" t="s">
        <v>21</v>
      </c>
      <c r="AR37" t="s">
        <v>195</v>
      </c>
      <c r="AS37">
        <v>1</v>
      </c>
      <c r="AT37">
        <v>1</v>
      </c>
      <c r="AU37" s="1">
        <v>42790</v>
      </c>
      <c r="AV37" s="1">
        <v>42802</v>
      </c>
      <c r="AW37" t="s">
        <v>22</v>
      </c>
      <c r="AX37" t="s">
        <v>20</v>
      </c>
      <c r="AY37" t="s">
        <v>41</v>
      </c>
      <c r="AZ37" t="s">
        <v>20</v>
      </c>
      <c r="BA37" s="1" t="s">
        <v>588</v>
      </c>
      <c r="BB37" t="s">
        <v>588</v>
      </c>
      <c r="BC37" s="1" t="s">
        <v>588</v>
      </c>
      <c r="BD37" t="s">
        <v>588</v>
      </c>
      <c r="BE37" s="1" t="s">
        <v>588</v>
      </c>
      <c r="BF37" t="s">
        <v>588</v>
      </c>
      <c r="BG37" s="1" t="s">
        <v>588</v>
      </c>
      <c r="BH37" t="s">
        <v>588</v>
      </c>
      <c r="BI37" s="1" t="s">
        <v>588</v>
      </c>
      <c r="BJ37" t="s">
        <v>588</v>
      </c>
      <c r="BK37" s="1" t="s">
        <v>588</v>
      </c>
      <c r="BL37" t="s">
        <v>588</v>
      </c>
      <c r="BM37">
        <v>2</v>
      </c>
      <c r="BN37">
        <v>2</v>
      </c>
      <c r="BO37" t="s">
        <v>41</v>
      </c>
      <c r="BP37" t="s">
        <v>588</v>
      </c>
      <c r="BQ37" s="1" t="s">
        <v>588</v>
      </c>
      <c r="BR37" t="s">
        <v>588</v>
      </c>
      <c r="BS37" t="s">
        <v>8</v>
      </c>
      <c r="BT37" t="s">
        <v>120</v>
      </c>
      <c r="BU37" t="s">
        <v>120</v>
      </c>
      <c r="BV37" t="s">
        <v>8</v>
      </c>
      <c r="BW37" t="s">
        <v>120</v>
      </c>
      <c r="BX37" t="s">
        <v>120</v>
      </c>
      <c r="BY37" t="s">
        <v>1614</v>
      </c>
      <c r="BZ37" t="s">
        <v>588</v>
      </c>
    </row>
    <row r="38" spans="1:78" x14ac:dyDescent="0.25">
      <c r="A38">
        <v>201617</v>
      </c>
      <c r="B38" s="11" t="s">
        <v>400</v>
      </c>
      <c r="C38" s="11" t="s">
        <v>400</v>
      </c>
      <c r="D38" t="s">
        <v>38</v>
      </c>
      <c r="E38" t="s">
        <v>16</v>
      </c>
      <c r="F38">
        <v>1</v>
      </c>
      <c r="G38" t="s">
        <v>1651</v>
      </c>
      <c r="H38" s="11" t="s">
        <v>1651</v>
      </c>
      <c r="I38" s="1">
        <v>42741</v>
      </c>
      <c r="J38" s="11">
        <v>6</v>
      </c>
      <c r="K38" s="11">
        <v>1</v>
      </c>
      <c r="L38" s="11">
        <v>2017</v>
      </c>
      <c r="M38" s="11" t="s">
        <v>1781</v>
      </c>
      <c r="N38" t="s">
        <v>12</v>
      </c>
      <c r="O38" t="s">
        <v>10</v>
      </c>
      <c r="P38">
        <v>-38.653750000000002</v>
      </c>
      <c r="Q38">
        <v>145.56491</v>
      </c>
      <c r="R38" t="s">
        <v>588</v>
      </c>
      <c r="S38" t="s">
        <v>588</v>
      </c>
      <c r="T38">
        <v>3</v>
      </c>
      <c r="U38">
        <v>3</v>
      </c>
      <c r="V38" t="s">
        <v>588</v>
      </c>
      <c r="W38" t="s">
        <v>588</v>
      </c>
      <c r="X38">
        <v>2</v>
      </c>
      <c r="Y38">
        <v>2</v>
      </c>
      <c r="Z38" t="s">
        <v>41</v>
      </c>
      <c r="AA38" s="1">
        <v>42741</v>
      </c>
      <c r="AB38" s="11">
        <v>6</v>
      </c>
      <c r="AC38" s="11">
        <v>1</v>
      </c>
      <c r="AD38" s="11">
        <v>2017</v>
      </c>
      <c r="AE38" s="13" t="s">
        <v>1781</v>
      </c>
      <c r="AF38" t="s">
        <v>12</v>
      </c>
      <c r="AG38" s="1">
        <v>42762</v>
      </c>
      <c r="AH38" s="11">
        <v>27</v>
      </c>
      <c r="AI38" s="11">
        <v>1</v>
      </c>
      <c r="AJ38" s="11">
        <v>2017</v>
      </c>
      <c r="AK38" s="13" t="s">
        <v>1736</v>
      </c>
      <c r="AL38" t="s">
        <v>12</v>
      </c>
      <c r="AM38" t="s">
        <v>20</v>
      </c>
      <c r="AN38" t="s">
        <v>41</v>
      </c>
      <c r="AO38" t="s">
        <v>20</v>
      </c>
      <c r="AP38" t="s">
        <v>588</v>
      </c>
      <c r="AQ38" t="s">
        <v>588</v>
      </c>
      <c r="AR38" t="s">
        <v>588</v>
      </c>
      <c r="AS38" t="s">
        <v>588</v>
      </c>
      <c r="AT38" t="s">
        <v>588</v>
      </c>
      <c r="AU38" t="s">
        <v>588</v>
      </c>
      <c r="AV38" t="s">
        <v>588</v>
      </c>
      <c r="AW38" t="s">
        <v>588</v>
      </c>
      <c r="AX38" t="s">
        <v>588</v>
      </c>
      <c r="AY38" t="s">
        <v>588</v>
      </c>
      <c r="AZ38" t="s">
        <v>588</v>
      </c>
      <c r="BA38" t="s">
        <v>588</v>
      </c>
      <c r="BB38" t="s">
        <v>588</v>
      </c>
      <c r="BC38" t="s">
        <v>588</v>
      </c>
      <c r="BD38" t="s">
        <v>588</v>
      </c>
      <c r="BE38" t="s">
        <v>588</v>
      </c>
      <c r="BF38" t="s">
        <v>588</v>
      </c>
      <c r="BG38" t="s">
        <v>588</v>
      </c>
      <c r="BH38" t="s">
        <v>588</v>
      </c>
      <c r="BI38" t="s">
        <v>588</v>
      </c>
      <c r="BJ38" t="s">
        <v>588</v>
      </c>
      <c r="BK38" t="s">
        <v>588</v>
      </c>
      <c r="BL38" t="s">
        <v>588</v>
      </c>
      <c r="BM38" t="s">
        <v>588</v>
      </c>
      <c r="BN38" t="s">
        <v>588</v>
      </c>
      <c r="BO38" t="s">
        <v>588</v>
      </c>
      <c r="BP38" t="s">
        <v>588</v>
      </c>
      <c r="BQ38" t="s">
        <v>588</v>
      </c>
      <c r="BR38" t="s">
        <v>588</v>
      </c>
      <c r="BS38" t="s">
        <v>8</v>
      </c>
      <c r="BT38" t="s">
        <v>120</v>
      </c>
      <c r="BU38" t="s">
        <v>120</v>
      </c>
      <c r="BV38" t="s">
        <v>588</v>
      </c>
      <c r="BW38" t="s">
        <v>588</v>
      </c>
      <c r="BX38" t="s">
        <v>588</v>
      </c>
      <c r="BY38" t="s">
        <v>588</v>
      </c>
      <c r="BZ38" t="s">
        <v>588</v>
      </c>
    </row>
    <row r="39" spans="1:78" x14ac:dyDescent="0.25">
      <c r="A39">
        <v>201617</v>
      </c>
      <c r="B39" s="11" t="s">
        <v>400</v>
      </c>
      <c r="C39" s="11" t="s">
        <v>400</v>
      </c>
      <c r="D39" t="s">
        <v>38</v>
      </c>
      <c r="E39" t="s">
        <v>16</v>
      </c>
      <c r="F39">
        <v>2</v>
      </c>
      <c r="G39" t="s">
        <v>1652</v>
      </c>
      <c r="H39" s="11" t="s">
        <v>1652</v>
      </c>
      <c r="I39" s="1">
        <v>42762</v>
      </c>
      <c r="J39" s="11">
        <v>27</v>
      </c>
      <c r="K39" s="11">
        <v>1</v>
      </c>
      <c r="L39" s="11">
        <v>2017</v>
      </c>
      <c r="M39" s="11" t="s">
        <v>1736</v>
      </c>
      <c r="N39" t="s">
        <v>12</v>
      </c>
      <c r="O39" t="s">
        <v>51</v>
      </c>
      <c r="P39">
        <v>-38.653820000000003</v>
      </c>
      <c r="Q39">
        <v>145.56496000000001</v>
      </c>
      <c r="R39" t="s">
        <v>588</v>
      </c>
      <c r="S39" t="s">
        <v>588</v>
      </c>
      <c r="T39">
        <v>3</v>
      </c>
      <c r="U39">
        <v>3</v>
      </c>
      <c r="V39" t="s">
        <v>588</v>
      </c>
      <c r="W39" t="s">
        <v>588</v>
      </c>
      <c r="X39">
        <v>3</v>
      </c>
      <c r="Y39">
        <v>3</v>
      </c>
      <c r="Z39" t="s">
        <v>41</v>
      </c>
      <c r="AA39" s="1">
        <v>42766</v>
      </c>
      <c r="AB39" s="11">
        <v>31</v>
      </c>
      <c r="AC39" s="11">
        <v>1</v>
      </c>
      <c r="AD39" s="11">
        <v>2017</v>
      </c>
      <c r="AE39" s="13" t="s">
        <v>1765</v>
      </c>
      <c r="AF39" t="s">
        <v>12</v>
      </c>
      <c r="AG39" s="1">
        <v>42778</v>
      </c>
      <c r="AH39" s="11">
        <v>12</v>
      </c>
      <c r="AI39" s="11">
        <v>2</v>
      </c>
      <c r="AJ39" s="11">
        <v>2017</v>
      </c>
      <c r="AK39" s="13" t="s">
        <v>1737</v>
      </c>
      <c r="AL39" t="s">
        <v>21</v>
      </c>
      <c r="AM39" t="s">
        <v>20</v>
      </c>
      <c r="AN39" t="s">
        <v>8</v>
      </c>
      <c r="AO39" t="s">
        <v>32</v>
      </c>
      <c r="AP39" t="s">
        <v>588</v>
      </c>
      <c r="AQ39" t="s">
        <v>588</v>
      </c>
      <c r="AR39" t="s">
        <v>588</v>
      </c>
      <c r="AS39" t="s">
        <v>588</v>
      </c>
      <c r="AT39" t="s">
        <v>588</v>
      </c>
      <c r="AU39" t="s">
        <v>588</v>
      </c>
      <c r="AV39" t="s">
        <v>588</v>
      </c>
      <c r="AW39" t="s">
        <v>588</v>
      </c>
      <c r="AX39" t="s">
        <v>588</v>
      </c>
      <c r="AY39" t="s">
        <v>588</v>
      </c>
      <c r="AZ39" t="s">
        <v>588</v>
      </c>
      <c r="BA39" t="s">
        <v>588</v>
      </c>
      <c r="BB39" t="s">
        <v>588</v>
      </c>
      <c r="BC39" t="s">
        <v>588</v>
      </c>
      <c r="BD39" t="s">
        <v>588</v>
      </c>
      <c r="BE39" t="s">
        <v>588</v>
      </c>
      <c r="BF39" t="s">
        <v>588</v>
      </c>
      <c r="BG39" t="s">
        <v>588</v>
      </c>
      <c r="BH39" t="s">
        <v>588</v>
      </c>
      <c r="BI39" t="s">
        <v>588</v>
      </c>
      <c r="BJ39" t="s">
        <v>588</v>
      </c>
      <c r="BK39" t="s">
        <v>588</v>
      </c>
      <c r="BL39" t="s">
        <v>588</v>
      </c>
      <c r="BM39" t="s">
        <v>588</v>
      </c>
      <c r="BN39" t="s">
        <v>588</v>
      </c>
      <c r="BO39" t="s">
        <v>588</v>
      </c>
      <c r="BP39" t="s">
        <v>588</v>
      </c>
      <c r="BQ39" t="s">
        <v>588</v>
      </c>
      <c r="BR39" t="s">
        <v>588</v>
      </c>
      <c r="BS39" t="s">
        <v>8</v>
      </c>
      <c r="BT39" t="s">
        <v>120</v>
      </c>
      <c r="BU39" t="s">
        <v>120</v>
      </c>
      <c r="BV39" t="s">
        <v>588</v>
      </c>
      <c r="BW39" t="s">
        <v>588</v>
      </c>
      <c r="BX39" t="s">
        <v>588</v>
      </c>
      <c r="BY39" t="s">
        <v>588</v>
      </c>
      <c r="BZ39" t="s">
        <v>588</v>
      </c>
    </row>
    <row r="40" spans="1:78" x14ac:dyDescent="0.25">
      <c r="A40">
        <v>201617</v>
      </c>
      <c r="B40" t="s">
        <v>59</v>
      </c>
      <c r="C40" t="s">
        <v>73</v>
      </c>
      <c r="D40" t="s">
        <v>27</v>
      </c>
      <c r="E40" t="s">
        <v>31</v>
      </c>
      <c r="F40">
        <v>1</v>
      </c>
      <c r="G40" t="s">
        <v>1667</v>
      </c>
      <c r="H40" s="11" t="s">
        <v>1791</v>
      </c>
      <c r="I40" s="1">
        <v>42660</v>
      </c>
      <c r="J40" s="11">
        <v>17</v>
      </c>
      <c r="K40" s="11">
        <v>10</v>
      </c>
      <c r="L40" s="11">
        <v>2016</v>
      </c>
      <c r="M40" s="11" t="s">
        <v>1792</v>
      </c>
      <c r="N40" t="s">
        <v>29</v>
      </c>
      <c r="O40" t="s">
        <v>10</v>
      </c>
      <c r="P40" s="4">
        <v>-38.645000000000003</v>
      </c>
      <c r="Q40" s="4">
        <v>145.71476699999999</v>
      </c>
      <c r="R40" s="4" t="s">
        <v>588</v>
      </c>
      <c r="S40" s="4" t="s">
        <v>588</v>
      </c>
      <c r="T40">
        <v>2</v>
      </c>
      <c r="U40">
        <v>2</v>
      </c>
      <c r="V40" t="s">
        <v>588</v>
      </c>
      <c r="W40" t="s">
        <v>588</v>
      </c>
      <c r="X40">
        <v>2</v>
      </c>
      <c r="Y40">
        <v>2</v>
      </c>
      <c r="Z40" t="s">
        <v>41</v>
      </c>
      <c r="AA40" s="1">
        <v>42660</v>
      </c>
      <c r="AB40" s="11">
        <v>17</v>
      </c>
      <c r="AC40" s="11">
        <v>10</v>
      </c>
      <c r="AD40" s="11">
        <v>2016</v>
      </c>
      <c r="AE40" s="13" t="s">
        <v>1792</v>
      </c>
      <c r="AF40" t="s">
        <v>29</v>
      </c>
      <c r="AG40" s="1">
        <v>42668</v>
      </c>
      <c r="AH40" s="11">
        <v>25</v>
      </c>
      <c r="AI40" s="11">
        <v>10</v>
      </c>
      <c r="AJ40" s="11">
        <v>2016</v>
      </c>
      <c r="AK40" s="13" t="s">
        <v>1746</v>
      </c>
      <c r="AL40" t="s">
        <v>29</v>
      </c>
      <c r="AM40" t="s">
        <v>20</v>
      </c>
      <c r="AN40" t="s">
        <v>41</v>
      </c>
      <c r="AO40" t="s">
        <v>20</v>
      </c>
      <c r="AP40" t="s">
        <v>588</v>
      </c>
      <c r="AQ40" t="s">
        <v>588</v>
      </c>
      <c r="AR40" t="s">
        <v>588</v>
      </c>
      <c r="AS40" t="s">
        <v>588</v>
      </c>
      <c r="AT40" t="s">
        <v>588</v>
      </c>
      <c r="AU40" s="7" t="s">
        <v>588</v>
      </c>
      <c r="AV40" t="s">
        <v>588</v>
      </c>
      <c r="AW40" t="s">
        <v>588</v>
      </c>
      <c r="AX40" t="s">
        <v>588</v>
      </c>
      <c r="AY40" t="s">
        <v>588</v>
      </c>
      <c r="AZ40" t="s">
        <v>588</v>
      </c>
      <c r="BA40" s="7" t="s">
        <v>588</v>
      </c>
      <c r="BB40" t="s">
        <v>588</v>
      </c>
      <c r="BC40" t="s">
        <v>588</v>
      </c>
      <c r="BD40" t="s">
        <v>588</v>
      </c>
      <c r="BE40" t="s">
        <v>588</v>
      </c>
      <c r="BF40" t="s">
        <v>588</v>
      </c>
      <c r="BG40" s="7" t="s">
        <v>588</v>
      </c>
      <c r="BH40" t="s">
        <v>588</v>
      </c>
      <c r="BI40" t="s">
        <v>588</v>
      </c>
      <c r="BJ40" t="s">
        <v>588</v>
      </c>
      <c r="BK40" t="s">
        <v>588</v>
      </c>
      <c r="BL40" t="s">
        <v>588</v>
      </c>
      <c r="BM40" t="s">
        <v>588</v>
      </c>
      <c r="BN40" t="s">
        <v>588</v>
      </c>
      <c r="BO40" t="s">
        <v>588</v>
      </c>
      <c r="BP40" t="s">
        <v>588</v>
      </c>
      <c r="BQ40" t="s">
        <v>588</v>
      </c>
      <c r="BR40" t="s">
        <v>588</v>
      </c>
      <c r="BS40" t="s">
        <v>8</v>
      </c>
      <c r="BT40" t="s">
        <v>9</v>
      </c>
      <c r="BU40" t="s">
        <v>9</v>
      </c>
      <c r="BV40" t="s">
        <v>588</v>
      </c>
      <c r="BW40" t="s">
        <v>588</v>
      </c>
      <c r="BX40" t="s">
        <v>588</v>
      </c>
      <c r="BY40" t="s">
        <v>588</v>
      </c>
      <c r="BZ40" t="s">
        <v>588</v>
      </c>
    </row>
    <row r="41" spans="1:78" x14ac:dyDescent="0.25">
      <c r="A41">
        <v>201617</v>
      </c>
      <c r="B41" t="s">
        <v>59</v>
      </c>
      <c r="C41" t="s">
        <v>73</v>
      </c>
      <c r="D41" t="s">
        <v>27</v>
      </c>
      <c r="E41" t="s">
        <v>31</v>
      </c>
      <c r="F41">
        <v>2</v>
      </c>
      <c r="G41" t="s">
        <v>1668</v>
      </c>
      <c r="H41" s="11" t="s">
        <v>1793</v>
      </c>
      <c r="I41" s="1">
        <v>42692</v>
      </c>
      <c r="J41" s="11">
        <v>18</v>
      </c>
      <c r="K41" s="11">
        <v>11</v>
      </c>
      <c r="L41" s="11">
        <v>2016</v>
      </c>
      <c r="M41" s="11" t="s">
        <v>1751</v>
      </c>
      <c r="N41" t="s">
        <v>17</v>
      </c>
      <c r="O41" t="s">
        <v>10</v>
      </c>
      <c r="P41" s="4">
        <v>-38.640040999999997</v>
      </c>
      <c r="Q41" s="4">
        <v>145.719131</v>
      </c>
      <c r="R41" s="4" t="s">
        <v>588</v>
      </c>
      <c r="S41" s="4" t="s">
        <v>588</v>
      </c>
      <c r="T41">
        <v>3</v>
      </c>
      <c r="U41">
        <v>3</v>
      </c>
      <c r="V41" t="s">
        <v>588</v>
      </c>
      <c r="W41" t="s">
        <v>588</v>
      </c>
      <c r="X41">
        <v>4</v>
      </c>
      <c r="Y41">
        <v>4</v>
      </c>
      <c r="Z41" t="s">
        <v>8</v>
      </c>
      <c r="AA41" s="1">
        <v>42713</v>
      </c>
      <c r="AB41" s="11">
        <v>9</v>
      </c>
      <c r="AC41" s="11">
        <v>12</v>
      </c>
      <c r="AD41" s="11">
        <v>2016</v>
      </c>
      <c r="AE41" s="13" t="s">
        <v>1794</v>
      </c>
      <c r="AF41" t="s">
        <v>7</v>
      </c>
      <c r="AG41" t="s">
        <v>588</v>
      </c>
      <c r="AH41" s="11" t="s">
        <v>588</v>
      </c>
      <c r="AI41" s="11" t="s">
        <v>588</v>
      </c>
      <c r="AJ41" s="11" t="s">
        <v>588</v>
      </c>
      <c r="AK41" s="13" t="s">
        <v>588</v>
      </c>
      <c r="AL41" t="s">
        <v>588</v>
      </c>
      <c r="AM41" t="s">
        <v>588</v>
      </c>
      <c r="AN41" t="s">
        <v>588</v>
      </c>
      <c r="AO41" t="s">
        <v>588</v>
      </c>
      <c r="AP41" s="1">
        <v>42723</v>
      </c>
      <c r="AQ41" t="s">
        <v>7</v>
      </c>
      <c r="AR41" t="s">
        <v>195</v>
      </c>
      <c r="AS41">
        <v>3</v>
      </c>
      <c r="AT41">
        <v>3</v>
      </c>
      <c r="AU41" s="7">
        <v>42723</v>
      </c>
      <c r="AV41" s="1">
        <v>42724</v>
      </c>
      <c r="AW41" t="s">
        <v>7</v>
      </c>
      <c r="AX41" t="s">
        <v>20</v>
      </c>
      <c r="AY41" t="s">
        <v>588</v>
      </c>
      <c r="AZ41" t="s">
        <v>20</v>
      </c>
      <c r="BA41" s="7">
        <v>42723</v>
      </c>
      <c r="BB41" s="1">
        <v>42724</v>
      </c>
      <c r="BC41" t="s">
        <v>7</v>
      </c>
      <c r="BD41" t="s">
        <v>20</v>
      </c>
      <c r="BE41" t="s">
        <v>588</v>
      </c>
      <c r="BF41" t="s">
        <v>20</v>
      </c>
      <c r="BG41" s="7">
        <v>42740</v>
      </c>
      <c r="BH41" s="1">
        <v>42749</v>
      </c>
      <c r="BI41" t="s">
        <v>12</v>
      </c>
      <c r="BJ41" t="s">
        <v>20</v>
      </c>
      <c r="BK41" t="s">
        <v>588</v>
      </c>
      <c r="BL41" t="s">
        <v>20</v>
      </c>
      <c r="BM41">
        <v>9</v>
      </c>
      <c r="BN41">
        <v>9</v>
      </c>
      <c r="BO41" t="s">
        <v>41</v>
      </c>
      <c r="BP41" t="s">
        <v>588</v>
      </c>
      <c r="BQ41" t="s">
        <v>588</v>
      </c>
      <c r="BR41" t="s">
        <v>588</v>
      </c>
      <c r="BS41" t="s">
        <v>8</v>
      </c>
      <c r="BT41" t="s">
        <v>9</v>
      </c>
      <c r="BU41" t="s">
        <v>9</v>
      </c>
      <c r="BV41" t="s">
        <v>8</v>
      </c>
      <c r="BW41" t="s">
        <v>96</v>
      </c>
      <c r="BX41" t="s">
        <v>96</v>
      </c>
      <c r="BY41" t="s">
        <v>196</v>
      </c>
      <c r="BZ41" t="s">
        <v>588</v>
      </c>
    </row>
    <row r="42" spans="1:78" x14ac:dyDescent="0.25">
      <c r="A42">
        <v>201617</v>
      </c>
      <c r="B42" t="s">
        <v>60</v>
      </c>
      <c r="C42" t="s">
        <v>73</v>
      </c>
      <c r="D42" t="s">
        <v>30</v>
      </c>
      <c r="E42" t="s">
        <v>49</v>
      </c>
      <c r="F42">
        <v>3</v>
      </c>
      <c r="G42" t="s">
        <v>1664</v>
      </c>
      <c r="H42" s="11" t="s">
        <v>1831</v>
      </c>
      <c r="I42" s="1">
        <v>42726</v>
      </c>
      <c r="J42" s="11">
        <v>22</v>
      </c>
      <c r="K42" s="11">
        <v>12</v>
      </c>
      <c r="L42" s="11">
        <v>2016</v>
      </c>
      <c r="M42" s="11" t="s">
        <v>1787</v>
      </c>
      <c r="N42" t="s">
        <v>7</v>
      </c>
      <c r="O42" t="s">
        <v>10</v>
      </c>
      <c r="P42" s="4">
        <v>-38.640040999999997</v>
      </c>
      <c r="Q42" s="4">
        <v>145.719131</v>
      </c>
      <c r="R42" s="4" t="s">
        <v>588</v>
      </c>
      <c r="S42" s="4" t="s">
        <v>588</v>
      </c>
      <c r="T42">
        <v>3</v>
      </c>
      <c r="U42">
        <v>3</v>
      </c>
      <c r="V42" t="s">
        <v>588</v>
      </c>
      <c r="W42" t="s">
        <v>588</v>
      </c>
      <c r="X42">
        <v>5</v>
      </c>
      <c r="Y42">
        <v>5</v>
      </c>
      <c r="Z42" t="s">
        <v>41</v>
      </c>
      <c r="AA42" s="1">
        <v>42742</v>
      </c>
      <c r="AB42" s="11">
        <v>7</v>
      </c>
      <c r="AC42" s="11">
        <v>1</v>
      </c>
      <c r="AD42" s="11">
        <v>2017</v>
      </c>
      <c r="AE42" s="13" t="s">
        <v>1734</v>
      </c>
      <c r="AF42" t="s">
        <v>12</v>
      </c>
      <c r="AG42" s="1">
        <v>42749</v>
      </c>
      <c r="AH42" s="11">
        <v>14</v>
      </c>
      <c r="AI42" s="11">
        <v>1</v>
      </c>
      <c r="AJ42" s="11">
        <v>2017</v>
      </c>
      <c r="AK42" s="13" t="s">
        <v>1743</v>
      </c>
      <c r="AL42" t="s">
        <v>12</v>
      </c>
      <c r="AM42" t="s">
        <v>20</v>
      </c>
      <c r="AN42" t="s">
        <v>41</v>
      </c>
      <c r="AO42" t="s">
        <v>20</v>
      </c>
      <c r="AP42" t="s">
        <v>588</v>
      </c>
      <c r="AQ42" t="s">
        <v>588</v>
      </c>
      <c r="AR42" t="s">
        <v>588</v>
      </c>
      <c r="AS42" t="s">
        <v>588</v>
      </c>
      <c r="AT42" t="s">
        <v>588</v>
      </c>
      <c r="AU42" s="7" t="s">
        <v>588</v>
      </c>
      <c r="AV42" t="s">
        <v>588</v>
      </c>
      <c r="AW42" t="s">
        <v>588</v>
      </c>
      <c r="AX42" t="s">
        <v>588</v>
      </c>
      <c r="AY42" t="s">
        <v>588</v>
      </c>
      <c r="AZ42" t="s">
        <v>588</v>
      </c>
      <c r="BA42" s="7" t="s">
        <v>588</v>
      </c>
      <c r="BB42" t="s">
        <v>588</v>
      </c>
      <c r="BC42" t="s">
        <v>588</v>
      </c>
      <c r="BD42" t="s">
        <v>588</v>
      </c>
      <c r="BE42" t="s">
        <v>588</v>
      </c>
      <c r="BF42" t="s">
        <v>588</v>
      </c>
      <c r="BG42" s="7" t="s">
        <v>588</v>
      </c>
      <c r="BH42" t="s">
        <v>588</v>
      </c>
      <c r="BI42" t="s">
        <v>588</v>
      </c>
      <c r="BJ42" t="s">
        <v>588</v>
      </c>
      <c r="BK42" t="s">
        <v>588</v>
      </c>
      <c r="BL42" t="s">
        <v>588</v>
      </c>
      <c r="BM42" t="s">
        <v>588</v>
      </c>
      <c r="BN42" t="s">
        <v>588</v>
      </c>
      <c r="BO42" t="s">
        <v>588</v>
      </c>
      <c r="BP42" t="s">
        <v>588</v>
      </c>
      <c r="BQ42" t="s">
        <v>588</v>
      </c>
      <c r="BR42" t="s">
        <v>588</v>
      </c>
      <c r="BS42" t="s">
        <v>8</v>
      </c>
      <c r="BT42" t="s">
        <v>9</v>
      </c>
      <c r="BU42" t="s">
        <v>9</v>
      </c>
      <c r="BV42" t="s">
        <v>588</v>
      </c>
      <c r="BW42" t="s">
        <v>588</v>
      </c>
      <c r="BX42" t="s">
        <v>588</v>
      </c>
      <c r="BY42" t="s">
        <v>588</v>
      </c>
      <c r="BZ42" t="s">
        <v>588</v>
      </c>
    </row>
    <row r="43" spans="1:78" x14ac:dyDescent="0.25">
      <c r="A43">
        <v>201617</v>
      </c>
      <c r="B43" t="s">
        <v>60</v>
      </c>
      <c r="C43" t="s">
        <v>73</v>
      </c>
      <c r="D43" t="s">
        <v>30</v>
      </c>
      <c r="E43" t="s">
        <v>49</v>
      </c>
      <c r="F43">
        <v>4</v>
      </c>
      <c r="G43" t="s">
        <v>1665</v>
      </c>
      <c r="H43" s="11" t="s">
        <v>1832</v>
      </c>
      <c r="I43" s="1">
        <v>42760</v>
      </c>
      <c r="J43" s="11">
        <v>25</v>
      </c>
      <c r="K43" s="11">
        <v>1</v>
      </c>
      <c r="L43" s="11">
        <v>2017</v>
      </c>
      <c r="M43" s="11" t="s">
        <v>1757</v>
      </c>
      <c r="N43" t="s">
        <v>12</v>
      </c>
      <c r="O43" t="s">
        <v>10</v>
      </c>
      <c r="P43" s="4">
        <v>-38.640040999999997</v>
      </c>
      <c r="Q43" s="4">
        <v>145.719131</v>
      </c>
      <c r="R43" s="4" t="s">
        <v>588</v>
      </c>
      <c r="S43" s="4" t="s">
        <v>588</v>
      </c>
      <c r="T43">
        <v>3</v>
      </c>
      <c r="U43">
        <v>3</v>
      </c>
      <c r="V43" t="s">
        <v>588</v>
      </c>
      <c r="W43" t="s">
        <v>588</v>
      </c>
      <c r="X43">
        <v>10</v>
      </c>
      <c r="Y43">
        <v>8</v>
      </c>
      <c r="Z43" t="s">
        <v>41</v>
      </c>
      <c r="AA43" s="1">
        <v>42773</v>
      </c>
      <c r="AB43" s="11">
        <v>7</v>
      </c>
      <c r="AC43" s="11">
        <v>2</v>
      </c>
      <c r="AD43" s="11">
        <v>2017</v>
      </c>
      <c r="AE43" s="13" t="s">
        <v>1782</v>
      </c>
      <c r="AF43" t="s">
        <v>21</v>
      </c>
      <c r="AG43" s="1">
        <v>42780</v>
      </c>
      <c r="AH43" s="11">
        <v>14</v>
      </c>
      <c r="AI43" s="11">
        <v>2</v>
      </c>
      <c r="AJ43" s="11">
        <v>2017</v>
      </c>
      <c r="AK43" s="13" t="s">
        <v>1744</v>
      </c>
      <c r="AL43" t="s">
        <v>21</v>
      </c>
      <c r="AM43" t="s">
        <v>20</v>
      </c>
      <c r="AN43" t="s">
        <v>41</v>
      </c>
      <c r="AO43" t="s">
        <v>48</v>
      </c>
      <c r="AP43" t="s">
        <v>588</v>
      </c>
      <c r="AQ43" t="s">
        <v>588</v>
      </c>
      <c r="AR43" t="s">
        <v>588</v>
      </c>
      <c r="AS43" t="s">
        <v>588</v>
      </c>
      <c r="AT43" t="s">
        <v>588</v>
      </c>
      <c r="AU43" s="7" t="s">
        <v>588</v>
      </c>
      <c r="AV43" t="s">
        <v>588</v>
      </c>
      <c r="AW43" t="s">
        <v>588</v>
      </c>
      <c r="AX43" t="s">
        <v>588</v>
      </c>
      <c r="AY43" t="s">
        <v>588</v>
      </c>
      <c r="AZ43" t="s">
        <v>588</v>
      </c>
      <c r="BA43" s="7" t="s">
        <v>588</v>
      </c>
      <c r="BB43" t="s">
        <v>588</v>
      </c>
      <c r="BC43" t="s">
        <v>588</v>
      </c>
      <c r="BD43" t="s">
        <v>588</v>
      </c>
      <c r="BE43" t="s">
        <v>588</v>
      </c>
      <c r="BF43" t="s">
        <v>588</v>
      </c>
      <c r="BG43" s="7" t="s">
        <v>588</v>
      </c>
      <c r="BH43" t="s">
        <v>588</v>
      </c>
      <c r="BI43" t="s">
        <v>588</v>
      </c>
      <c r="BJ43" t="s">
        <v>588</v>
      </c>
      <c r="BK43" t="s">
        <v>588</v>
      </c>
      <c r="BL43" t="s">
        <v>588</v>
      </c>
      <c r="BM43" t="s">
        <v>588</v>
      </c>
      <c r="BN43" t="s">
        <v>588</v>
      </c>
      <c r="BO43" t="s">
        <v>588</v>
      </c>
      <c r="BP43" t="s">
        <v>588</v>
      </c>
      <c r="BQ43" t="s">
        <v>588</v>
      </c>
      <c r="BR43" t="s">
        <v>588</v>
      </c>
      <c r="BS43" t="s">
        <v>8</v>
      </c>
      <c r="BT43" t="s">
        <v>9</v>
      </c>
      <c r="BU43" t="s">
        <v>9</v>
      </c>
      <c r="BV43" t="s">
        <v>588</v>
      </c>
      <c r="BW43" t="s">
        <v>588</v>
      </c>
      <c r="BX43" t="s">
        <v>588</v>
      </c>
      <c r="BY43" t="s">
        <v>588</v>
      </c>
      <c r="BZ43" t="s">
        <v>588</v>
      </c>
    </row>
    <row r="44" spans="1:78" x14ac:dyDescent="0.25">
      <c r="A44">
        <v>201617</v>
      </c>
      <c r="B44" t="s">
        <v>58</v>
      </c>
      <c r="C44" t="s">
        <v>26</v>
      </c>
      <c r="D44" t="s">
        <v>27</v>
      </c>
      <c r="E44" t="s">
        <v>31</v>
      </c>
      <c r="F44">
        <v>1</v>
      </c>
      <c r="G44" t="s">
        <v>1666</v>
      </c>
      <c r="H44" s="11" t="s">
        <v>1788</v>
      </c>
      <c r="I44" s="1">
        <v>42628</v>
      </c>
      <c r="J44" s="11">
        <v>15</v>
      </c>
      <c r="K44" s="11">
        <v>9</v>
      </c>
      <c r="L44" s="11">
        <v>2016</v>
      </c>
      <c r="M44" s="11" t="s">
        <v>1789</v>
      </c>
      <c r="N44" t="s">
        <v>28</v>
      </c>
      <c r="O44" t="s">
        <v>10</v>
      </c>
      <c r="P44" s="4" t="s">
        <v>588</v>
      </c>
      <c r="Q44" s="4" t="s">
        <v>588</v>
      </c>
      <c r="R44" s="4">
        <v>-38.645000000000003</v>
      </c>
      <c r="S44" s="4">
        <v>145.71476699999999</v>
      </c>
      <c r="T44">
        <v>3</v>
      </c>
      <c r="U44">
        <v>3</v>
      </c>
      <c r="V44" t="s">
        <v>588</v>
      </c>
      <c r="W44" t="s">
        <v>588</v>
      </c>
      <c r="X44">
        <v>3</v>
      </c>
      <c r="Y44">
        <v>3</v>
      </c>
      <c r="Z44" t="s">
        <v>41</v>
      </c>
      <c r="AA44" s="1">
        <v>42641</v>
      </c>
      <c r="AB44" s="11">
        <v>28</v>
      </c>
      <c r="AC44" s="11">
        <v>9</v>
      </c>
      <c r="AD44" s="11">
        <v>2016</v>
      </c>
      <c r="AE44" s="13" t="s">
        <v>1790</v>
      </c>
      <c r="AF44" t="s">
        <v>28</v>
      </c>
      <c r="AG44" s="1">
        <v>42647</v>
      </c>
      <c r="AH44" s="11">
        <v>4</v>
      </c>
      <c r="AI44" s="11">
        <v>10</v>
      </c>
      <c r="AJ44" s="11">
        <v>2016</v>
      </c>
      <c r="AK44" s="13" t="s">
        <v>1745</v>
      </c>
      <c r="AL44" t="s">
        <v>29</v>
      </c>
      <c r="AM44" t="s">
        <v>20</v>
      </c>
      <c r="AN44" t="s">
        <v>41</v>
      </c>
      <c r="AO44" t="s">
        <v>20</v>
      </c>
      <c r="AP44" s="1" t="s">
        <v>588</v>
      </c>
      <c r="AQ44" t="s">
        <v>588</v>
      </c>
      <c r="AR44" t="s">
        <v>588</v>
      </c>
      <c r="AS44" t="s">
        <v>588</v>
      </c>
      <c r="AT44" t="s">
        <v>588</v>
      </c>
      <c r="AU44" s="7" t="s">
        <v>588</v>
      </c>
      <c r="AV44" t="s">
        <v>588</v>
      </c>
      <c r="AW44" t="s">
        <v>588</v>
      </c>
      <c r="AX44" t="s">
        <v>588</v>
      </c>
      <c r="AY44" t="s">
        <v>588</v>
      </c>
      <c r="AZ44" t="s">
        <v>588</v>
      </c>
      <c r="BA44" s="7" t="s">
        <v>588</v>
      </c>
      <c r="BB44" t="s">
        <v>588</v>
      </c>
      <c r="BC44" t="s">
        <v>588</v>
      </c>
      <c r="BD44" t="s">
        <v>588</v>
      </c>
      <c r="BE44" t="s">
        <v>588</v>
      </c>
      <c r="BF44" t="s">
        <v>588</v>
      </c>
      <c r="BG44" s="7" t="s">
        <v>588</v>
      </c>
      <c r="BH44" t="s">
        <v>588</v>
      </c>
      <c r="BI44" t="s">
        <v>588</v>
      </c>
      <c r="BJ44" t="s">
        <v>588</v>
      </c>
      <c r="BK44" t="s">
        <v>588</v>
      </c>
      <c r="BL44" t="s">
        <v>588</v>
      </c>
      <c r="BM44" t="s">
        <v>588</v>
      </c>
      <c r="BN44" t="s">
        <v>588</v>
      </c>
      <c r="BO44" t="s">
        <v>588</v>
      </c>
      <c r="BP44" t="s">
        <v>588</v>
      </c>
      <c r="BQ44" s="1" t="s">
        <v>588</v>
      </c>
      <c r="BR44" t="s">
        <v>588</v>
      </c>
      <c r="BS44" t="s">
        <v>8</v>
      </c>
      <c r="BT44" t="s">
        <v>9</v>
      </c>
      <c r="BU44" t="s">
        <v>9</v>
      </c>
      <c r="BV44" t="s">
        <v>588</v>
      </c>
      <c r="BW44" t="s">
        <v>588</v>
      </c>
      <c r="BX44" t="s">
        <v>588</v>
      </c>
      <c r="BY44" t="s">
        <v>588</v>
      </c>
      <c r="BZ44" t="s">
        <v>588</v>
      </c>
    </row>
    <row r="45" spans="1:78" x14ac:dyDescent="0.25">
      <c r="A45">
        <v>201617</v>
      </c>
      <c r="B45" t="s">
        <v>33</v>
      </c>
      <c r="C45" t="s">
        <v>33</v>
      </c>
      <c r="D45" t="s">
        <v>34</v>
      </c>
      <c r="E45" t="s">
        <v>16</v>
      </c>
      <c r="F45">
        <v>1</v>
      </c>
      <c r="G45" t="s">
        <v>1669</v>
      </c>
      <c r="H45" s="11" t="s">
        <v>1669</v>
      </c>
      <c r="I45" s="1">
        <v>42633</v>
      </c>
      <c r="J45" s="11">
        <v>20</v>
      </c>
      <c r="K45" s="11">
        <v>9</v>
      </c>
      <c r="L45" s="11">
        <v>2016</v>
      </c>
      <c r="M45" s="11" t="s">
        <v>1763</v>
      </c>
      <c r="N45" t="s">
        <v>28</v>
      </c>
      <c r="O45" t="s">
        <v>19</v>
      </c>
      <c r="P45" t="s">
        <v>588</v>
      </c>
      <c r="Q45" t="s">
        <v>588</v>
      </c>
      <c r="R45" s="4">
        <v>-38.635300000000001</v>
      </c>
      <c r="S45" s="4">
        <v>145.746002</v>
      </c>
      <c r="T45">
        <v>3</v>
      </c>
      <c r="U45">
        <v>3</v>
      </c>
      <c r="V45" t="s">
        <v>588</v>
      </c>
      <c r="W45" t="s">
        <v>588</v>
      </c>
      <c r="X45">
        <v>12</v>
      </c>
      <c r="Y45">
        <v>11</v>
      </c>
      <c r="Z45" t="s">
        <v>8</v>
      </c>
      <c r="AA45" s="1">
        <v>42655</v>
      </c>
      <c r="AB45" s="11">
        <v>12</v>
      </c>
      <c r="AC45" s="11">
        <v>10</v>
      </c>
      <c r="AD45" s="11">
        <v>2016</v>
      </c>
      <c r="AE45" s="13" t="s">
        <v>1795</v>
      </c>
      <c r="AF45" t="s">
        <v>29</v>
      </c>
      <c r="AG45" t="s">
        <v>588</v>
      </c>
      <c r="AH45" s="11" t="s">
        <v>588</v>
      </c>
      <c r="AI45" s="11" t="s">
        <v>588</v>
      </c>
      <c r="AJ45" s="11" t="s">
        <v>588</v>
      </c>
      <c r="AK45" s="13" t="s">
        <v>588</v>
      </c>
      <c r="AL45" t="s">
        <v>588</v>
      </c>
      <c r="AM45" t="s">
        <v>588</v>
      </c>
      <c r="AN45" t="s">
        <v>588</v>
      </c>
      <c r="AO45" t="s">
        <v>588</v>
      </c>
      <c r="AP45" s="1">
        <v>42663</v>
      </c>
      <c r="AQ45" t="s">
        <v>29</v>
      </c>
      <c r="AR45" t="s">
        <v>195</v>
      </c>
      <c r="AS45">
        <v>2</v>
      </c>
      <c r="AT45">
        <v>3</v>
      </c>
      <c r="AU45" s="7">
        <v>42671</v>
      </c>
      <c r="AV45" s="1">
        <v>42673</v>
      </c>
      <c r="AW45" t="s">
        <v>29</v>
      </c>
      <c r="AX45" t="s">
        <v>20</v>
      </c>
      <c r="AY45" t="s">
        <v>588</v>
      </c>
      <c r="AZ45" t="s">
        <v>20</v>
      </c>
      <c r="BA45" s="7">
        <v>42671</v>
      </c>
      <c r="BB45" s="1">
        <v>42673</v>
      </c>
      <c r="BC45" t="s">
        <v>29</v>
      </c>
      <c r="BD45" t="s">
        <v>20</v>
      </c>
      <c r="BE45" t="s">
        <v>588</v>
      </c>
      <c r="BF45" t="s">
        <v>20</v>
      </c>
      <c r="BG45" s="7" t="s">
        <v>588</v>
      </c>
      <c r="BH45" t="s">
        <v>588</v>
      </c>
      <c r="BI45" t="s">
        <v>588</v>
      </c>
      <c r="BJ45" t="s">
        <v>588</v>
      </c>
      <c r="BK45" t="s">
        <v>588</v>
      </c>
      <c r="BL45" t="s">
        <v>588</v>
      </c>
      <c r="BM45">
        <v>6</v>
      </c>
      <c r="BN45">
        <v>6</v>
      </c>
      <c r="BO45" t="s">
        <v>41</v>
      </c>
      <c r="BP45" t="s">
        <v>588</v>
      </c>
      <c r="BQ45" t="s">
        <v>588</v>
      </c>
      <c r="BR45" t="s">
        <v>588</v>
      </c>
      <c r="BS45" t="s">
        <v>8</v>
      </c>
      <c r="BT45" t="s">
        <v>9</v>
      </c>
      <c r="BU45" t="s">
        <v>9</v>
      </c>
      <c r="BV45" t="s">
        <v>8</v>
      </c>
      <c r="BW45" t="s">
        <v>9</v>
      </c>
      <c r="BX45" t="s">
        <v>9</v>
      </c>
      <c r="BY45" t="s">
        <v>588</v>
      </c>
      <c r="BZ45" t="s">
        <v>588</v>
      </c>
    </row>
    <row r="46" spans="1:78" x14ac:dyDescent="0.25">
      <c r="A46">
        <v>201617</v>
      </c>
      <c r="B46" t="s">
        <v>33</v>
      </c>
      <c r="C46" t="s">
        <v>33</v>
      </c>
      <c r="D46" t="s">
        <v>34</v>
      </c>
      <c r="E46" t="s">
        <v>16</v>
      </c>
      <c r="F46">
        <v>2</v>
      </c>
      <c r="G46" t="s">
        <v>1670</v>
      </c>
      <c r="H46" s="11" t="s">
        <v>1670</v>
      </c>
      <c r="I46" s="1">
        <v>42695</v>
      </c>
      <c r="J46" s="11">
        <v>21</v>
      </c>
      <c r="K46" s="11">
        <v>11</v>
      </c>
      <c r="L46" s="11">
        <v>2016</v>
      </c>
      <c r="M46" s="11" t="s">
        <v>1762</v>
      </c>
      <c r="N46" t="s">
        <v>17</v>
      </c>
      <c r="O46" t="s">
        <v>10</v>
      </c>
      <c r="P46" t="s">
        <v>588</v>
      </c>
      <c r="Q46" t="s">
        <v>588</v>
      </c>
      <c r="R46" s="4">
        <v>-38.635300000000001</v>
      </c>
      <c r="S46" s="4">
        <v>145.746002</v>
      </c>
      <c r="T46">
        <v>2</v>
      </c>
      <c r="U46">
        <v>2</v>
      </c>
      <c r="V46" t="s">
        <v>588</v>
      </c>
      <c r="W46" t="s">
        <v>588</v>
      </c>
      <c r="X46">
        <v>3</v>
      </c>
      <c r="Y46">
        <v>3</v>
      </c>
      <c r="Z46" t="s">
        <v>41</v>
      </c>
      <c r="AA46" s="1">
        <v>42702</v>
      </c>
      <c r="AB46" s="11">
        <v>28</v>
      </c>
      <c r="AC46" s="11">
        <v>11</v>
      </c>
      <c r="AD46" s="11">
        <v>2016</v>
      </c>
      <c r="AE46" s="13" t="s">
        <v>1767</v>
      </c>
      <c r="AF46" t="s">
        <v>17</v>
      </c>
      <c r="AG46" s="1">
        <v>42703</v>
      </c>
      <c r="AH46" s="11">
        <v>29</v>
      </c>
      <c r="AI46" s="11">
        <v>11</v>
      </c>
      <c r="AJ46" s="11">
        <v>2016</v>
      </c>
      <c r="AK46" s="13" t="s">
        <v>1747</v>
      </c>
      <c r="AL46" t="s">
        <v>17</v>
      </c>
      <c r="AM46" t="s">
        <v>20</v>
      </c>
      <c r="AN46" t="s">
        <v>8</v>
      </c>
      <c r="AO46" t="s">
        <v>32</v>
      </c>
      <c r="AP46" t="s">
        <v>588</v>
      </c>
      <c r="AQ46" t="s">
        <v>588</v>
      </c>
      <c r="AR46" t="s">
        <v>588</v>
      </c>
      <c r="AS46" t="s">
        <v>588</v>
      </c>
      <c r="AT46" t="s">
        <v>588</v>
      </c>
      <c r="AU46" s="7" t="s">
        <v>588</v>
      </c>
      <c r="AV46" t="s">
        <v>588</v>
      </c>
      <c r="AW46" t="s">
        <v>588</v>
      </c>
      <c r="AX46" t="s">
        <v>588</v>
      </c>
      <c r="AY46" t="s">
        <v>588</v>
      </c>
      <c r="AZ46" t="s">
        <v>588</v>
      </c>
      <c r="BA46" s="7" t="s">
        <v>588</v>
      </c>
      <c r="BB46" t="s">
        <v>588</v>
      </c>
      <c r="BC46" t="s">
        <v>588</v>
      </c>
      <c r="BD46" t="s">
        <v>588</v>
      </c>
      <c r="BE46" t="s">
        <v>588</v>
      </c>
      <c r="BF46" t="s">
        <v>588</v>
      </c>
      <c r="BG46" s="7" t="s">
        <v>588</v>
      </c>
      <c r="BH46" t="s">
        <v>588</v>
      </c>
      <c r="BI46" t="s">
        <v>588</v>
      </c>
      <c r="BJ46" t="s">
        <v>588</v>
      </c>
      <c r="BK46" t="s">
        <v>588</v>
      </c>
      <c r="BL46" t="s">
        <v>588</v>
      </c>
      <c r="BM46" t="s">
        <v>588</v>
      </c>
      <c r="BN46" t="s">
        <v>588</v>
      </c>
      <c r="BO46" t="s">
        <v>588</v>
      </c>
      <c r="BP46" t="s">
        <v>588</v>
      </c>
      <c r="BQ46" t="s">
        <v>588</v>
      </c>
      <c r="BR46" t="s">
        <v>588</v>
      </c>
      <c r="BS46" t="s">
        <v>8</v>
      </c>
      <c r="BT46" t="s">
        <v>9</v>
      </c>
      <c r="BU46" t="s">
        <v>9</v>
      </c>
      <c r="BV46" t="s">
        <v>588</v>
      </c>
      <c r="BW46" t="s">
        <v>588</v>
      </c>
      <c r="BX46" t="s">
        <v>588</v>
      </c>
      <c r="BY46" t="s">
        <v>588</v>
      </c>
      <c r="BZ46" t="s">
        <v>588</v>
      </c>
    </row>
    <row r="47" spans="1:78" x14ac:dyDescent="0.25">
      <c r="A47">
        <v>201617</v>
      </c>
      <c r="B47" t="s">
        <v>33</v>
      </c>
      <c r="C47" t="s">
        <v>33</v>
      </c>
      <c r="D47" t="s">
        <v>34</v>
      </c>
      <c r="E47" t="s">
        <v>16</v>
      </c>
      <c r="F47">
        <v>3</v>
      </c>
      <c r="G47" t="s">
        <v>1671</v>
      </c>
      <c r="H47" s="11" t="s">
        <v>1671</v>
      </c>
      <c r="I47" s="1">
        <v>42749</v>
      </c>
      <c r="J47" s="11">
        <v>14</v>
      </c>
      <c r="K47" s="11">
        <v>1</v>
      </c>
      <c r="L47" s="11">
        <v>2017</v>
      </c>
      <c r="M47" s="11" t="s">
        <v>1743</v>
      </c>
      <c r="N47" t="s">
        <v>12</v>
      </c>
      <c r="O47" t="s">
        <v>10</v>
      </c>
      <c r="P47" s="4" t="s">
        <v>588</v>
      </c>
      <c r="Q47" s="4" t="s">
        <v>588</v>
      </c>
      <c r="R47" s="4">
        <v>-38.635300000000001</v>
      </c>
      <c r="S47" s="4">
        <v>145.746002</v>
      </c>
      <c r="T47">
        <v>2</v>
      </c>
      <c r="U47">
        <v>2</v>
      </c>
      <c r="V47" t="s">
        <v>588</v>
      </c>
      <c r="W47" t="s">
        <v>588</v>
      </c>
      <c r="X47">
        <v>14</v>
      </c>
      <c r="Y47">
        <v>12</v>
      </c>
      <c r="Z47" t="s">
        <v>8</v>
      </c>
      <c r="AA47" s="1">
        <v>42776</v>
      </c>
      <c r="AB47" s="11">
        <v>10</v>
      </c>
      <c r="AC47" s="11">
        <v>2</v>
      </c>
      <c r="AD47" s="11">
        <v>2017</v>
      </c>
      <c r="AE47" s="13" t="s">
        <v>1796</v>
      </c>
      <c r="AF47" t="s">
        <v>21</v>
      </c>
      <c r="AG47" t="s">
        <v>588</v>
      </c>
      <c r="AH47" s="11" t="s">
        <v>588</v>
      </c>
      <c r="AI47" s="11" t="s">
        <v>588</v>
      </c>
      <c r="AJ47" s="11" t="s">
        <v>588</v>
      </c>
      <c r="AK47" s="13" t="s">
        <v>588</v>
      </c>
      <c r="AL47" t="s">
        <v>588</v>
      </c>
      <c r="AM47" t="s">
        <v>588</v>
      </c>
      <c r="AN47" t="s">
        <v>588</v>
      </c>
      <c r="AO47" t="s">
        <v>588</v>
      </c>
      <c r="AP47" s="1">
        <v>42780</v>
      </c>
      <c r="AQ47" t="s">
        <v>21</v>
      </c>
      <c r="AR47" t="s">
        <v>195</v>
      </c>
      <c r="AS47">
        <v>2</v>
      </c>
      <c r="AT47">
        <v>2</v>
      </c>
      <c r="AU47" s="7">
        <v>42780</v>
      </c>
      <c r="AV47" s="1">
        <v>42782</v>
      </c>
      <c r="AW47" t="s">
        <v>21</v>
      </c>
      <c r="AX47" t="s">
        <v>20</v>
      </c>
      <c r="AY47" t="s">
        <v>588</v>
      </c>
      <c r="AZ47" t="s">
        <v>20</v>
      </c>
      <c r="BA47" s="7">
        <v>42780</v>
      </c>
      <c r="BB47" s="1">
        <v>42782</v>
      </c>
      <c r="BC47" t="s">
        <v>21</v>
      </c>
      <c r="BD47" t="s">
        <v>20</v>
      </c>
      <c r="BE47" t="s">
        <v>588</v>
      </c>
      <c r="BF47" t="s">
        <v>20</v>
      </c>
      <c r="BG47" s="7" t="s">
        <v>588</v>
      </c>
      <c r="BH47" t="s">
        <v>588</v>
      </c>
      <c r="BI47" t="s">
        <v>588</v>
      </c>
      <c r="BJ47" t="s">
        <v>588</v>
      </c>
      <c r="BK47" t="s">
        <v>588</v>
      </c>
      <c r="BL47" t="s">
        <v>588</v>
      </c>
      <c r="BM47">
        <v>3</v>
      </c>
      <c r="BN47">
        <v>2</v>
      </c>
      <c r="BO47" t="s">
        <v>41</v>
      </c>
      <c r="BP47" t="s">
        <v>588</v>
      </c>
      <c r="BQ47" t="s">
        <v>588</v>
      </c>
      <c r="BR47" t="s">
        <v>588</v>
      </c>
      <c r="BS47" t="s">
        <v>8</v>
      </c>
      <c r="BT47" t="s">
        <v>9</v>
      </c>
      <c r="BU47" t="s">
        <v>9</v>
      </c>
      <c r="BV47" t="s">
        <v>8</v>
      </c>
      <c r="BW47" t="s">
        <v>96</v>
      </c>
      <c r="BX47" t="s">
        <v>96</v>
      </c>
      <c r="BY47" t="s">
        <v>588</v>
      </c>
      <c r="BZ47" t="s">
        <v>588</v>
      </c>
    </row>
    <row r="48" spans="1:78" x14ac:dyDescent="0.25">
      <c r="A48">
        <v>201617</v>
      </c>
      <c r="B48" t="s">
        <v>561</v>
      </c>
      <c r="C48" t="s">
        <v>561</v>
      </c>
      <c r="D48" t="s">
        <v>404</v>
      </c>
      <c r="E48" t="s">
        <v>16</v>
      </c>
      <c r="F48">
        <v>4</v>
      </c>
      <c r="G48" t="s">
        <v>1672</v>
      </c>
      <c r="H48" s="11" t="s">
        <v>1672</v>
      </c>
      <c r="I48" s="1">
        <v>42744</v>
      </c>
      <c r="J48" s="11">
        <v>9</v>
      </c>
      <c r="K48" s="11">
        <v>1</v>
      </c>
      <c r="L48" s="11">
        <v>2017</v>
      </c>
      <c r="M48" s="11" t="s">
        <v>1786</v>
      </c>
      <c r="N48" t="s">
        <v>12</v>
      </c>
      <c r="O48" t="s">
        <v>10</v>
      </c>
      <c r="P48">
        <v>-38.587760000000003</v>
      </c>
      <c r="Q48">
        <v>145.51575</v>
      </c>
      <c r="R48" t="s">
        <v>588</v>
      </c>
      <c r="S48" t="s">
        <v>588</v>
      </c>
      <c r="T48">
        <v>2</v>
      </c>
      <c r="U48">
        <v>3</v>
      </c>
      <c r="V48" t="s">
        <v>588</v>
      </c>
      <c r="W48" t="s">
        <v>588</v>
      </c>
      <c r="X48">
        <v>2</v>
      </c>
      <c r="Y48">
        <v>2</v>
      </c>
      <c r="Z48" t="s">
        <v>41</v>
      </c>
      <c r="AA48" s="1">
        <v>42744</v>
      </c>
      <c r="AB48" s="11">
        <v>9</v>
      </c>
      <c r="AC48" s="11">
        <v>1</v>
      </c>
      <c r="AD48" s="11">
        <v>2017</v>
      </c>
      <c r="AE48" s="13" t="s">
        <v>1786</v>
      </c>
      <c r="AF48" t="s">
        <v>12</v>
      </c>
      <c r="AG48" s="1">
        <v>42752</v>
      </c>
      <c r="AH48" s="11">
        <v>17</v>
      </c>
      <c r="AI48" s="11">
        <v>1</v>
      </c>
      <c r="AJ48" s="11">
        <v>2017</v>
      </c>
      <c r="AK48" s="13" t="s">
        <v>1742</v>
      </c>
      <c r="AL48" t="s">
        <v>12</v>
      </c>
      <c r="AM48" t="s">
        <v>20</v>
      </c>
      <c r="AN48" t="s">
        <v>8</v>
      </c>
      <c r="AO48" t="s">
        <v>11</v>
      </c>
      <c r="AP48" t="s">
        <v>588</v>
      </c>
      <c r="AQ48" s="1" t="s">
        <v>588</v>
      </c>
      <c r="AR48" t="s">
        <v>588</v>
      </c>
      <c r="AS48" s="1" t="s">
        <v>588</v>
      </c>
      <c r="AT48" t="s">
        <v>588</v>
      </c>
      <c r="AU48" s="1" t="s">
        <v>588</v>
      </c>
      <c r="AV48" t="s">
        <v>588</v>
      </c>
      <c r="AW48" s="1" t="s">
        <v>588</v>
      </c>
      <c r="AX48" t="s">
        <v>588</v>
      </c>
      <c r="AY48" s="1" t="s">
        <v>588</v>
      </c>
      <c r="AZ48" t="s">
        <v>588</v>
      </c>
      <c r="BA48" s="1" t="s">
        <v>588</v>
      </c>
      <c r="BB48" t="s">
        <v>588</v>
      </c>
      <c r="BC48" s="1" t="s">
        <v>588</v>
      </c>
      <c r="BD48" t="s">
        <v>588</v>
      </c>
      <c r="BE48" s="1" t="s">
        <v>588</v>
      </c>
      <c r="BF48" t="s">
        <v>588</v>
      </c>
      <c r="BG48" s="1" t="s">
        <v>588</v>
      </c>
      <c r="BH48" t="s">
        <v>588</v>
      </c>
      <c r="BI48" s="1" t="s">
        <v>588</v>
      </c>
      <c r="BJ48" t="s">
        <v>588</v>
      </c>
      <c r="BK48" s="1" t="s">
        <v>588</v>
      </c>
      <c r="BL48" t="s">
        <v>588</v>
      </c>
      <c r="BM48" s="1" t="s">
        <v>588</v>
      </c>
      <c r="BN48" t="s">
        <v>588</v>
      </c>
      <c r="BO48" s="1" t="s">
        <v>588</v>
      </c>
      <c r="BP48" t="s">
        <v>588</v>
      </c>
      <c r="BQ48" s="1" t="s">
        <v>588</v>
      </c>
      <c r="BR48" t="s">
        <v>588</v>
      </c>
      <c r="BS48" t="s">
        <v>8</v>
      </c>
      <c r="BT48" t="s">
        <v>1617</v>
      </c>
      <c r="BU48" t="s">
        <v>1617</v>
      </c>
      <c r="BV48" t="s">
        <v>588</v>
      </c>
      <c r="BW48" t="s">
        <v>588</v>
      </c>
      <c r="BX48" t="s">
        <v>588</v>
      </c>
      <c r="BY48" t="s">
        <v>588</v>
      </c>
      <c r="BZ48" t="s">
        <v>588</v>
      </c>
    </row>
    <row r="49" spans="1:78" x14ac:dyDescent="0.25">
      <c r="A49">
        <v>201617</v>
      </c>
      <c r="B49" t="s">
        <v>561</v>
      </c>
      <c r="C49" t="s">
        <v>561</v>
      </c>
      <c r="D49" t="s">
        <v>404</v>
      </c>
      <c r="E49" t="s">
        <v>16</v>
      </c>
      <c r="F49">
        <v>5</v>
      </c>
      <c r="G49" t="s">
        <v>1673</v>
      </c>
      <c r="H49" s="11" t="s">
        <v>1673</v>
      </c>
      <c r="I49" s="1">
        <v>42758</v>
      </c>
      <c r="J49" s="11">
        <v>23</v>
      </c>
      <c r="K49" s="11">
        <v>1</v>
      </c>
      <c r="L49" s="11">
        <v>2017</v>
      </c>
      <c r="M49" s="11" t="s">
        <v>1738</v>
      </c>
      <c r="N49" t="s">
        <v>12</v>
      </c>
      <c r="O49" t="s">
        <v>10</v>
      </c>
      <c r="P49">
        <v>-38.587020000000003</v>
      </c>
      <c r="Q49">
        <v>145.51521</v>
      </c>
      <c r="R49" t="s">
        <v>588</v>
      </c>
      <c r="S49" t="s">
        <v>588</v>
      </c>
      <c r="T49">
        <v>3</v>
      </c>
      <c r="U49">
        <v>3</v>
      </c>
      <c r="V49" s="1">
        <v>42762</v>
      </c>
      <c r="W49" t="s">
        <v>223</v>
      </c>
      <c r="X49">
        <v>4</v>
      </c>
      <c r="Y49">
        <v>4</v>
      </c>
      <c r="Z49" t="s">
        <v>41</v>
      </c>
      <c r="AA49" s="1">
        <v>42781</v>
      </c>
      <c r="AB49" s="11">
        <v>15</v>
      </c>
      <c r="AC49" s="11">
        <v>2</v>
      </c>
      <c r="AD49" s="11">
        <v>2017</v>
      </c>
      <c r="AE49" s="13" t="s">
        <v>1768</v>
      </c>
      <c r="AF49" t="s">
        <v>21</v>
      </c>
      <c r="AG49" s="1">
        <v>42790</v>
      </c>
      <c r="AH49" s="11">
        <v>24</v>
      </c>
      <c r="AI49" s="11">
        <v>2</v>
      </c>
      <c r="AJ49" s="11">
        <v>2017</v>
      </c>
      <c r="AK49" s="13" t="s">
        <v>1730</v>
      </c>
      <c r="AL49" t="s">
        <v>21</v>
      </c>
      <c r="AM49" t="s">
        <v>20</v>
      </c>
      <c r="AN49" t="s">
        <v>8</v>
      </c>
      <c r="AO49" t="s">
        <v>11</v>
      </c>
      <c r="AP49" t="s">
        <v>588</v>
      </c>
      <c r="AQ49" s="1" t="s">
        <v>588</v>
      </c>
      <c r="AR49" t="s">
        <v>588</v>
      </c>
      <c r="AS49" s="1" t="s">
        <v>588</v>
      </c>
      <c r="AT49" t="s">
        <v>588</v>
      </c>
      <c r="AU49" s="1" t="s">
        <v>588</v>
      </c>
      <c r="AV49" t="s">
        <v>588</v>
      </c>
      <c r="AW49" s="1" t="s">
        <v>588</v>
      </c>
      <c r="AX49" t="s">
        <v>588</v>
      </c>
      <c r="AY49" s="1" t="s">
        <v>588</v>
      </c>
      <c r="AZ49" t="s">
        <v>588</v>
      </c>
      <c r="BA49" s="1" t="s">
        <v>588</v>
      </c>
      <c r="BB49" t="s">
        <v>588</v>
      </c>
      <c r="BC49" s="1" t="s">
        <v>588</v>
      </c>
      <c r="BD49" t="s">
        <v>588</v>
      </c>
      <c r="BE49" s="1" t="s">
        <v>588</v>
      </c>
      <c r="BF49" t="s">
        <v>588</v>
      </c>
      <c r="BG49" s="1" t="s">
        <v>588</v>
      </c>
      <c r="BH49" t="s">
        <v>588</v>
      </c>
      <c r="BI49" s="1" t="s">
        <v>588</v>
      </c>
      <c r="BJ49" t="s">
        <v>588</v>
      </c>
      <c r="BK49" s="1" t="s">
        <v>588</v>
      </c>
      <c r="BL49" t="s">
        <v>588</v>
      </c>
      <c r="BM49" s="1" t="s">
        <v>588</v>
      </c>
      <c r="BN49" t="s">
        <v>588</v>
      </c>
      <c r="BO49" s="1" t="s">
        <v>588</v>
      </c>
      <c r="BP49" t="s">
        <v>588</v>
      </c>
      <c r="BQ49" s="1" t="s">
        <v>588</v>
      </c>
      <c r="BR49" t="s">
        <v>588</v>
      </c>
      <c r="BS49" t="s">
        <v>8</v>
      </c>
      <c r="BT49" t="s">
        <v>13</v>
      </c>
      <c r="BU49" t="s">
        <v>13</v>
      </c>
      <c r="BV49" t="s">
        <v>588</v>
      </c>
      <c r="BW49" t="s">
        <v>588</v>
      </c>
      <c r="BX49" t="s">
        <v>588</v>
      </c>
      <c r="BY49" t="s">
        <v>588</v>
      </c>
      <c r="BZ49" t="s">
        <v>588</v>
      </c>
    </row>
    <row r="50" spans="1:78" x14ac:dyDescent="0.25">
      <c r="A50">
        <v>201617</v>
      </c>
      <c r="B50" t="s">
        <v>308</v>
      </c>
      <c r="C50" t="s">
        <v>308</v>
      </c>
      <c r="D50" t="s">
        <v>404</v>
      </c>
      <c r="E50" t="s">
        <v>16</v>
      </c>
      <c r="F50">
        <v>1</v>
      </c>
      <c r="G50" t="s">
        <v>1674</v>
      </c>
      <c r="H50" s="11" t="s">
        <v>1674</v>
      </c>
      <c r="I50" s="1">
        <v>42629</v>
      </c>
      <c r="J50" s="11">
        <v>16</v>
      </c>
      <c r="K50" s="11">
        <v>9</v>
      </c>
      <c r="L50" s="11">
        <v>2016</v>
      </c>
      <c r="M50" s="11" t="s">
        <v>1797</v>
      </c>
      <c r="N50" t="s">
        <v>28</v>
      </c>
      <c r="O50" t="s">
        <v>19</v>
      </c>
      <c r="P50">
        <v>-38.582700000000003</v>
      </c>
      <c r="Q50">
        <v>145.51170999999999</v>
      </c>
      <c r="R50" t="s">
        <v>588</v>
      </c>
      <c r="S50" t="s">
        <v>588</v>
      </c>
      <c r="T50">
        <v>3</v>
      </c>
      <c r="U50">
        <v>3</v>
      </c>
      <c r="V50" t="s">
        <v>588</v>
      </c>
      <c r="W50" t="s">
        <v>588</v>
      </c>
      <c r="X50">
        <v>3</v>
      </c>
      <c r="Y50">
        <v>3</v>
      </c>
      <c r="Z50" t="s">
        <v>8</v>
      </c>
      <c r="AA50" s="1">
        <v>42643</v>
      </c>
      <c r="AB50" s="11">
        <v>30</v>
      </c>
      <c r="AC50" s="11">
        <v>9</v>
      </c>
      <c r="AD50" s="11">
        <v>2016</v>
      </c>
      <c r="AE50" s="13" t="s">
        <v>1798</v>
      </c>
      <c r="AF50" t="s">
        <v>28</v>
      </c>
      <c r="AG50" t="s">
        <v>588</v>
      </c>
      <c r="AH50" s="11" t="s">
        <v>588</v>
      </c>
      <c r="AI50" s="11" t="s">
        <v>588</v>
      </c>
      <c r="AJ50" s="11" t="s">
        <v>588</v>
      </c>
      <c r="AK50" s="13" t="s">
        <v>588</v>
      </c>
      <c r="AL50" t="s">
        <v>588</v>
      </c>
      <c r="AM50" t="s">
        <v>588</v>
      </c>
      <c r="AN50" t="s">
        <v>588</v>
      </c>
      <c r="AO50" t="s">
        <v>588</v>
      </c>
      <c r="AP50" s="1">
        <v>42657</v>
      </c>
      <c r="AQ50" t="s">
        <v>29</v>
      </c>
      <c r="AR50" t="s">
        <v>195</v>
      </c>
      <c r="AS50">
        <v>2</v>
      </c>
      <c r="AT50">
        <v>3</v>
      </c>
      <c r="AU50" s="1">
        <v>42657</v>
      </c>
      <c r="AV50" s="1">
        <v>42660</v>
      </c>
      <c r="AW50" t="s">
        <v>29</v>
      </c>
      <c r="AX50" t="s">
        <v>20</v>
      </c>
      <c r="AY50" t="s">
        <v>41</v>
      </c>
      <c r="AZ50" t="s">
        <v>1616</v>
      </c>
      <c r="BA50" s="1">
        <v>42657</v>
      </c>
      <c r="BB50" s="1">
        <v>42660</v>
      </c>
      <c r="BC50" t="s">
        <v>29</v>
      </c>
      <c r="BD50" t="s">
        <v>20</v>
      </c>
      <c r="BE50" t="s">
        <v>41</v>
      </c>
      <c r="BF50" t="s">
        <v>1616</v>
      </c>
      <c r="BG50" s="1" t="s">
        <v>588</v>
      </c>
      <c r="BH50" t="s">
        <v>588</v>
      </c>
      <c r="BI50" s="1" t="s">
        <v>588</v>
      </c>
      <c r="BJ50" t="s">
        <v>588</v>
      </c>
      <c r="BK50" s="1" t="s">
        <v>588</v>
      </c>
      <c r="BL50" t="s">
        <v>588</v>
      </c>
      <c r="BM50">
        <v>2</v>
      </c>
      <c r="BN50">
        <v>2</v>
      </c>
      <c r="BO50" t="s">
        <v>41</v>
      </c>
      <c r="BP50" t="s">
        <v>588</v>
      </c>
      <c r="BQ50" s="1" t="s">
        <v>588</v>
      </c>
      <c r="BR50" t="s">
        <v>588</v>
      </c>
      <c r="BS50" t="s">
        <v>8</v>
      </c>
      <c r="BT50" t="s">
        <v>120</v>
      </c>
      <c r="BU50" t="s">
        <v>120</v>
      </c>
      <c r="BV50" t="s">
        <v>8</v>
      </c>
      <c r="BW50" t="s">
        <v>120</v>
      </c>
      <c r="BX50" t="s">
        <v>120</v>
      </c>
      <c r="BY50" t="s">
        <v>588</v>
      </c>
      <c r="BZ50" t="s">
        <v>588</v>
      </c>
    </row>
    <row r="51" spans="1:78" x14ac:dyDescent="0.25">
      <c r="A51">
        <v>201617</v>
      </c>
      <c r="B51" t="s">
        <v>308</v>
      </c>
      <c r="C51" t="s">
        <v>308</v>
      </c>
      <c r="D51" t="s">
        <v>404</v>
      </c>
      <c r="E51" t="s">
        <v>16</v>
      </c>
      <c r="F51">
        <v>2</v>
      </c>
      <c r="G51" t="s">
        <v>1675</v>
      </c>
      <c r="H51" s="11" t="s">
        <v>1675</v>
      </c>
      <c r="I51" s="1">
        <v>42692</v>
      </c>
      <c r="J51" s="11">
        <v>18</v>
      </c>
      <c r="K51" s="11">
        <v>11</v>
      </c>
      <c r="L51" s="11">
        <v>2016</v>
      </c>
      <c r="M51" s="11" t="s">
        <v>1751</v>
      </c>
      <c r="N51" t="s">
        <v>17</v>
      </c>
      <c r="O51" t="s">
        <v>19</v>
      </c>
      <c r="P51">
        <v>-38.582700000000003</v>
      </c>
      <c r="Q51">
        <v>145.51167000000001</v>
      </c>
      <c r="R51" t="s">
        <v>588</v>
      </c>
      <c r="S51" t="s">
        <v>588</v>
      </c>
      <c r="T51">
        <v>2</v>
      </c>
      <c r="U51">
        <v>3</v>
      </c>
      <c r="V51" t="s">
        <v>588</v>
      </c>
      <c r="W51" t="s">
        <v>588</v>
      </c>
      <c r="X51">
        <v>4</v>
      </c>
      <c r="Y51">
        <v>4</v>
      </c>
      <c r="Z51" t="s">
        <v>41</v>
      </c>
      <c r="AA51" s="1">
        <v>42710</v>
      </c>
      <c r="AB51" s="11">
        <v>6</v>
      </c>
      <c r="AC51" s="11">
        <v>12</v>
      </c>
      <c r="AD51" s="11">
        <v>2016</v>
      </c>
      <c r="AE51" s="13" t="s">
        <v>1733</v>
      </c>
      <c r="AF51" t="s">
        <v>7</v>
      </c>
      <c r="AG51" s="1">
        <v>42716</v>
      </c>
      <c r="AH51" s="11">
        <v>12</v>
      </c>
      <c r="AI51" s="11">
        <v>12</v>
      </c>
      <c r="AJ51" s="11">
        <v>2016</v>
      </c>
      <c r="AK51" s="13" t="s">
        <v>1748</v>
      </c>
      <c r="AL51" t="s">
        <v>7</v>
      </c>
      <c r="AM51" t="s">
        <v>20</v>
      </c>
      <c r="AN51" t="s">
        <v>41</v>
      </c>
      <c r="AO51" t="s">
        <v>20</v>
      </c>
      <c r="AP51" t="s">
        <v>588</v>
      </c>
      <c r="AQ51" s="1" t="s">
        <v>588</v>
      </c>
      <c r="AR51" t="s">
        <v>588</v>
      </c>
      <c r="AS51" s="1" t="s">
        <v>588</v>
      </c>
      <c r="AT51" t="s">
        <v>588</v>
      </c>
      <c r="AU51" s="1" t="s">
        <v>588</v>
      </c>
      <c r="AV51" t="s">
        <v>588</v>
      </c>
      <c r="AW51" s="1" t="s">
        <v>588</v>
      </c>
      <c r="AX51" t="s">
        <v>588</v>
      </c>
      <c r="AY51" s="1" t="s">
        <v>588</v>
      </c>
      <c r="AZ51" t="s">
        <v>588</v>
      </c>
      <c r="BA51" s="1" t="s">
        <v>588</v>
      </c>
      <c r="BB51" t="s">
        <v>588</v>
      </c>
      <c r="BC51" s="1" t="s">
        <v>588</v>
      </c>
      <c r="BD51" t="s">
        <v>588</v>
      </c>
      <c r="BE51" s="1" t="s">
        <v>588</v>
      </c>
      <c r="BF51" t="s">
        <v>588</v>
      </c>
      <c r="BG51" s="1" t="s">
        <v>588</v>
      </c>
      <c r="BH51" t="s">
        <v>588</v>
      </c>
      <c r="BI51" s="1" t="s">
        <v>588</v>
      </c>
      <c r="BJ51" t="s">
        <v>588</v>
      </c>
      <c r="BK51" s="1" t="s">
        <v>588</v>
      </c>
      <c r="BL51" t="s">
        <v>588</v>
      </c>
      <c r="BM51" s="1" t="s">
        <v>588</v>
      </c>
      <c r="BN51" t="s">
        <v>588</v>
      </c>
      <c r="BO51" s="1" t="s">
        <v>588</v>
      </c>
      <c r="BP51" t="s">
        <v>588</v>
      </c>
      <c r="BQ51" s="1" t="s">
        <v>588</v>
      </c>
      <c r="BR51" t="s">
        <v>588</v>
      </c>
      <c r="BS51" t="s">
        <v>8</v>
      </c>
      <c r="BT51" t="s">
        <v>120</v>
      </c>
      <c r="BU51" t="s">
        <v>120</v>
      </c>
      <c r="BV51" t="s">
        <v>588</v>
      </c>
      <c r="BW51" t="s">
        <v>588</v>
      </c>
      <c r="BX51" t="s">
        <v>588</v>
      </c>
      <c r="BY51" t="s">
        <v>588</v>
      </c>
      <c r="BZ51" t="s">
        <v>588</v>
      </c>
    </row>
    <row r="52" spans="1:78" x14ac:dyDescent="0.25">
      <c r="A52">
        <v>201617</v>
      </c>
      <c r="B52" t="s">
        <v>308</v>
      </c>
      <c r="C52" t="s">
        <v>308</v>
      </c>
      <c r="D52" t="s">
        <v>404</v>
      </c>
      <c r="E52" t="s">
        <v>16</v>
      </c>
      <c r="F52">
        <v>3</v>
      </c>
      <c r="G52" t="s">
        <v>1676</v>
      </c>
      <c r="H52" s="11" t="s">
        <v>1676</v>
      </c>
      <c r="I52" s="1">
        <v>42727</v>
      </c>
      <c r="J52" s="11">
        <v>23</v>
      </c>
      <c r="K52" s="11">
        <v>12</v>
      </c>
      <c r="L52" s="11">
        <v>2016</v>
      </c>
      <c r="M52" s="11" t="s">
        <v>1755</v>
      </c>
      <c r="N52" t="s">
        <v>7</v>
      </c>
      <c r="O52" t="s">
        <v>19</v>
      </c>
      <c r="P52">
        <v>-38.582940000000001</v>
      </c>
      <c r="Q52">
        <v>145.51202000000001</v>
      </c>
      <c r="R52" t="s">
        <v>588</v>
      </c>
      <c r="S52" t="s">
        <v>588</v>
      </c>
      <c r="T52">
        <v>2</v>
      </c>
      <c r="U52">
        <v>3</v>
      </c>
      <c r="V52" t="s">
        <v>588</v>
      </c>
      <c r="W52" t="s">
        <v>588</v>
      </c>
      <c r="X52">
        <v>2</v>
      </c>
      <c r="Y52">
        <v>2</v>
      </c>
      <c r="Z52" t="s">
        <v>41</v>
      </c>
      <c r="AA52" s="1">
        <v>42727</v>
      </c>
      <c r="AB52" s="11">
        <v>23</v>
      </c>
      <c r="AC52" s="11">
        <v>12</v>
      </c>
      <c r="AD52" s="11">
        <v>2016</v>
      </c>
      <c r="AE52" s="13" t="s">
        <v>1755</v>
      </c>
      <c r="AF52" t="s">
        <v>7</v>
      </c>
      <c r="AG52" s="1">
        <v>42738</v>
      </c>
      <c r="AH52" s="11">
        <v>3</v>
      </c>
      <c r="AI52" s="11">
        <v>1</v>
      </c>
      <c r="AJ52" s="11">
        <v>2017</v>
      </c>
      <c r="AK52" s="13" t="s">
        <v>1749</v>
      </c>
      <c r="AL52" t="s">
        <v>12</v>
      </c>
      <c r="AM52" t="s">
        <v>20</v>
      </c>
      <c r="AN52" t="s">
        <v>8</v>
      </c>
      <c r="AO52" t="s">
        <v>1615</v>
      </c>
      <c r="AP52" t="s">
        <v>588</v>
      </c>
      <c r="AQ52" s="1" t="s">
        <v>588</v>
      </c>
      <c r="AR52" t="s">
        <v>588</v>
      </c>
      <c r="AS52" s="1" t="s">
        <v>588</v>
      </c>
      <c r="AT52" t="s">
        <v>588</v>
      </c>
      <c r="AU52" s="1" t="s">
        <v>588</v>
      </c>
      <c r="AV52" t="s">
        <v>588</v>
      </c>
      <c r="AW52" s="1" t="s">
        <v>588</v>
      </c>
      <c r="AX52" t="s">
        <v>588</v>
      </c>
      <c r="AY52" s="1" t="s">
        <v>588</v>
      </c>
      <c r="AZ52" t="s">
        <v>588</v>
      </c>
      <c r="BA52" s="1" t="s">
        <v>588</v>
      </c>
      <c r="BB52" t="s">
        <v>588</v>
      </c>
      <c r="BC52" s="1" t="s">
        <v>588</v>
      </c>
      <c r="BD52" t="s">
        <v>588</v>
      </c>
      <c r="BE52" s="1" t="s">
        <v>588</v>
      </c>
      <c r="BF52" t="s">
        <v>588</v>
      </c>
      <c r="BG52" s="1" t="s">
        <v>588</v>
      </c>
      <c r="BH52" t="s">
        <v>588</v>
      </c>
      <c r="BI52" s="1" t="s">
        <v>588</v>
      </c>
      <c r="BJ52" t="s">
        <v>588</v>
      </c>
      <c r="BK52" s="1" t="s">
        <v>588</v>
      </c>
      <c r="BL52" t="s">
        <v>588</v>
      </c>
      <c r="BM52" s="1" t="s">
        <v>588</v>
      </c>
      <c r="BN52" t="s">
        <v>588</v>
      </c>
      <c r="BO52" s="1" t="s">
        <v>588</v>
      </c>
      <c r="BP52" t="s">
        <v>588</v>
      </c>
      <c r="BQ52" s="1" t="s">
        <v>588</v>
      </c>
      <c r="BR52" t="s">
        <v>588</v>
      </c>
      <c r="BS52" t="s">
        <v>8</v>
      </c>
      <c r="BT52" t="s">
        <v>120</v>
      </c>
      <c r="BU52" t="s">
        <v>120</v>
      </c>
      <c r="BV52" t="s">
        <v>588</v>
      </c>
      <c r="BW52" t="s">
        <v>588</v>
      </c>
      <c r="BX52" t="s">
        <v>588</v>
      </c>
      <c r="BY52" t="s">
        <v>588</v>
      </c>
      <c r="BZ52" t="s">
        <v>588</v>
      </c>
    </row>
    <row r="53" spans="1:78" x14ac:dyDescent="0.25">
      <c r="A53">
        <v>201617</v>
      </c>
      <c r="B53" t="s">
        <v>1618</v>
      </c>
      <c r="C53" t="s">
        <v>553</v>
      </c>
      <c r="D53" t="s">
        <v>321</v>
      </c>
      <c r="E53" t="s">
        <v>20</v>
      </c>
      <c r="F53">
        <v>1</v>
      </c>
      <c r="G53" t="s">
        <v>1680</v>
      </c>
      <c r="H53" s="11" t="s">
        <v>1677</v>
      </c>
      <c r="I53" s="1">
        <v>42643</v>
      </c>
      <c r="J53" s="11">
        <v>30</v>
      </c>
      <c r="K53" s="11">
        <v>9</v>
      </c>
      <c r="L53" s="11">
        <v>2016</v>
      </c>
      <c r="M53" s="11" t="s">
        <v>1798</v>
      </c>
      <c r="N53" t="s">
        <v>28</v>
      </c>
      <c r="O53" t="s">
        <v>36</v>
      </c>
      <c r="P53">
        <v>-38.573659999999997</v>
      </c>
      <c r="Q53">
        <v>145.50346999999999</v>
      </c>
      <c r="R53" t="s">
        <v>588</v>
      </c>
      <c r="S53" t="s">
        <v>588</v>
      </c>
      <c r="T53">
        <v>3</v>
      </c>
      <c r="U53">
        <v>3</v>
      </c>
      <c r="V53" t="s">
        <v>588</v>
      </c>
      <c r="W53" t="s">
        <v>588</v>
      </c>
      <c r="X53">
        <v>2</v>
      </c>
      <c r="Y53">
        <v>2</v>
      </c>
      <c r="Z53" t="s">
        <v>41</v>
      </c>
      <c r="AA53" s="1">
        <v>42643</v>
      </c>
      <c r="AB53" s="11">
        <v>30</v>
      </c>
      <c r="AC53" s="11">
        <v>9</v>
      </c>
      <c r="AD53" s="11">
        <v>2016</v>
      </c>
      <c r="AE53" s="13" t="s">
        <v>1798</v>
      </c>
      <c r="AF53" t="s">
        <v>28</v>
      </c>
      <c r="AG53" s="1">
        <v>42649</v>
      </c>
      <c r="AH53" s="11">
        <v>6</v>
      </c>
      <c r="AI53" s="11">
        <v>10</v>
      </c>
      <c r="AJ53" s="11">
        <v>2016</v>
      </c>
      <c r="AK53" s="13" t="s">
        <v>1752</v>
      </c>
      <c r="AL53" t="s">
        <v>29</v>
      </c>
      <c r="AM53" t="s">
        <v>20</v>
      </c>
      <c r="AN53" t="s">
        <v>41</v>
      </c>
      <c r="AO53" t="s">
        <v>20</v>
      </c>
      <c r="AP53" t="s">
        <v>588</v>
      </c>
      <c r="AQ53" s="1" t="s">
        <v>588</v>
      </c>
      <c r="AR53" t="s">
        <v>588</v>
      </c>
      <c r="AS53" s="1" t="s">
        <v>588</v>
      </c>
      <c r="AT53" t="s">
        <v>588</v>
      </c>
      <c r="AU53" s="1" t="s">
        <v>588</v>
      </c>
      <c r="AV53" t="s">
        <v>588</v>
      </c>
      <c r="AW53" s="1" t="s">
        <v>588</v>
      </c>
      <c r="AX53" t="s">
        <v>588</v>
      </c>
      <c r="AY53" s="1" t="s">
        <v>588</v>
      </c>
      <c r="AZ53" t="s">
        <v>588</v>
      </c>
      <c r="BA53" s="1" t="s">
        <v>588</v>
      </c>
      <c r="BB53" t="s">
        <v>588</v>
      </c>
      <c r="BC53" s="1" t="s">
        <v>588</v>
      </c>
      <c r="BD53" t="s">
        <v>588</v>
      </c>
      <c r="BE53" s="1" t="s">
        <v>588</v>
      </c>
      <c r="BF53" t="s">
        <v>588</v>
      </c>
      <c r="BG53" s="1" t="s">
        <v>588</v>
      </c>
      <c r="BH53" t="s">
        <v>588</v>
      </c>
      <c r="BI53" s="1" t="s">
        <v>588</v>
      </c>
      <c r="BJ53" t="s">
        <v>588</v>
      </c>
      <c r="BK53" s="1" t="s">
        <v>588</v>
      </c>
      <c r="BL53" t="s">
        <v>588</v>
      </c>
      <c r="BM53" s="1" t="s">
        <v>588</v>
      </c>
      <c r="BN53" t="s">
        <v>588</v>
      </c>
      <c r="BO53" s="1" t="s">
        <v>588</v>
      </c>
      <c r="BP53" t="s">
        <v>588</v>
      </c>
      <c r="BQ53" s="1" t="s">
        <v>588</v>
      </c>
      <c r="BR53" t="s">
        <v>588</v>
      </c>
      <c r="BS53" t="s">
        <v>8</v>
      </c>
      <c r="BT53" t="s">
        <v>123</v>
      </c>
      <c r="BU53" t="s">
        <v>123</v>
      </c>
      <c r="BV53" t="s">
        <v>588</v>
      </c>
      <c r="BW53" t="s">
        <v>588</v>
      </c>
      <c r="BX53" t="s">
        <v>588</v>
      </c>
      <c r="BY53" t="s">
        <v>588</v>
      </c>
      <c r="BZ53" t="s">
        <v>588</v>
      </c>
    </row>
    <row r="54" spans="1:78" x14ac:dyDescent="0.25">
      <c r="A54">
        <v>201617</v>
      </c>
      <c r="B54" t="s">
        <v>1618</v>
      </c>
      <c r="C54" t="s">
        <v>553</v>
      </c>
      <c r="D54" t="s">
        <v>321</v>
      </c>
      <c r="E54" t="s">
        <v>16</v>
      </c>
      <c r="F54">
        <v>3</v>
      </c>
      <c r="G54" t="s">
        <v>1679</v>
      </c>
      <c r="H54" s="11" t="s">
        <v>1800</v>
      </c>
      <c r="I54" s="1">
        <v>42671</v>
      </c>
      <c r="J54" s="11">
        <v>28</v>
      </c>
      <c r="K54" s="11">
        <v>10</v>
      </c>
      <c r="L54" s="11">
        <v>2016</v>
      </c>
      <c r="M54" s="11" t="s">
        <v>1754</v>
      </c>
      <c r="N54" t="s">
        <v>29</v>
      </c>
      <c r="O54" t="s">
        <v>36</v>
      </c>
      <c r="P54">
        <v>-38.573300000000003</v>
      </c>
      <c r="Q54">
        <v>145.50333000000001</v>
      </c>
      <c r="R54" t="s">
        <v>588</v>
      </c>
      <c r="S54" t="s">
        <v>588</v>
      </c>
      <c r="T54">
        <v>3</v>
      </c>
      <c r="U54">
        <v>3</v>
      </c>
      <c r="V54" t="s">
        <v>588</v>
      </c>
      <c r="W54" t="s">
        <v>588</v>
      </c>
      <c r="X54">
        <v>5</v>
      </c>
      <c r="Y54">
        <v>5</v>
      </c>
      <c r="Z54" t="s">
        <v>41</v>
      </c>
      <c r="AA54" s="1">
        <v>42685</v>
      </c>
      <c r="AB54" s="11">
        <v>11</v>
      </c>
      <c r="AC54" s="11">
        <v>11</v>
      </c>
      <c r="AD54" s="11">
        <v>2016</v>
      </c>
      <c r="AE54" s="13" t="s">
        <v>1801</v>
      </c>
      <c r="AF54" t="s">
        <v>17</v>
      </c>
      <c r="AG54" s="1">
        <v>42692</v>
      </c>
      <c r="AH54" s="11">
        <v>18</v>
      </c>
      <c r="AI54" s="11">
        <v>11</v>
      </c>
      <c r="AJ54" s="11">
        <v>2016</v>
      </c>
      <c r="AK54" s="13" t="s">
        <v>1751</v>
      </c>
      <c r="AL54" t="s">
        <v>17</v>
      </c>
      <c r="AM54" s="1" t="s">
        <v>20</v>
      </c>
      <c r="AN54" t="s">
        <v>41</v>
      </c>
      <c r="AO54" t="s">
        <v>20</v>
      </c>
      <c r="AP54" t="s">
        <v>588</v>
      </c>
      <c r="AQ54" s="1" t="s">
        <v>588</v>
      </c>
      <c r="AR54" t="s">
        <v>588</v>
      </c>
      <c r="AS54" s="1" t="s">
        <v>588</v>
      </c>
      <c r="AT54" t="s">
        <v>588</v>
      </c>
      <c r="AU54" s="1" t="s">
        <v>588</v>
      </c>
      <c r="AV54" t="s">
        <v>588</v>
      </c>
      <c r="AW54" s="1" t="s">
        <v>588</v>
      </c>
      <c r="AX54" t="s">
        <v>588</v>
      </c>
      <c r="AY54" s="1" t="s">
        <v>588</v>
      </c>
      <c r="AZ54" t="s">
        <v>588</v>
      </c>
      <c r="BA54" s="1" t="s">
        <v>588</v>
      </c>
      <c r="BB54" t="s">
        <v>588</v>
      </c>
      <c r="BC54" s="1" t="s">
        <v>588</v>
      </c>
      <c r="BD54" t="s">
        <v>588</v>
      </c>
      <c r="BE54" s="1" t="s">
        <v>588</v>
      </c>
      <c r="BF54" t="s">
        <v>588</v>
      </c>
      <c r="BG54" s="1" t="s">
        <v>588</v>
      </c>
      <c r="BH54" t="s">
        <v>588</v>
      </c>
      <c r="BI54" s="1" t="s">
        <v>588</v>
      </c>
      <c r="BJ54" t="s">
        <v>588</v>
      </c>
      <c r="BK54" s="1" t="s">
        <v>588</v>
      </c>
      <c r="BL54" t="s">
        <v>588</v>
      </c>
      <c r="BM54" s="1" t="s">
        <v>588</v>
      </c>
      <c r="BN54" t="s">
        <v>588</v>
      </c>
      <c r="BO54" s="1" t="s">
        <v>588</v>
      </c>
      <c r="BP54" t="s">
        <v>588</v>
      </c>
      <c r="BQ54" s="1" t="s">
        <v>588</v>
      </c>
      <c r="BR54" t="s">
        <v>588</v>
      </c>
      <c r="BS54" t="s">
        <v>8</v>
      </c>
      <c r="BT54" t="s">
        <v>120</v>
      </c>
      <c r="BU54" t="s">
        <v>120</v>
      </c>
      <c r="BV54" t="s">
        <v>588</v>
      </c>
      <c r="BW54" t="s">
        <v>588</v>
      </c>
      <c r="BX54" t="s">
        <v>588</v>
      </c>
      <c r="BY54" t="s">
        <v>588</v>
      </c>
      <c r="BZ54" t="s">
        <v>588</v>
      </c>
    </row>
    <row r="55" spans="1:78" x14ac:dyDescent="0.25">
      <c r="A55">
        <v>201617</v>
      </c>
      <c r="B55" t="s">
        <v>553</v>
      </c>
      <c r="C55" t="s">
        <v>553</v>
      </c>
      <c r="D55" t="s">
        <v>482</v>
      </c>
      <c r="E55" t="s">
        <v>16</v>
      </c>
      <c r="F55">
        <v>1</v>
      </c>
      <c r="G55" t="s">
        <v>1677</v>
      </c>
      <c r="H55" s="11" t="s">
        <v>1677</v>
      </c>
      <c r="I55" s="1">
        <v>42716</v>
      </c>
      <c r="J55" s="11">
        <v>12</v>
      </c>
      <c r="K55" s="11">
        <v>12</v>
      </c>
      <c r="L55" s="11">
        <v>2016</v>
      </c>
      <c r="M55" s="11" t="s">
        <v>1748</v>
      </c>
      <c r="N55" t="s">
        <v>7</v>
      </c>
      <c r="O55" t="s">
        <v>10</v>
      </c>
      <c r="P55">
        <v>-38.576650000000001</v>
      </c>
      <c r="Q55">
        <v>145.50556</v>
      </c>
      <c r="R55" t="s">
        <v>588</v>
      </c>
      <c r="S55" t="s">
        <v>588</v>
      </c>
      <c r="T55">
        <v>2</v>
      </c>
      <c r="U55">
        <v>3</v>
      </c>
      <c r="V55" t="s">
        <v>588</v>
      </c>
      <c r="W55" t="s">
        <v>588</v>
      </c>
      <c r="X55">
        <v>6</v>
      </c>
      <c r="Y55">
        <v>6</v>
      </c>
      <c r="Z55" t="s">
        <v>41</v>
      </c>
      <c r="AA55" s="1">
        <v>42747</v>
      </c>
      <c r="AB55" s="11">
        <v>12</v>
      </c>
      <c r="AC55" s="11">
        <v>1</v>
      </c>
      <c r="AD55" s="11">
        <v>2017</v>
      </c>
      <c r="AE55" s="13" t="s">
        <v>1799</v>
      </c>
      <c r="AF55" t="s">
        <v>12</v>
      </c>
      <c r="AG55" s="1">
        <v>42751</v>
      </c>
      <c r="AH55" s="11">
        <v>16</v>
      </c>
      <c r="AI55" s="11">
        <v>1</v>
      </c>
      <c r="AJ55" s="11">
        <v>2017</v>
      </c>
      <c r="AK55" s="13" t="s">
        <v>1750</v>
      </c>
      <c r="AL55" t="s">
        <v>12</v>
      </c>
      <c r="AM55" s="1" t="s">
        <v>20</v>
      </c>
      <c r="AN55" t="s">
        <v>8</v>
      </c>
      <c r="AO55" t="s">
        <v>11</v>
      </c>
      <c r="AP55" t="s">
        <v>588</v>
      </c>
      <c r="AQ55" s="1" t="s">
        <v>588</v>
      </c>
      <c r="AR55" t="s">
        <v>588</v>
      </c>
      <c r="AS55" s="1" t="s">
        <v>588</v>
      </c>
      <c r="AT55" t="s">
        <v>588</v>
      </c>
      <c r="AU55" s="1" t="s">
        <v>588</v>
      </c>
      <c r="AV55" t="s">
        <v>588</v>
      </c>
      <c r="AW55" s="1" t="s">
        <v>588</v>
      </c>
      <c r="AX55" t="s">
        <v>588</v>
      </c>
      <c r="AY55" s="1" t="s">
        <v>588</v>
      </c>
      <c r="AZ55" t="s">
        <v>588</v>
      </c>
      <c r="BA55" s="1" t="s">
        <v>588</v>
      </c>
      <c r="BB55" t="s">
        <v>588</v>
      </c>
      <c r="BC55" s="1" t="s">
        <v>588</v>
      </c>
      <c r="BD55" t="s">
        <v>588</v>
      </c>
      <c r="BE55" s="1" t="s">
        <v>588</v>
      </c>
      <c r="BF55" t="s">
        <v>588</v>
      </c>
      <c r="BG55" s="1" t="s">
        <v>588</v>
      </c>
      <c r="BH55" t="s">
        <v>588</v>
      </c>
      <c r="BI55" s="1" t="s">
        <v>588</v>
      </c>
      <c r="BJ55" t="s">
        <v>588</v>
      </c>
      <c r="BK55" s="1" t="s">
        <v>588</v>
      </c>
      <c r="BL55" t="s">
        <v>588</v>
      </c>
      <c r="BM55" s="1" t="s">
        <v>588</v>
      </c>
      <c r="BN55" t="s">
        <v>588</v>
      </c>
      <c r="BO55" s="1" t="s">
        <v>588</v>
      </c>
      <c r="BP55" t="s">
        <v>588</v>
      </c>
      <c r="BQ55" s="1" t="s">
        <v>588</v>
      </c>
      <c r="BR55" t="s">
        <v>588</v>
      </c>
      <c r="BS55" t="s">
        <v>8</v>
      </c>
      <c r="BT55" t="s">
        <v>120</v>
      </c>
      <c r="BU55" t="s">
        <v>120</v>
      </c>
      <c r="BV55" t="s">
        <v>588</v>
      </c>
      <c r="BW55" t="s">
        <v>588</v>
      </c>
      <c r="BX55" t="s">
        <v>588</v>
      </c>
      <c r="BY55" t="s">
        <v>588</v>
      </c>
      <c r="BZ55" t="s">
        <v>588</v>
      </c>
    </row>
    <row r="56" spans="1:78" x14ac:dyDescent="0.25">
      <c r="A56">
        <v>201617</v>
      </c>
      <c r="B56" t="s">
        <v>553</v>
      </c>
      <c r="C56" t="s">
        <v>553</v>
      </c>
      <c r="D56" t="s">
        <v>482</v>
      </c>
      <c r="E56" t="s">
        <v>16</v>
      </c>
      <c r="F56">
        <v>2</v>
      </c>
      <c r="G56" t="s">
        <v>1678</v>
      </c>
      <c r="H56" s="11" t="s">
        <v>1678</v>
      </c>
      <c r="I56" s="1">
        <v>42762</v>
      </c>
      <c r="J56" s="11">
        <v>27</v>
      </c>
      <c r="K56" s="11">
        <v>1</v>
      </c>
      <c r="L56" s="11">
        <v>2017</v>
      </c>
      <c r="M56" s="11" t="s">
        <v>1736</v>
      </c>
      <c r="N56" t="s">
        <v>12</v>
      </c>
      <c r="O56" t="s">
        <v>10</v>
      </c>
      <c r="P56">
        <v>-38.575659999999999</v>
      </c>
      <c r="Q56">
        <v>145.50484</v>
      </c>
      <c r="R56" t="s">
        <v>588</v>
      </c>
      <c r="S56" t="s">
        <v>588</v>
      </c>
      <c r="T56">
        <v>3</v>
      </c>
      <c r="U56">
        <v>3</v>
      </c>
      <c r="V56" s="1">
        <v>42764</v>
      </c>
      <c r="W56" t="s">
        <v>223</v>
      </c>
      <c r="X56">
        <v>3</v>
      </c>
      <c r="Y56">
        <v>3</v>
      </c>
      <c r="Z56" t="s">
        <v>8</v>
      </c>
      <c r="AA56" s="1">
        <v>42774</v>
      </c>
      <c r="AB56" s="11">
        <v>8</v>
      </c>
      <c r="AC56" s="11">
        <v>2</v>
      </c>
      <c r="AD56" s="11">
        <v>2017</v>
      </c>
      <c r="AE56" s="13" t="s">
        <v>1724</v>
      </c>
      <c r="AF56" t="s">
        <v>21</v>
      </c>
      <c r="AG56" t="s">
        <v>588</v>
      </c>
      <c r="AH56" s="11" t="s">
        <v>588</v>
      </c>
      <c r="AI56" s="11" t="s">
        <v>588</v>
      </c>
      <c r="AJ56" s="11" t="s">
        <v>588</v>
      </c>
      <c r="AK56" s="13" t="s">
        <v>588</v>
      </c>
      <c r="AL56" t="s">
        <v>588</v>
      </c>
      <c r="AM56" t="s">
        <v>588</v>
      </c>
      <c r="AN56" t="s">
        <v>588</v>
      </c>
      <c r="AO56" t="s">
        <v>588</v>
      </c>
      <c r="AP56" s="1">
        <v>42795</v>
      </c>
      <c r="AQ56" t="s">
        <v>22</v>
      </c>
      <c r="AR56" t="s">
        <v>195</v>
      </c>
      <c r="AS56">
        <v>2</v>
      </c>
      <c r="AT56">
        <v>3</v>
      </c>
      <c r="AU56" s="1" t="s">
        <v>588</v>
      </c>
      <c r="AV56" t="s">
        <v>588</v>
      </c>
      <c r="AW56" s="1" t="s">
        <v>588</v>
      </c>
      <c r="AX56" t="s">
        <v>588</v>
      </c>
      <c r="AY56" s="1" t="s">
        <v>588</v>
      </c>
      <c r="AZ56" t="s">
        <v>588</v>
      </c>
      <c r="BA56" s="1" t="s">
        <v>588</v>
      </c>
      <c r="BB56" t="s">
        <v>588</v>
      </c>
      <c r="BC56" s="1" t="s">
        <v>588</v>
      </c>
      <c r="BD56" t="s">
        <v>588</v>
      </c>
      <c r="BE56" s="1" t="s">
        <v>588</v>
      </c>
      <c r="BF56" t="s">
        <v>588</v>
      </c>
      <c r="BG56" s="1" t="s">
        <v>588</v>
      </c>
      <c r="BH56" t="s">
        <v>588</v>
      </c>
      <c r="BI56" s="1" t="s">
        <v>588</v>
      </c>
      <c r="BJ56" t="s">
        <v>588</v>
      </c>
      <c r="BK56" s="1" t="s">
        <v>588</v>
      </c>
      <c r="BL56" t="s">
        <v>588</v>
      </c>
      <c r="BM56">
        <v>5</v>
      </c>
      <c r="BN56">
        <v>5</v>
      </c>
      <c r="BO56" t="s">
        <v>8</v>
      </c>
      <c r="BP56">
        <v>2</v>
      </c>
      <c r="BQ56" s="1">
        <v>42825</v>
      </c>
      <c r="BR56" t="s">
        <v>22</v>
      </c>
      <c r="BS56" t="s">
        <v>8</v>
      </c>
      <c r="BT56" t="s">
        <v>120</v>
      </c>
      <c r="BU56" t="s">
        <v>120</v>
      </c>
      <c r="BV56" t="s">
        <v>8</v>
      </c>
      <c r="BW56" t="s">
        <v>120</v>
      </c>
      <c r="BX56" t="s">
        <v>120</v>
      </c>
      <c r="BY56" t="s">
        <v>588</v>
      </c>
      <c r="BZ56" t="s">
        <v>588</v>
      </c>
    </row>
    <row r="57" spans="1:78" x14ac:dyDescent="0.25">
      <c r="A57">
        <v>201617</v>
      </c>
      <c r="B57" t="s">
        <v>1619</v>
      </c>
      <c r="C57" t="s">
        <v>320</v>
      </c>
      <c r="D57" t="s">
        <v>321</v>
      </c>
      <c r="E57" t="s">
        <v>20</v>
      </c>
      <c r="F57">
        <v>2</v>
      </c>
      <c r="G57" t="s">
        <v>1681</v>
      </c>
      <c r="H57" s="11" t="s">
        <v>1802</v>
      </c>
      <c r="I57" s="1">
        <v>42657</v>
      </c>
      <c r="J57" s="11">
        <v>14</v>
      </c>
      <c r="K57" s="11">
        <v>10</v>
      </c>
      <c r="L57" s="11">
        <v>2016</v>
      </c>
      <c r="M57" s="11" t="s">
        <v>1764</v>
      </c>
      <c r="N57" t="s">
        <v>29</v>
      </c>
      <c r="O57" t="s">
        <v>36</v>
      </c>
      <c r="P57">
        <v>-38.570909999999998</v>
      </c>
      <c r="Q57">
        <v>145.50086999999999</v>
      </c>
      <c r="R57" t="s">
        <v>588</v>
      </c>
      <c r="S57" t="s">
        <v>588</v>
      </c>
      <c r="T57">
        <v>1</v>
      </c>
      <c r="U57">
        <v>3</v>
      </c>
      <c r="V57" t="s">
        <v>588</v>
      </c>
      <c r="W57" t="s">
        <v>588</v>
      </c>
      <c r="X57">
        <v>2</v>
      </c>
      <c r="Y57">
        <v>2</v>
      </c>
      <c r="Z57" t="s">
        <v>41</v>
      </c>
      <c r="AA57" s="1">
        <v>42657</v>
      </c>
      <c r="AB57" s="11">
        <v>14</v>
      </c>
      <c r="AC57" s="11">
        <v>10</v>
      </c>
      <c r="AD57" s="11">
        <v>2016</v>
      </c>
      <c r="AE57" s="13" t="s">
        <v>1764</v>
      </c>
      <c r="AF57" t="s">
        <v>29</v>
      </c>
      <c r="AG57" s="1">
        <v>42667</v>
      </c>
      <c r="AH57" s="11">
        <v>24</v>
      </c>
      <c r="AI57" s="11">
        <v>10</v>
      </c>
      <c r="AJ57" s="11">
        <v>2016</v>
      </c>
      <c r="AK57" s="13" t="s">
        <v>1753</v>
      </c>
      <c r="AL57" t="s">
        <v>29</v>
      </c>
      <c r="AM57" t="s">
        <v>20</v>
      </c>
      <c r="AN57" t="s">
        <v>41</v>
      </c>
      <c r="AO57" t="s">
        <v>20</v>
      </c>
      <c r="AP57" t="s">
        <v>588</v>
      </c>
      <c r="AQ57" s="1" t="s">
        <v>588</v>
      </c>
      <c r="AR57" t="s">
        <v>588</v>
      </c>
      <c r="AS57" s="1" t="s">
        <v>588</v>
      </c>
      <c r="AT57" t="s">
        <v>588</v>
      </c>
      <c r="AU57" s="1" t="s">
        <v>588</v>
      </c>
      <c r="AV57" t="s">
        <v>588</v>
      </c>
      <c r="AW57" s="1" t="s">
        <v>588</v>
      </c>
      <c r="AX57" t="s">
        <v>588</v>
      </c>
      <c r="AY57" s="1" t="s">
        <v>588</v>
      </c>
      <c r="AZ57" t="s">
        <v>588</v>
      </c>
      <c r="BA57" s="1" t="s">
        <v>588</v>
      </c>
      <c r="BB57" t="s">
        <v>588</v>
      </c>
      <c r="BC57" s="1" t="s">
        <v>588</v>
      </c>
      <c r="BD57" t="s">
        <v>588</v>
      </c>
      <c r="BE57" s="1" t="s">
        <v>588</v>
      </c>
      <c r="BF57" t="s">
        <v>588</v>
      </c>
      <c r="BG57" s="1" t="s">
        <v>588</v>
      </c>
      <c r="BH57" t="s">
        <v>588</v>
      </c>
      <c r="BI57" s="1" t="s">
        <v>588</v>
      </c>
      <c r="BJ57" t="s">
        <v>588</v>
      </c>
      <c r="BK57" s="1" t="s">
        <v>588</v>
      </c>
      <c r="BL57" t="s">
        <v>588</v>
      </c>
      <c r="BM57" s="1" t="s">
        <v>588</v>
      </c>
      <c r="BN57" t="s">
        <v>588</v>
      </c>
      <c r="BO57" s="1" t="s">
        <v>588</v>
      </c>
      <c r="BP57" t="s">
        <v>588</v>
      </c>
      <c r="BQ57" s="1" t="s">
        <v>588</v>
      </c>
      <c r="BR57" t="s">
        <v>588</v>
      </c>
      <c r="BS57" t="s">
        <v>8</v>
      </c>
      <c r="BT57" t="s">
        <v>123</v>
      </c>
      <c r="BU57" t="s">
        <v>123</v>
      </c>
      <c r="BV57" t="s">
        <v>588</v>
      </c>
      <c r="BW57" t="s">
        <v>588</v>
      </c>
      <c r="BX57" t="s">
        <v>588</v>
      </c>
      <c r="BY57" t="s">
        <v>588</v>
      </c>
      <c r="BZ57" t="s">
        <v>588</v>
      </c>
    </row>
    <row r="58" spans="1:78" x14ac:dyDescent="0.25">
      <c r="A58">
        <v>201617</v>
      </c>
      <c r="B58" t="s">
        <v>1619</v>
      </c>
      <c r="C58" t="s">
        <v>320</v>
      </c>
      <c r="D58" t="s">
        <v>321</v>
      </c>
      <c r="E58" t="s">
        <v>20</v>
      </c>
      <c r="F58">
        <v>4</v>
      </c>
      <c r="G58" t="s">
        <v>1682</v>
      </c>
      <c r="H58" s="11" t="s">
        <v>1803</v>
      </c>
      <c r="I58" s="1">
        <v>42716</v>
      </c>
      <c r="J58" s="11">
        <v>12</v>
      </c>
      <c r="K58" s="11">
        <v>12</v>
      </c>
      <c r="L58" s="11">
        <v>2016</v>
      </c>
      <c r="M58" s="11" t="s">
        <v>1748</v>
      </c>
      <c r="N58" t="s">
        <v>7</v>
      </c>
      <c r="O58" t="s">
        <v>51</v>
      </c>
      <c r="P58">
        <v>-38.569510000000001</v>
      </c>
      <c r="Q58">
        <v>145.49932999999999</v>
      </c>
      <c r="R58" t="s">
        <v>588</v>
      </c>
      <c r="S58" t="s">
        <v>588</v>
      </c>
      <c r="T58">
        <v>3</v>
      </c>
      <c r="U58">
        <v>3</v>
      </c>
      <c r="V58" s="1">
        <v>42718</v>
      </c>
      <c r="W58" t="s">
        <v>223</v>
      </c>
      <c r="X58">
        <v>3</v>
      </c>
      <c r="Y58">
        <v>3</v>
      </c>
      <c r="Z58" t="s">
        <v>41</v>
      </c>
      <c r="AA58" s="1">
        <v>42727</v>
      </c>
      <c r="AB58" s="11">
        <v>23</v>
      </c>
      <c r="AC58" s="11">
        <v>12</v>
      </c>
      <c r="AD58" s="11">
        <v>2016</v>
      </c>
      <c r="AE58" s="13" t="s">
        <v>1755</v>
      </c>
      <c r="AF58" t="s">
        <v>7</v>
      </c>
      <c r="AG58" s="1">
        <v>42738</v>
      </c>
      <c r="AH58" s="11">
        <v>3</v>
      </c>
      <c r="AI58" s="11">
        <v>1</v>
      </c>
      <c r="AJ58" s="11">
        <v>2017</v>
      </c>
      <c r="AK58" s="13" t="s">
        <v>1749</v>
      </c>
      <c r="AL58" t="s">
        <v>12</v>
      </c>
      <c r="AM58" t="s">
        <v>20</v>
      </c>
      <c r="AN58" t="s">
        <v>8</v>
      </c>
      <c r="AO58" t="s">
        <v>32</v>
      </c>
      <c r="AP58" t="s">
        <v>588</v>
      </c>
      <c r="AQ58" s="1" t="s">
        <v>588</v>
      </c>
      <c r="AR58" t="s">
        <v>588</v>
      </c>
      <c r="AS58" s="1" t="s">
        <v>588</v>
      </c>
      <c r="AT58" t="s">
        <v>588</v>
      </c>
      <c r="AU58" s="1" t="s">
        <v>588</v>
      </c>
      <c r="AV58" t="s">
        <v>588</v>
      </c>
      <c r="AW58" s="1" t="s">
        <v>588</v>
      </c>
      <c r="AX58" t="s">
        <v>588</v>
      </c>
      <c r="AY58" s="1" t="s">
        <v>588</v>
      </c>
      <c r="AZ58" t="s">
        <v>588</v>
      </c>
      <c r="BA58" s="1" t="s">
        <v>588</v>
      </c>
      <c r="BB58" t="s">
        <v>588</v>
      </c>
      <c r="BC58" s="1" t="s">
        <v>588</v>
      </c>
      <c r="BD58" t="s">
        <v>588</v>
      </c>
      <c r="BE58" s="1" t="s">
        <v>588</v>
      </c>
      <c r="BF58" t="s">
        <v>588</v>
      </c>
      <c r="BG58" s="1" t="s">
        <v>588</v>
      </c>
      <c r="BH58" t="s">
        <v>588</v>
      </c>
      <c r="BI58" s="1" t="s">
        <v>588</v>
      </c>
      <c r="BJ58" t="s">
        <v>588</v>
      </c>
      <c r="BK58" s="1" t="s">
        <v>588</v>
      </c>
      <c r="BL58" t="s">
        <v>588</v>
      </c>
      <c r="BM58" s="1" t="s">
        <v>588</v>
      </c>
      <c r="BN58" t="s">
        <v>588</v>
      </c>
      <c r="BO58" s="1" t="s">
        <v>588</v>
      </c>
      <c r="BP58" t="s">
        <v>588</v>
      </c>
      <c r="BQ58" s="1" t="s">
        <v>588</v>
      </c>
      <c r="BR58" t="s">
        <v>588</v>
      </c>
      <c r="BS58" t="s">
        <v>8</v>
      </c>
      <c r="BT58" t="s">
        <v>123</v>
      </c>
      <c r="BU58" t="s">
        <v>123</v>
      </c>
      <c r="BV58" t="s">
        <v>588</v>
      </c>
      <c r="BW58" t="s">
        <v>588</v>
      </c>
      <c r="BX58" t="s">
        <v>588</v>
      </c>
      <c r="BY58" t="s">
        <v>588</v>
      </c>
      <c r="BZ58" t="s">
        <v>588</v>
      </c>
    </row>
    <row r="59" spans="1:78" x14ac:dyDescent="0.25">
      <c r="A59">
        <v>201617</v>
      </c>
      <c r="B59" t="s">
        <v>1619</v>
      </c>
      <c r="C59" t="s">
        <v>320</v>
      </c>
      <c r="D59" t="s">
        <v>321</v>
      </c>
      <c r="E59" t="s">
        <v>302</v>
      </c>
      <c r="F59">
        <v>5</v>
      </c>
      <c r="G59" t="s">
        <v>1683</v>
      </c>
      <c r="H59" s="11" t="s">
        <v>1804</v>
      </c>
      <c r="I59" s="1">
        <v>42744</v>
      </c>
      <c r="J59" s="11">
        <v>9</v>
      </c>
      <c r="K59" s="11">
        <v>1</v>
      </c>
      <c r="L59" s="11">
        <v>2017</v>
      </c>
      <c r="M59" s="11" t="s">
        <v>1786</v>
      </c>
      <c r="N59" t="s">
        <v>12</v>
      </c>
      <c r="O59" t="s">
        <v>10</v>
      </c>
      <c r="P59">
        <v>-38.569989999999997</v>
      </c>
      <c r="Q59">
        <v>145.49955</v>
      </c>
      <c r="R59" t="s">
        <v>588</v>
      </c>
      <c r="S59" t="s">
        <v>588</v>
      </c>
      <c r="T59">
        <v>2</v>
      </c>
      <c r="U59">
        <v>3</v>
      </c>
      <c r="V59" t="s">
        <v>588</v>
      </c>
      <c r="W59" t="s">
        <v>588</v>
      </c>
      <c r="X59">
        <v>2</v>
      </c>
      <c r="Y59">
        <v>2</v>
      </c>
      <c r="Z59" t="s">
        <v>41</v>
      </c>
      <c r="AA59" s="1">
        <v>42744</v>
      </c>
      <c r="AB59" s="11">
        <v>9</v>
      </c>
      <c r="AC59" s="11">
        <v>1</v>
      </c>
      <c r="AD59" s="11">
        <v>2017</v>
      </c>
      <c r="AE59" s="13" t="s">
        <v>1786</v>
      </c>
      <c r="AF59" t="s">
        <v>12</v>
      </c>
      <c r="AG59" s="1">
        <v>42751</v>
      </c>
      <c r="AH59" s="11">
        <v>16</v>
      </c>
      <c r="AI59" s="11">
        <v>1</v>
      </c>
      <c r="AJ59" s="11">
        <v>2017</v>
      </c>
      <c r="AK59" s="13" t="s">
        <v>1750</v>
      </c>
      <c r="AL59" t="s">
        <v>12</v>
      </c>
      <c r="AM59" t="s">
        <v>20</v>
      </c>
      <c r="AN59" t="s">
        <v>8</v>
      </c>
      <c r="AO59" t="s">
        <v>11</v>
      </c>
      <c r="AP59" t="s">
        <v>588</v>
      </c>
      <c r="AQ59" s="1" t="s">
        <v>588</v>
      </c>
      <c r="AR59" t="s">
        <v>588</v>
      </c>
      <c r="AS59" s="1" t="s">
        <v>588</v>
      </c>
      <c r="AT59" t="s">
        <v>588</v>
      </c>
      <c r="AU59" s="1" t="s">
        <v>588</v>
      </c>
      <c r="AV59" t="s">
        <v>588</v>
      </c>
      <c r="AW59" s="1" t="s">
        <v>588</v>
      </c>
      <c r="AX59" t="s">
        <v>588</v>
      </c>
      <c r="AY59" s="1" t="s">
        <v>588</v>
      </c>
      <c r="AZ59" t="s">
        <v>588</v>
      </c>
      <c r="BA59" s="1" t="s">
        <v>588</v>
      </c>
      <c r="BB59" t="s">
        <v>588</v>
      </c>
      <c r="BC59" s="1" t="s">
        <v>588</v>
      </c>
      <c r="BD59" t="s">
        <v>588</v>
      </c>
      <c r="BE59" s="1" t="s">
        <v>588</v>
      </c>
      <c r="BF59" t="s">
        <v>588</v>
      </c>
      <c r="BG59" s="1" t="s">
        <v>588</v>
      </c>
      <c r="BH59" t="s">
        <v>588</v>
      </c>
      <c r="BI59" s="1" t="s">
        <v>588</v>
      </c>
      <c r="BJ59" t="s">
        <v>588</v>
      </c>
      <c r="BK59" s="1" t="s">
        <v>588</v>
      </c>
      <c r="BL59" t="s">
        <v>588</v>
      </c>
      <c r="BM59" s="1" t="s">
        <v>588</v>
      </c>
      <c r="BN59" t="s">
        <v>588</v>
      </c>
      <c r="BO59" s="1" t="s">
        <v>588</v>
      </c>
      <c r="BP59" t="s">
        <v>588</v>
      </c>
      <c r="BQ59" s="1" t="s">
        <v>588</v>
      </c>
      <c r="BR59" t="s">
        <v>588</v>
      </c>
      <c r="BS59" t="s">
        <v>8</v>
      </c>
      <c r="BT59" t="s">
        <v>120</v>
      </c>
      <c r="BU59" t="s">
        <v>120</v>
      </c>
      <c r="BV59" t="s">
        <v>588</v>
      </c>
      <c r="BW59" t="s">
        <v>588</v>
      </c>
      <c r="BX59" t="s">
        <v>588</v>
      </c>
      <c r="BY59" t="s">
        <v>588</v>
      </c>
      <c r="BZ59" t="s">
        <v>588</v>
      </c>
    </row>
    <row r="60" spans="1:78" x14ac:dyDescent="0.25">
      <c r="A60">
        <v>201617</v>
      </c>
      <c r="B60" t="s">
        <v>1619</v>
      </c>
      <c r="C60" t="s">
        <v>320</v>
      </c>
      <c r="D60" t="s">
        <v>321</v>
      </c>
      <c r="E60" t="s">
        <v>302</v>
      </c>
      <c r="F60">
        <v>6</v>
      </c>
      <c r="G60" t="s">
        <v>1684</v>
      </c>
      <c r="H60" s="11" t="s">
        <v>1805</v>
      </c>
      <c r="I60" s="1">
        <v>42762</v>
      </c>
      <c r="J60" s="11">
        <v>27</v>
      </c>
      <c r="K60" s="11">
        <v>1</v>
      </c>
      <c r="L60" s="11">
        <v>2017</v>
      </c>
      <c r="M60" s="11" t="s">
        <v>1736</v>
      </c>
      <c r="N60" t="s">
        <v>12</v>
      </c>
      <c r="O60" t="s">
        <v>36</v>
      </c>
      <c r="P60">
        <v>-38.571269999999998</v>
      </c>
      <c r="Q60">
        <v>145.50115</v>
      </c>
      <c r="R60" t="s">
        <v>588</v>
      </c>
      <c r="S60" t="s">
        <v>588</v>
      </c>
      <c r="T60">
        <v>3</v>
      </c>
      <c r="U60">
        <v>3</v>
      </c>
      <c r="V60" s="1">
        <v>42764</v>
      </c>
      <c r="W60" t="s">
        <v>223</v>
      </c>
      <c r="X60">
        <v>3</v>
      </c>
      <c r="Y60">
        <v>3</v>
      </c>
      <c r="Z60" t="s">
        <v>41</v>
      </c>
      <c r="AA60" s="1">
        <v>42769</v>
      </c>
      <c r="AB60" s="11">
        <v>3</v>
      </c>
      <c r="AC60" s="11">
        <v>2</v>
      </c>
      <c r="AD60" s="11">
        <v>2017</v>
      </c>
      <c r="AE60" s="13" t="s">
        <v>1726</v>
      </c>
      <c r="AF60" t="s">
        <v>21</v>
      </c>
      <c r="AG60" s="1">
        <v>42774</v>
      </c>
      <c r="AH60" s="11">
        <v>8</v>
      </c>
      <c r="AI60" s="11">
        <v>2</v>
      </c>
      <c r="AJ60" s="11">
        <v>2017</v>
      </c>
      <c r="AK60" s="13" t="s">
        <v>1724</v>
      </c>
      <c r="AL60" t="s">
        <v>21</v>
      </c>
      <c r="AM60" t="s">
        <v>20</v>
      </c>
      <c r="AN60" t="s">
        <v>8</v>
      </c>
      <c r="AO60" t="s">
        <v>32</v>
      </c>
      <c r="AP60" t="s">
        <v>588</v>
      </c>
      <c r="AQ60" s="1" t="s">
        <v>588</v>
      </c>
      <c r="AR60" t="s">
        <v>588</v>
      </c>
      <c r="AS60" s="1" t="s">
        <v>588</v>
      </c>
      <c r="AT60" t="s">
        <v>588</v>
      </c>
      <c r="AU60" s="1" t="s">
        <v>588</v>
      </c>
      <c r="AV60" t="s">
        <v>588</v>
      </c>
      <c r="AW60" s="1" t="s">
        <v>588</v>
      </c>
      <c r="AX60" t="s">
        <v>588</v>
      </c>
      <c r="AY60" s="1" t="s">
        <v>588</v>
      </c>
      <c r="AZ60" t="s">
        <v>588</v>
      </c>
      <c r="BA60" s="1" t="s">
        <v>588</v>
      </c>
      <c r="BB60" t="s">
        <v>588</v>
      </c>
      <c r="BC60" s="1" t="s">
        <v>588</v>
      </c>
      <c r="BD60" t="s">
        <v>588</v>
      </c>
      <c r="BE60" s="1" t="s">
        <v>588</v>
      </c>
      <c r="BF60" t="s">
        <v>588</v>
      </c>
      <c r="BG60" s="1" t="s">
        <v>588</v>
      </c>
      <c r="BH60" t="s">
        <v>588</v>
      </c>
      <c r="BI60" s="1" t="s">
        <v>588</v>
      </c>
      <c r="BJ60" t="s">
        <v>588</v>
      </c>
      <c r="BK60" s="1" t="s">
        <v>588</v>
      </c>
      <c r="BL60" t="s">
        <v>588</v>
      </c>
      <c r="BM60" s="1" t="s">
        <v>588</v>
      </c>
      <c r="BN60" t="s">
        <v>588</v>
      </c>
      <c r="BO60" s="1" t="s">
        <v>588</v>
      </c>
      <c r="BP60" t="s">
        <v>588</v>
      </c>
      <c r="BQ60" s="1" t="s">
        <v>588</v>
      </c>
      <c r="BR60" t="s">
        <v>588</v>
      </c>
      <c r="BS60" t="s">
        <v>8</v>
      </c>
      <c r="BT60" t="s">
        <v>123</v>
      </c>
      <c r="BU60" t="s">
        <v>123</v>
      </c>
      <c r="BV60" t="s">
        <v>588</v>
      </c>
      <c r="BW60" t="s">
        <v>588</v>
      </c>
      <c r="BX60" t="s">
        <v>588</v>
      </c>
      <c r="BY60" t="s">
        <v>588</v>
      </c>
      <c r="BZ60" t="s">
        <v>588</v>
      </c>
    </row>
    <row r="61" spans="1:78" x14ac:dyDescent="0.25">
      <c r="A61">
        <v>201617</v>
      </c>
      <c r="B61" t="s">
        <v>1619</v>
      </c>
      <c r="C61" t="s">
        <v>320</v>
      </c>
      <c r="D61" t="s">
        <v>321</v>
      </c>
      <c r="E61" t="s">
        <v>20</v>
      </c>
      <c r="F61">
        <v>7</v>
      </c>
      <c r="G61" t="s">
        <v>1685</v>
      </c>
      <c r="H61" s="11" t="s">
        <v>1806</v>
      </c>
      <c r="I61" s="1">
        <v>42781</v>
      </c>
      <c r="J61" s="11">
        <v>15</v>
      </c>
      <c r="K61" s="11">
        <v>2</v>
      </c>
      <c r="L61" s="11">
        <v>2017</v>
      </c>
      <c r="M61" s="11" t="s">
        <v>1768</v>
      </c>
      <c r="N61" t="s">
        <v>21</v>
      </c>
      <c r="O61" t="s">
        <v>10</v>
      </c>
      <c r="P61">
        <v>-38.569949999999999</v>
      </c>
      <c r="Q61">
        <v>145.49959000000001</v>
      </c>
      <c r="R61" t="s">
        <v>588</v>
      </c>
      <c r="S61" t="s">
        <v>588</v>
      </c>
      <c r="T61">
        <v>3</v>
      </c>
      <c r="U61">
        <v>3</v>
      </c>
      <c r="V61" s="1">
        <v>42754</v>
      </c>
      <c r="W61" t="s">
        <v>223</v>
      </c>
      <c r="X61">
        <v>3</v>
      </c>
      <c r="Y61">
        <v>3</v>
      </c>
      <c r="Z61" t="s">
        <v>8</v>
      </c>
      <c r="AA61" s="1">
        <v>42803</v>
      </c>
      <c r="AB61" s="11">
        <v>9</v>
      </c>
      <c r="AC61" s="11">
        <v>3</v>
      </c>
      <c r="AD61" s="11">
        <v>2017</v>
      </c>
      <c r="AE61" s="13" t="s">
        <v>1807</v>
      </c>
      <c r="AF61" t="s">
        <v>22</v>
      </c>
      <c r="AG61" t="s">
        <v>588</v>
      </c>
      <c r="AH61" s="11" t="s">
        <v>588</v>
      </c>
      <c r="AI61" s="11" t="s">
        <v>588</v>
      </c>
      <c r="AJ61" s="11" t="s">
        <v>588</v>
      </c>
      <c r="AK61" s="13" t="s">
        <v>588</v>
      </c>
      <c r="AL61" t="s">
        <v>588</v>
      </c>
      <c r="AM61" t="s">
        <v>588</v>
      </c>
      <c r="AN61" t="s">
        <v>588</v>
      </c>
      <c r="AO61" t="s">
        <v>588</v>
      </c>
      <c r="AP61" s="1">
        <v>42814</v>
      </c>
      <c r="AQ61" t="s">
        <v>22</v>
      </c>
      <c r="AR61" t="s">
        <v>195</v>
      </c>
      <c r="AS61">
        <v>3</v>
      </c>
      <c r="AT61">
        <v>3</v>
      </c>
      <c r="AU61" s="1">
        <v>42814</v>
      </c>
      <c r="AV61" s="1">
        <v>42825</v>
      </c>
      <c r="AW61" t="s">
        <v>22</v>
      </c>
      <c r="AX61" t="s">
        <v>20</v>
      </c>
      <c r="AY61" t="s">
        <v>41</v>
      </c>
      <c r="AZ61" t="s">
        <v>20</v>
      </c>
      <c r="BA61" s="1">
        <v>42825</v>
      </c>
      <c r="BB61" s="1">
        <v>42836</v>
      </c>
      <c r="BC61" t="s">
        <v>72</v>
      </c>
      <c r="BD61" t="s">
        <v>20</v>
      </c>
      <c r="BE61" t="s">
        <v>41</v>
      </c>
      <c r="BF61" t="s">
        <v>20</v>
      </c>
      <c r="BG61" s="1" t="s">
        <v>588</v>
      </c>
      <c r="BH61" t="s">
        <v>588</v>
      </c>
      <c r="BI61" s="1" t="s">
        <v>588</v>
      </c>
      <c r="BJ61" t="s">
        <v>588</v>
      </c>
      <c r="BK61" s="1" t="s">
        <v>588</v>
      </c>
      <c r="BL61" t="s">
        <v>588</v>
      </c>
      <c r="BM61">
        <v>4</v>
      </c>
      <c r="BN61">
        <v>4</v>
      </c>
      <c r="BO61" t="s">
        <v>8</v>
      </c>
      <c r="BP61">
        <v>1</v>
      </c>
      <c r="BQ61" s="1">
        <v>42844</v>
      </c>
      <c r="BR61" t="s">
        <v>72</v>
      </c>
      <c r="BS61" t="s">
        <v>8</v>
      </c>
      <c r="BT61" t="s">
        <v>120</v>
      </c>
      <c r="BU61" t="s">
        <v>120</v>
      </c>
      <c r="BV61" t="s">
        <v>8</v>
      </c>
      <c r="BW61" t="s">
        <v>120</v>
      </c>
      <c r="BX61" t="s">
        <v>120</v>
      </c>
      <c r="BY61" t="s">
        <v>588</v>
      </c>
      <c r="BZ61" t="s">
        <v>588</v>
      </c>
    </row>
    <row r="62" spans="1:78" x14ac:dyDescent="0.25">
      <c r="A62">
        <v>201617</v>
      </c>
      <c r="B62" t="s">
        <v>582</v>
      </c>
      <c r="C62" t="s">
        <v>582</v>
      </c>
      <c r="D62" t="s">
        <v>567</v>
      </c>
      <c r="E62" t="s">
        <v>16</v>
      </c>
      <c r="F62">
        <v>1</v>
      </c>
      <c r="G62" t="s">
        <v>1686</v>
      </c>
      <c r="H62" s="11" t="s">
        <v>1686</v>
      </c>
      <c r="I62" s="1">
        <v>42657</v>
      </c>
      <c r="J62" s="11">
        <v>14</v>
      </c>
      <c r="K62" s="11">
        <v>10</v>
      </c>
      <c r="L62" s="11">
        <v>2016</v>
      </c>
      <c r="M62" s="11" t="s">
        <v>1764</v>
      </c>
      <c r="N62" t="s">
        <v>29</v>
      </c>
      <c r="O62" t="s">
        <v>10</v>
      </c>
      <c r="P62">
        <v>-38.566400000000002</v>
      </c>
      <c r="Q62">
        <v>145.49637999999999</v>
      </c>
      <c r="R62" t="s">
        <v>588</v>
      </c>
      <c r="S62" t="s">
        <v>588</v>
      </c>
      <c r="T62">
        <v>2</v>
      </c>
      <c r="U62">
        <v>3</v>
      </c>
      <c r="V62" t="s">
        <v>588</v>
      </c>
      <c r="W62" t="s">
        <v>588</v>
      </c>
      <c r="X62">
        <v>2</v>
      </c>
      <c r="Y62">
        <v>2</v>
      </c>
      <c r="Z62" t="s">
        <v>41</v>
      </c>
      <c r="AA62" s="1">
        <v>42657</v>
      </c>
      <c r="AB62" s="11">
        <v>14</v>
      </c>
      <c r="AC62" s="11">
        <v>10</v>
      </c>
      <c r="AD62" s="11">
        <v>2016</v>
      </c>
      <c r="AE62" s="13" t="s">
        <v>1764</v>
      </c>
      <c r="AF62" t="s">
        <v>29</v>
      </c>
      <c r="AG62" s="1">
        <v>42667</v>
      </c>
      <c r="AH62" s="11">
        <v>24</v>
      </c>
      <c r="AI62" s="11">
        <v>10</v>
      </c>
      <c r="AJ62" s="11">
        <v>2016</v>
      </c>
      <c r="AK62" s="13" t="s">
        <v>1753</v>
      </c>
      <c r="AL62" t="s">
        <v>29</v>
      </c>
      <c r="AM62" t="s">
        <v>20</v>
      </c>
      <c r="AN62" t="s">
        <v>8</v>
      </c>
      <c r="AO62" t="s">
        <v>11</v>
      </c>
      <c r="AP62" t="s">
        <v>588</v>
      </c>
      <c r="AQ62" s="1" t="s">
        <v>588</v>
      </c>
      <c r="AR62" t="s">
        <v>588</v>
      </c>
      <c r="AS62" s="1" t="s">
        <v>588</v>
      </c>
      <c r="AT62" t="s">
        <v>588</v>
      </c>
      <c r="AU62" s="1" t="s">
        <v>588</v>
      </c>
      <c r="AV62" t="s">
        <v>588</v>
      </c>
      <c r="AW62" s="1" t="s">
        <v>588</v>
      </c>
      <c r="AX62" t="s">
        <v>588</v>
      </c>
      <c r="AY62" s="1" t="s">
        <v>588</v>
      </c>
      <c r="AZ62" t="s">
        <v>588</v>
      </c>
      <c r="BA62" s="1" t="s">
        <v>588</v>
      </c>
      <c r="BB62" t="s">
        <v>588</v>
      </c>
      <c r="BC62" s="1" t="s">
        <v>588</v>
      </c>
      <c r="BD62" t="s">
        <v>588</v>
      </c>
      <c r="BE62" s="1" t="s">
        <v>588</v>
      </c>
      <c r="BF62" t="s">
        <v>588</v>
      </c>
      <c r="BG62" s="1" t="s">
        <v>588</v>
      </c>
      <c r="BH62" t="s">
        <v>588</v>
      </c>
      <c r="BI62" s="1" t="s">
        <v>588</v>
      </c>
      <c r="BJ62" t="s">
        <v>588</v>
      </c>
      <c r="BK62" s="1" t="s">
        <v>588</v>
      </c>
      <c r="BL62" t="s">
        <v>588</v>
      </c>
      <c r="BM62" s="1" t="s">
        <v>588</v>
      </c>
      <c r="BN62" t="s">
        <v>588</v>
      </c>
      <c r="BO62" s="1" t="s">
        <v>588</v>
      </c>
      <c r="BP62" t="s">
        <v>588</v>
      </c>
      <c r="BQ62" s="1" t="s">
        <v>588</v>
      </c>
      <c r="BR62" t="s">
        <v>588</v>
      </c>
      <c r="BS62" t="s">
        <v>8</v>
      </c>
      <c r="BT62" t="s">
        <v>13</v>
      </c>
      <c r="BU62" t="s">
        <v>13</v>
      </c>
      <c r="BV62" t="s">
        <v>588</v>
      </c>
      <c r="BW62" t="s">
        <v>588</v>
      </c>
      <c r="BX62" t="s">
        <v>588</v>
      </c>
      <c r="BY62" t="s">
        <v>588</v>
      </c>
      <c r="BZ62" t="s">
        <v>588</v>
      </c>
    </row>
    <row r="63" spans="1:78" x14ac:dyDescent="0.25">
      <c r="A63">
        <v>201617</v>
      </c>
      <c r="B63" t="s">
        <v>582</v>
      </c>
      <c r="C63" t="s">
        <v>582</v>
      </c>
      <c r="D63" t="s">
        <v>567</v>
      </c>
      <c r="E63" t="s">
        <v>16</v>
      </c>
      <c r="F63">
        <v>2</v>
      </c>
      <c r="G63" t="s">
        <v>1687</v>
      </c>
      <c r="H63" s="11" t="s">
        <v>1687</v>
      </c>
      <c r="I63" s="1">
        <v>42667</v>
      </c>
      <c r="J63" s="11">
        <v>24</v>
      </c>
      <c r="K63" s="11">
        <v>10</v>
      </c>
      <c r="L63" s="11">
        <v>2016</v>
      </c>
      <c r="M63" s="11" t="s">
        <v>1753</v>
      </c>
      <c r="N63" t="s">
        <v>29</v>
      </c>
      <c r="O63" t="s">
        <v>10</v>
      </c>
      <c r="P63">
        <v>-38.567120000000003</v>
      </c>
      <c r="Q63">
        <v>145.49682000000001</v>
      </c>
      <c r="R63" t="s">
        <v>588</v>
      </c>
      <c r="S63" t="s">
        <v>588</v>
      </c>
      <c r="T63">
        <v>1</v>
      </c>
      <c r="U63">
        <v>3</v>
      </c>
      <c r="V63" t="s">
        <v>588</v>
      </c>
      <c r="W63" t="s">
        <v>588</v>
      </c>
      <c r="X63">
        <v>2</v>
      </c>
      <c r="Y63">
        <v>2</v>
      </c>
      <c r="Z63" t="s">
        <v>41</v>
      </c>
      <c r="AA63" s="1">
        <v>42667</v>
      </c>
      <c r="AB63" s="11">
        <v>24</v>
      </c>
      <c r="AC63" s="11">
        <v>10</v>
      </c>
      <c r="AD63" s="11">
        <v>2016</v>
      </c>
      <c r="AE63" s="13" t="s">
        <v>1753</v>
      </c>
      <c r="AF63" t="s">
        <v>29</v>
      </c>
      <c r="AG63" s="1">
        <v>42671</v>
      </c>
      <c r="AH63" s="11">
        <v>28</v>
      </c>
      <c r="AI63" s="11">
        <v>10</v>
      </c>
      <c r="AJ63" s="11">
        <v>2016</v>
      </c>
      <c r="AK63" s="13" t="s">
        <v>1754</v>
      </c>
      <c r="AL63" t="s">
        <v>29</v>
      </c>
      <c r="AM63" t="s">
        <v>20</v>
      </c>
      <c r="AN63" t="s">
        <v>41</v>
      </c>
      <c r="AO63" t="s">
        <v>20</v>
      </c>
      <c r="AP63" t="s">
        <v>588</v>
      </c>
      <c r="AQ63" s="1" t="s">
        <v>588</v>
      </c>
      <c r="AR63" t="s">
        <v>588</v>
      </c>
      <c r="AS63" s="1" t="s">
        <v>588</v>
      </c>
      <c r="AT63" t="s">
        <v>588</v>
      </c>
      <c r="AU63" s="1" t="s">
        <v>588</v>
      </c>
      <c r="AV63" t="s">
        <v>588</v>
      </c>
      <c r="AW63" s="1" t="s">
        <v>588</v>
      </c>
      <c r="AX63" t="s">
        <v>588</v>
      </c>
      <c r="AY63" s="1" t="s">
        <v>588</v>
      </c>
      <c r="AZ63" t="s">
        <v>588</v>
      </c>
      <c r="BA63" s="1" t="s">
        <v>588</v>
      </c>
      <c r="BB63" t="s">
        <v>588</v>
      </c>
      <c r="BC63" s="1" t="s">
        <v>588</v>
      </c>
      <c r="BD63" t="s">
        <v>588</v>
      </c>
      <c r="BE63" s="1" t="s">
        <v>588</v>
      </c>
      <c r="BF63" t="s">
        <v>588</v>
      </c>
      <c r="BG63" s="1" t="s">
        <v>588</v>
      </c>
      <c r="BH63" t="s">
        <v>588</v>
      </c>
      <c r="BI63" s="1" t="s">
        <v>588</v>
      </c>
      <c r="BJ63" t="s">
        <v>588</v>
      </c>
      <c r="BK63" s="1" t="s">
        <v>588</v>
      </c>
      <c r="BL63" t="s">
        <v>588</v>
      </c>
      <c r="BM63" s="1" t="s">
        <v>588</v>
      </c>
      <c r="BN63" t="s">
        <v>588</v>
      </c>
      <c r="BO63" s="1" t="s">
        <v>588</v>
      </c>
      <c r="BP63" t="s">
        <v>588</v>
      </c>
      <c r="BQ63" s="1" t="s">
        <v>588</v>
      </c>
      <c r="BR63" t="s">
        <v>588</v>
      </c>
      <c r="BS63" t="s">
        <v>8</v>
      </c>
      <c r="BT63" t="s">
        <v>13</v>
      </c>
      <c r="BU63" t="s">
        <v>13</v>
      </c>
      <c r="BV63" t="s">
        <v>588</v>
      </c>
      <c r="BW63" t="s">
        <v>588</v>
      </c>
      <c r="BX63" t="s">
        <v>588</v>
      </c>
      <c r="BY63" t="s">
        <v>588</v>
      </c>
      <c r="BZ63" t="s">
        <v>588</v>
      </c>
    </row>
    <row r="64" spans="1:78" x14ac:dyDescent="0.25">
      <c r="A64">
        <v>201617</v>
      </c>
      <c r="B64" t="s">
        <v>582</v>
      </c>
      <c r="C64" t="s">
        <v>582</v>
      </c>
      <c r="D64" t="s">
        <v>567</v>
      </c>
      <c r="E64" t="s">
        <v>16</v>
      </c>
      <c r="F64">
        <v>3</v>
      </c>
      <c r="G64" t="s">
        <v>1688</v>
      </c>
      <c r="H64" s="11" t="s">
        <v>1688</v>
      </c>
      <c r="I64" s="1">
        <v>42716</v>
      </c>
      <c r="J64" s="11">
        <v>12</v>
      </c>
      <c r="K64" s="11">
        <v>12</v>
      </c>
      <c r="L64" s="11">
        <v>2016</v>
      </c>
      <c r="M64" s="11" t="s">
        <v>1748</v>
      </c>
      <c r="N64" t="s">
        <v>7</v>
      </c>
      <c r="O64" t="s">
        <v>10</v>
      </c>
      <c r="P64">
        <v>-38.567570000000003</v>
      </c>
      <c r="Q64">
        <v>145.49716000000001</v>
      </c>
      <c r="R64" t="s">
        <v>588</v>
      </c>
      <c r="S64" t="s">
        <v>588</v>
      </c>
      <c r="T64">
        <v>2</v>
      </c>
      <c r="U64">
        <v>3</v>
      </c>
      <c r="V64" t="s">
        <v>588</v>
      </c>
      <c r="W64" t="s">
        <v>588</v>
      </c>
      <c r="X64">
        <v>2</v>
      </c>
      <c r="Y64">
        <v>2</v>
      </c>
      <c r="Z64" t="s">
        <v>41</v>
      </c>
      <c r="AA64" s="1">
        <v>42716</v>
      </c>
      <c r="AB64" s="11">
        <v>12</v>
      </c>
      <c r="AC64" s="11">
        <v>12</v>
      </c>
      <c r="AD64" s="11">
        <v>2016</v>
      </c>
      <c r="AE64" s="13" t="s">
        <v>1748</v>
      </c>
      <c r="AF64" t="s">
        <v>7</v>
      </c>
      <c r="AG64" s="1">
        <v>42727</v>
      </c>
      <c r="AH64" s="11">
        <v>23</v>
      </c>
      <c r="AI64" s="11">
        <v>12</v>
      </c>
      <c r="AJ64" s="11">
        <v>2016</v>
      </c>
      <c r="AK64" s="13" t="s">
        <v>1755</v>
      </c>
      <c r="AL64" t="s">
        <v>7</v>
      </c>
      <c r="AM64" t="s">
        <v>20</v>
      </c>
      <c r="AN64" t="s">
        <v>8</v>
      </c>
      <c r="AO64" t="s">
        <v>32</v>
      </c>
      <c r="AP64" t="s">
        <v>588</v>
      </c>
      <c r="AQ64" s="1" t="s">
        <v>588</v>
      </c>
      <c r="AR64" t="s">
        <v>588</v>
      </c>
      <c r="AS64" s="1" t="s">
        <v>588</v>
      </c>
      <c r="AT64" t="s">
        <v>588</v>
      </c>
      <c r="AU64" s="1" t="s">
        <v>588</v>
      </c>
      <c r="AV64" t="s">
        <v>588</v>
      </c>
      <c r="AW64" s="1" t="s">
        <v>588</v>
      </c>
      <c r="AX64" t="s">
        <v>588</v>
      </c>
      <c r="AY64" s="1" t="s">
        <v>588</v>
      </c>
      <c r="AZ64" t="s">
        <v>588</v>
      </c>
      <c r="BA64" s="1" t="s">
        <v>588</v>
      </c>
      <c r="BB64" t="s">
        <v>588</v>
      </c>
      <c r="BC64" s="1" t="s">
        <v>588</v>
      </c>
      <c r="BD64" t="s">
        <v>588</v>
      </c>
      <c r="BE64" s="1" t="s">
        <v>588</v>
      </c>
      <c r="BF64" t="s">
        <v>588</v>
      </c>
      <c r="BG64" s="1" t="s">
        <v>588</v>
      </c>
      <c r="BH64" t="s">
        <v>588</v>
      </c>
      <c r="BI64" s="1" t="s">
        <v>588</v>
      </c>
      <c r="BJ64" t="s">
        <v>588</v>
      </c>
      <c r="BK64" s="1" t="s">
        <v>588</v>
      </c>
      <c r="BL64" t="s">
        <v>588</v>
      </c>
      <c r="BM64" s="1" t="s">
        <v>588</v>
      </c>
      <c r="BN64" t="s">
        <v>588</v>
      </c>
      <c r="BO64" s="1" t="s">
        <v>588</v>
      </c>
      <c r="BP64" t="s">
        <v>588</v>
      </c>
      <c r="BQ64" s="1" t="s">
        <v>588</v>
      </c>
      <c r="BR64" t="s">
        <v>588</v>
      </c>
      <c r="BS64" t="s">
        <v>8</v>
      </c>
      <c r="BT64" t="s">
        <v>13</v>
      </c>
      <c r="BU64" t="s">
        <v>13</v>
      </c>
      <c r="BV64" t="s">
        <v>588</v>
      </c>
      <c r="BW64" t="s">
        <v>588</v>
      </c>
      <c r="BX64" t="s">
        <v>588</v>
      </c>
      <c r="BY64" t="s">
        <v>588</v>
      </c>
      <c r="BZ64" t="s">
        <v>588</v>
      </c>
    </row>
    <row r="65" spans="1:78" x14ac:dyDescent="0.25">
      <c r="A65">
        <v>201617</v>
      </c>
      <c r="B65" t="s">
        <v>582</v>
      </c>
      <c r="C65" t="s">
        <v>582</v>
      </c>
      <c r="D65" t="s">
        <v>567</v>
      </c>
      <c r="E65" t="s">
        <v>16</v>
      </c>
      <c r="F65">
        <v>4</v>
      </c>
      <c r="G65" t="s">
        <v>1689</v>
      </c>
      <c r="H65" s="11" t="s">
        <v>1689</v>
      </c>
      <c r="I65" s="1">
        <v>42738</v>
      </c>
      <c r="J65" s="11">
        <v>3</v>
      </c>
      <c r="K65" s="11">
        <v>1</v>
      </c>
      <c r="L65" s="11">
        <v>2017</v>
      </c>
      <c r="M65" s="11" t="s">
        <v>1749</v>
      </c>
      <c r="N65" t="s">
        <v>12</v>
      </c>
      <c r="O65" t="s">
        <v>10</v>
      </c>
      <c r="P65">
        <v>-38.56756</v>
      </c>
      <c r="Q65">
        <v>145.49713</v>
      </c>
      <c r="R65" t="s">
        <v>588</v>
      </c>
      <c r="S65" t="s">
        <v>588</v>
      </c>
      <c r="T65">
        <v>3</v>
      </c>
      <c r="U65">
        <v>3</v>
      </c>
      <c r="V65" t="s">
        <v>588</v>
      </c>
      <c r="W65" t="s">
        <v>588</v>
      </c>
      <c r="X65">
        <v>3</v>
      </c>
      <c r="Y65">
        <v>3</v>
      </c>
      <c r="Z65" t="s">
        <v>41</v>
      </c>
      <c r="AA65" s="1">
        <v>42744</v>
      </c>
      <c r="AB65" s="11">
        <v>9</v>
      </c>
      <c r="AC65" s="11">
        <v>1</v>
      </c>
      <c r="AD65" s="11">
        <v>2017</v>
      </c>
      <c r="AE65" s="13" t="s">
        <v>1786</v>
      </c>
      <c r="AF65" t="s">
        <v>12</v>
      </c>
      <c r="AG65" s="1">
        <v>42751</v>
      </c>
      <c r="AH65" s="11">
        <v>16</v>
      </c>
      <c r="AI65" s="11">
        <v>1</v>
      </c>
      <c r="AJ65" s="11">
        <v>2017</v>
      </c>
      <c r="AK65" s="13" t="s">
        <v>1750</v>
      </c>
      <c r="AL65" t="s">
        <v>12</v>
      </c>
      <c r="AM65" t="s">
        <v>20</v>
      </c>
      <c r="AN65" t="s">
        <v>8</v>
      </c>
      <c r="AO65" t="s">
        <v>11</v>
      </c>
      <c r="AP65" t="s">
        <v>588</v>
      </c>
      <c r="AQ65" s="1" t="s">
        <v>588</v>
      </c>
      <c r="AR65" t="s">
        <v>588</v>
      </c>
      <c r="AS65" s="1" t="s">
        <v>588</v>
      </c>
      <c r="AT65" t="s">
        <v>588</v>
      </c>
      <c r="AU65" s="1" t="s">
        <v>588</v>
      </c>
      <c r="AV65" t="s">
        <v>588</v>
      </c>
      <c r="AW65" s="1" t="s">
        <v>588</v>
      </c>
      <c r="AX65" t="s">
        <v>588</v>
      </c>
      <c r="AY65" s="1" t="s">
        <v>588</v>
      </c>
      <c r="AZ65" t="s">
        <v>588</v>
      </c>
      <c r="BA65" s="1" t="s">
        <v>588</v>
      </c>
      <c r="BB65" t="s">
        <v>588</v>
      </c>
      <c r="BC65" s="1" t="s">
        <v>588</v>
      </c>
      <c r="BD65" t="s">
        <v>588</v>
      </c>
      <c r="BE65" s="1" t="s">
        <v>588</v>
      </c>
      <c r="BF65" t="s">
        <v>588</v>
      </c>
      <c r="BG65" s="1" t="s">
        <v>588</v>
      </c>
      <c r="BH65" t="s">
        <v>588</v>
      </c>
      <c r="BI65" s="1" t="s">
        <v>588</v>
      </c>
      <c r="BJ65" t="s">
        <v>588</v>
      </c>
      <c r="BK65" s="1" t="s">
        <v>588</v>
      </c>
      <c r="BL65" t="s">
        <v>588</v>
      </c>
      <c r="BM65" s="1" t="s">
        <v>588</v>
      </c>
      <c r="BN65" t="s">
        <v>588</v>
      </c>
      <c r="BO65" s="1" t="s">
        <v>588</v>
      </c>
      <c r="BP65" t="s">
        <v>588</v>
      </c>
      <c r="BQ65" s="1" t="s">
        <v>588</v>
      </c>
      <c r="BR65" t="s">
        <v>588</v>
      </c>
      <c r="BS65" t="s">
        <v>8</v>
      </c>
      <c r="BT65" t="s">
        <v>13</v>
      </c>
      <c r="BU65" t="s">
        <v>13</v>
      </c>
      <c r="BV65" t="s">
        <v>588</v>
      </c>
      <c r="BW65" t="s">
        <v>588</v>
      </c>
      <c r="BX65" t="s">
        <v>588</v>
      </c>
      <c r="BY65" t="s">
        <v>588</v>
      </c>
      <c r="BZ65" t="s">
        <v>588</v>
      </c>
    </row>
    <row r="66" spans="1:78" x14ac:dyDescent="0.25">
      <c r="A66">
        <v>201617</v>
      </c>
      <c r="B66" t="s">
        <v>582</v>
      </c>
      <c r="C66" t="s">
        <v>582</v>
      </c>
      <c r="D66" t="s">
        <v>567</v>
      </c>
      <c r="E66" t="s">
        <v>16</v>
      </c>
      <c r="F66">
        <v>5</v>
      </c>
      <c r="G66" t="s">
        <v>1690</v>
      </c>
      <c r="H66" s="11" t="s">
        <v>1690</v>
      </c>
      <c r="I66" s="1">
        <v>42758</v>
      </c>
      <c r="J66" s="11">
        <v>23</v>
      </c>
      <c r="K66" s="11">
        <v>1</v>
      </c>
      <c r="L66" s="11">
        <v>2017</v>
      </c>
      <c r="M66" s="11" t="s">
        <v>1738</v>
      </c>
      <c r="N66" t="s">
        <v>12</v>
      </c>
      <c r="O66" t="s">
        <v>10</v>
      </c>
      <c r="P66">
        <v>-38.567520000000002</v>
      </c>
      <c r="Q66">
        <v>145.49713</v>
      </c>
      <c r="R66" t="s">
        <v>588</v>
      </c>
      <c r="S66" t="s">
        <v>588</v>
      </c>
      <c r="T66">
        <v>3</v>
      </c>
      <c r="U66">
        <v>3</v>
      </c>
      <c r="V66" t="s">
        <v>588</v>
      </c>
      <c r="W66" t="s">
        <v>588</v>
      </c>
      <c r="X66">
        <v>2</v>
      </c>
      <c r="Y66">
        <v>2</v>
      </c>
      <c r="Z66" t="s">
        <v>41</v>
      </c>
      <c r="AA66" s="1">
        <v>42758</v>
      </c>
      <c r="AB66" s="11">
        <v>23</v>
      </c>
      <c r="AC66" s="11">
        <v>1</v>
      </c>
      <c r="AD66" s="11">
        <v>2017</v>
      </c>
      <c r="AE66" s="13" t="s">
        <v>1738</v>
      </c>
      <c r="AF66" t="s">
        <v>12</v>
      </c>
      <c r="AG66" s="1">
        <v>42769</v>
      </c>
      <c r="AH66" s="11">
        <v>3</v>
      </c>
      <c r="AI66" s="11">
        <v>2</v>
      </c>
      <c r="AJ66" s="11">
        <v>2017</v>
      </c>
      <c r="AK66" s="13" t="s">
        <v>1726</v>
      </c>
      <c r="AL66" t="s">
        <v>21</v>
      </c>
      <c r="AM66" t="s">
        <v>20</v>
      </c>
      <c r="AN66" t="s">
        <v>8</v>
      </c>
      <c r="AO66" t="s">
        <v>32</v>
      </c>
      <c r="AP66" t="s">
        <v>588</v>
      </c>
      <c r="AQ66" s="1" t="s">
        <v>588</v>
      </c>
      <c r="AR66" t="s">
        <v>588</v>
      </c>
      <c r="AS66" s="1" t="s">
        <v>588</v>
      </c>
      <c r="AT66" t="s">
        <v>588</v>
      </c>
      <c r="AU66" s="1" t="s">
        <v>588</v>
      </c>
      <c r="AV66" t="s">
        <v>588</v>
      </c>
      <c r="AW66" s="1" t="s">
        <v>588</v>
      </c>
      <c r="AX66" t="s">
        <v>588</v>
      </c>
      <c r="AY66" s="1" t="s">
        <v>588</v>
      </c>
      <c r="AZ66" t="s">
        <v>588</v>
      </c>
      <c r="BA66" s="1" t="s">
        <v>588</v>
      </c>
      <c r="BB66" t="s">
        <v>588</v>
      </c>
      <c r="BC66" s="1" t="s">
        <v>588</v>
      </c>
      <c r="BD66" t="s">
        <v>588</v>
      </c>
      <c r="BE66" s="1" t="s">
        <v>588</v>
      </c>
      <c r="BF66" t="s">
        <v>588</v>
      </c>
      <c r="BG66" s="1" t="s">
        <v>588</v>
      </c>
      <c r="BH66" t="s">
        <v>588</v>
      </c>
      <c r="BI66" s="1" t="s">
        <v>588</v>
      </c>
      <c r="BJ66" t="s">
        <v>588</v>
      </c>
      <c r="BK66" s="1" t="s">
        <v>588</v>
      </c>
      <c r="BL66" t="s">
        <v>588</v>
      </c>
      <c r="BM66" s="1" t="s">
        <v>588</v>
      </c>
      <c r="BN66" t="s">
        <v>588</v>
      </c>
      <c r="BO66" s="1" t="s">
        <v>588</v>
      </c>
      <c r="BP66" t="s">
        <v>588</v>
      </c>
      <c r="BQ66" s="1" t="s">
        <v>588</v>
      </c>
      <c r="BR66" t="s">
        <v>588</v>
      </c>
      <c r="BS66" t="s">
        <v>8</v>
      </c>
      <c r="BT66" t="s">
        <v>13</v>
      </c>
      <c r="BU66" t="s">
        <v>13</v>
      </c>
      <c r="BV66" t="s">
        <v>588</v>
      </c>
      <c r="BW66" t="s">
        <v>588</v>
      </c>
      <c r="BX66" t="s">
        <v>588</v>
      </c>
      <c r="BY66" t="s">
        <v>588</v>
      </c>
      <c r="BZ66" t="s">
        <v>588</v>
      </c>
    </row>
    <row r="67" spans="1:78" x14ac:dyDescent="0.25">
      <c r="A67">
        <v>201617</v>
      </c>
      <c r="B67" t="s">
        <v>585</v>
      </c>
      <c r="C67" t="s">
        <v>585</v>
      </c>
      <c r="D67" t="s">
        <v>433</v>
      </c>
      <c r="E67" t="s">
        <v>560</v>
      </c>
      <c r="F67">
        <v>1</v>
      </c>
      <c r="G67" t="s">
        <v>1691</v>
      </c>
      <c r="H67" s="11" t="s">
        <v>1691</v>
      </c>
      <c r="I67" s="1">
        <v>42726</v>
      </c>
      <c r="J67" s="11">
        <v>22</v>
      </c>
      <c r="K67" s="11">
        <v>12</v>
      </c>
      <c r="L67" s="11">
        <v>2016</v>
      </c>
      <c r="M67" s="11" t="s">
        <v>1787</v>
      </c>
      <c r="N67" t="s">
        <v>7</v>
      </c>
      <c r="O67" t="s">
        <v>19</v>
      </c>
      <c r="P67">
        <v>-38.5396</v>
      </c>
      <c r="Q67">
        <v>145.43789699999999</v>
      </c>
      <c r="R67" t="s">
        <v>588</v>
      </c>
      <c r="S67" t="s">
        <v>588</v>
      </c>
      <c r="T67">
        <v>3</v>
      </c>
      <c r="U67">
        <v>3</v>
      </c>
      <c r="V67" t="s">
        <v>588</v>
      </c>
      <c r="W67" t="s">
        <v>588</v>
      </c>
      <c r="X67">
        <v>2</v>
      </c>
      <c r="Y67">
        <v>2</v>
      </c>
      <c r="Z67" t="s">
        <v>41</v>
      </c>
      <c r="AA67" s="1">
        <v>42726</v>
      </c>
      <c r="AB67" s="11">
        <v>22</v>
      </c>
      <c r="AC67" s="11">
        <v>12</v>
      </c>
      <c r="AD67" s="11">
        <v>2016</v>
      </c>
      <c r="AE67" s="13" t="s">
        <v>1787</v>
      </c>
      <c r="AF67" t="s">
        <v>7</v>
      </c>
      <c r="AG67" s="1">
        <v>42739</v>
      </c>
      <c r="AH67" s="11">
        <v>4</v>
      </c>
      <c r="AI67" s="11">
        <v>1</v>
      </c>
      <c r="AJ67" s="11">
        <v>2017</v>
      </c>
      <c r="AK67" s="13" t="s">
        <v>1756</v>
      </c>
      <c r="AL67" t="s">
        <v>12</v>
      </c>
      <c r="AM67" s="1" t="s">
        <v>20</v>
      </c>
      <c r="AN67" t="s">
        <v>41</v>
      </c>
      <c r="AO67" s="1" t="s">
        <v>20</v>
      </c>
      <c r="AP67" t="s">
        <v>588</v>
      </c>
      <c r="AQ67" s="1" t="s">
        <v>588</v>
      </c>
      <c r="AR67" t="s">
        <v>588</v>
      </c>
      <c r="AS67" s="1" t="s">
        <v>588</v>
      </c>
      <c r="AT67" t="s">
        <v>588</v>
      </c>
      <c r="AU67" s="1" t="s">
        <v>588</v>
      </c>
      <c r="AV67" t="s">
        <v>588</v>
      </c>
      <c r="AW67" s="1" t="s">
        <v>588</v>
      </c>
      <c r="AX67" t="s">
        <v>588</v>
      </c>
      <c r="AY67" s="1" t="s">
        <v>588</v>
      </c>
      <c r="AZ67" t="s">
        <v>588</v>
      </c>
      <c r="BA67" s="1" t="s">
        <v>588</v>
      </c>
      <c r="BB67" t="s">
        <v>588</v>
      </c>
      <c r="BC67" s="1" t="s">
        <v>588</v>
      </c>
      <c r="BD67" t="s">
        <v>588</v>
      </c>
      <c r="BE67" s="1" t="s">
        <v>588</v>
      </c>
      <c r="BF67" t="s">
        <v>588</v>
      </c>
      <c r="BG67" s="1" t="s">
        <v>588</v>
      </c>
      <c r="BH67" t="s">
        <v>588</v>
      </c>
      <c r="BI67" s="1" t="s">
        <v>588</v>
      </c>
      <c r="BJ67" t="s">
        <v>588</v>
      </c>
      <c r="BK67" s="1" t="s">
        <v>588</v>
      </c>
      <c r="BL67" t="s">
        <v>588</v>
      </c>
      <c r="BM67" s="1" t="s">
        <v>588</v>
      </c>
      <c r="BN67" t="s">
        <v>588</v>
      </c>
      <c r="BO67" s="1" t="s">
        <v>588</v>
      </c>
      <c r="BP67" t="s">
        <v>588</v>
      </c>
      <c r="BQ67" s="1" t="s">
        <v>588</v>
      </c>
      <c r="BR67" t="s">
        <v>588</v>
      </c>
      <c r="BS67" t="s">
        <v>41</v>
      </c>
      <c r="BT67" t="s">
        <v>42</v>
      </c>
      <c r="BU67" t="s">
        <v>42</v>
      </c>
      <c r="BV67" t="s">
        <v>588</v>
      </c>
      <c r="BW67" t="s">
        <v>588</v>
      </c>
      <c r="BX67" t="s">
        <v>588</v>
      </c>
      <c r="BY67" t="s">
        <v>588</v>
      </c>
      <c r="BZ67" t="s">
        <v>588</v>
      </c>
    </row>
    <row r="68" spans="1:78" x14ac:dyDescent="0.25">
      <c r="A68">
        <v>201617</v>
      </c>
      <c r="B68" t="s">
        <v>585</v>
      </c>
      <c r="C68" t="s">
        <v>585</v>
      </c>
      <c r="D68" t="s">
        <v>433</v>
      </c>
      <c r="E68" t="s">
        <v>560</v>
      </c>
      <c r="F68">
        <v>2</v>
      </c>
      <c r="G68" t="s">
        <v>1692</v>
      </c>
      <c r="H68" s="11" t="s">
        <v>1692</v>
      </c>
      <c r="I68" s="1">
        <v>42748</v>
      </c>
      <c r="J68" s="11">
        <v>13</v>
      </c>
      <c r="K68" s="11">
        <v>1</v>
      </c>
      <c r="L68" s="11">
        <v>2017</v>
      </c>
      <c r="M68" s="11" t="s">
        <v>1722</v>
      </c>
      <c r="N68" t="s">
        <v>12</v>
      </c>
      <c r="O68" t="s">
        <v>10</v>
      </c>
      <c r="P68">
        <v>-38.540298</v>
      </c>
      <c r="Q68">
        <v>145.438052</v>
      </c>
      <c r="R68" t="s">
        <v>588</v>
      </c>
      <c r="S68" t="s">
        <v>588</v>
      </c>
      <c r="T68">
        <v>3</v>
      </c>
      <c r="U68">
        <v>3</v>
      </c>
      <c r="V68" t="s">
        <v>588</v>
      </c>
      <c r="W68" t="s">
        <v>588</v>
      </c>
      <c r="X68">
        <v>2</v>
      </c>
      <c r="Y68">
        <v>2</v>
      </c>
      <c r="Z68" t="s">
        <v>41</v>
      </c>
      <c r="AA68" s="1">
        <v>42748</v>
      </c>
      <c r="AB68" s="11">
        <v>13</v>
      </c>
      <c r="AC68" s="11">
        <v>1</v>
      </c>
      <c r="AD68" s="11">
        <v>2017</v>
      </c>
      <c r="AE68" s="13" t="s">
        <v>1722</v>
      </c>
      <c r="AF68" t="s">
        <v>12</v>
      </c>
      <c r="AG68" s="1">
        <v>42760</v>
      </c>
      <c r="AH68" s="11">
        <v>25</v>
      </c>
      <c r="AI68" s="11">
        <v>1</v>
      </c>
      <c r="AJ68" s="11">
        <v>2017</v>
      </c>
      <c r="AK68" s="13" t="s">
        <v>1757</v>
      </c>
      <c r="AL68" t="s">
        <v>12</v>
      </c>
      <c r="AM68" s="1" t="s">
        <v>20</v>
      </c>
      <c r="AN68" t="s">
        <v>41</v>
      </c>
      <c r="AO68" s="1" t="s">
        <v>20</v>
      </c>
      <c r="AP68" t="s">
        <v>588</v>
      </c>
      <c r="AQ68" s="1" t="s">
        <v>588</v>
      </c>
      <c r="AR68" t="s">
        <v>588</v>
      </c>
      <c r="AS68" s="1" t="s">
        <v>588</v>
      </c>
      <c r="AT68" t="s">
        <v>588</v>
      </c>
      <c r="AU68" s="1" t="s">
        <v>588</v>
      </c>
      <c r="AV68" t="s">
        <v>588</v>
      </c>
      <c r="AW68" s="1" t="s">
        <v>588</v>
      </c>
      <c r="AX68" t="s">
        <v>588</v>
      </c>
      <c r="AY68" s="1" t="s">
        <v>588</v>
      </c>
      <c r="AZ68" t="s">
        <v>588</v>
      </c>
      <c r="BA68" s="1" t="s">
        <v>588</v>
      </c>
      <c r="BB68" t="s">
        <v>588</v>
      </c>
      <c r="BC68" s="1" t="s">
        <v>588</v>
      </c>
      <c r="BD68" t="s">
        <v>588</v>
      </c>
      <c r="BE68" s="1" t="s">
        <v>588</v>
      </c>
      <c r="BF68" t="s">
        <v>588</v>
      </c>
      <c r="BG68" s="1" t="s">
        <v>588</v>
      </c>
      <c r="BH68" t="s">
        <v>588</v>
      </c>
      <c r="BI68" s="1" t="s">
        <v>588</v>
      </c>
      <c r="BJ68" t="s">
        <v>588</v>
      </c>
      <c r="BK68" s="1" t="s">
        <v>588</v>
      </c>
      <c r="BL68" t="s">
        <v>588</v>
      </c>
      <c r="BM68" s="1" t="s">
        <v>588</v>
      </c>
      <c r="BN68" t="s">
        <v>588</v>
      </c>
      <c r="BO68" s="1" t="s">
        <v>588</v>
      </c>
      <c r="BP68" t="s">
        <v>588</v>
      </c>
      <c r="BQ68" s="1" t="s">
        <v>588</v>
      </c>
      <c r="BR68" t="s">
        <v>588</v>
      </c>
      <c r="BS68" t="s">
        <v>41</v>
      </c>
      <c r="BT68" t="s">
        <v>42</v>
      </c>
      <c r="BU68" t="s">
        <v>42</v>
      </c>
      <c r="BV68" t="s">
        <v>588</v>
      </c>
      <c r="BW68" t="s">
        <v>588</v>
      </c>
      <c r="BX68" t="s">
        <v>588</v>
      </c>
      <c r="BY68" t="s">
        <v>588</v>
      </c>
      <c r="BZ68" t="s">
        <v>588</v>
      </c>
    </row>
    <row r="69" spans="1:78" x14ac:dyDescent="0.25">
      <c r="A69">
        <v>201617</v>
      </c>
      <c r="B69" t="s">
        <v>62</v>
      </c>
      <c r="C69" t="s">
        <v>35</v>
      </c>
      <c r="D69" t="s">
        <v>24</v>
      </c>
      <c r="E69" t="s">
        <v>63</v>
      </c>
      <c r="F69">
        <v>1</v>
      </c>
      <c r="G69" t="s">
        <v>1693</v>
      </c>
      <c r="H69" s="11" t="s">
        <v>1808</v>
      </c>
      <c r="I69" s="1">
        <v>42607</v>
      </c>
      <c r="J69" s="11">
        <v>25</v>
      </c>
      <c r="K69" s="11">
        <v>8</v>
      </c>
      <c r="L69" s="11">
        <v>2016</v>
      </c>
      <c r="M69" s="11" t="s">
        <v>1809</v>
      </c>
      <c r="N69" t="s">
        <v>64</v>
      </c>
      <c r="O69" t="s">
        <v>51</v>
      </c>
      <c r="P69" s="4" t="s">
        <v>588</v>
      </c>
      <c r="Q69" s="4" t="s">
        <v>588</v>
      </c>
      <c r="R69">
        <v>-38.672297999999998</v>
      </c>
      <c r="S69">
        <v>145.63986199999999</v>
      </c>
      <c r="T69">
        <v>2</v>
      </c>
      <c r="U69">
        <v>3</v>
      </c>
      <c r="V69" t="s">
        <v>588</v>
      </c>
      <c r="W69" t="s">
        <v>588</v>
      </c>
      <c r="X69">
        <v>3</v>
      </c>
      <c r="Y69">
        <v>3</v>
      </c>
      <c r="Z69" t="s">
        <v>41</v>
      </c>
      <c r="AA69" s="1">
        <v>42612</v>
      </c>
      <c r="AB69" s="11">
        <v>30</v>
      </c>
      <c r="AC69" s="11">
        <v>8</v>
      </c>
      <c r="AD69" s="11">
        <v>2016</v>
      </c>
      <c r="AE69" s="13" t="s">
        <v>1810</v>
      </c>
      <c r="AF69" t="s">
        <v>64</v>
      </c>
      <c r="AG69" s="1">
        <v>42616</v>
      </c>
      <c r="AH69" s="11">
        <v>3</v>
      </c>
      <c r="AI69" s="11">
        <v>9</v>
      </c>
      <c r="AJ69" s="11">
        <v>2016</v>
      </c>
      <c r="AK69" s="13" t="s">
        <v>1758</v>
      </c>
      <c r="AL69" t="s">
        <v>28</v>
      </c>
      <c r="AM69" t="s">
        <v>20</v>
      </c>
      <c r="AN69" t="s">
        <v>8</v>
      </c>
      <c r="AO69" t="s">
        <v>32</v>
      </c>
      <c r="AP69" t="s">
        <v>588</v>
      </c>
      <c r="AQ69" t="s">
        <v>588</v>
      </c>
      <c r="AR69" t="s">
        <v>588</v>
      </c>
      <c r="AS69" t="s">
        <v>588</v>
      </c>
      <c r="AT69" t="s">
        <v>588</v>
      </c>
      <c r="AU69" s="7" t="s">
        <v>588</v>
      </c>
      <c r="AV69" t="s">
        <v>588</v>
      </c>
      <c r="AW69" t="s">
        <v>588</v>
      </c>
      <c r="AX69" t="s">
        <v>588</v>
      </c>
      <c r="AY69" t="s">
        <v>588</v>
      </c>
      <c r="AZ69" t="s">
        <v>588</v>
      </c>
      <c r="BA69" s="7" t="s">
        <v>588</v>
      </c>
      <c r="BB69" t="s">
        <v>588</v>
      </c>
      <c r="BC69" t="s">
        <v>588</v>
      </c>
      <c r="BD69" t="s">
        <v>588</v>
      </c>
      <c r="BE69" t="s">
        <v>588</v>
      </c>
      <c r="BF69" t="s">
        <v>588</v>
      </c>
      <c r="BG69" s="7" t="s">
        <v>588</v>
      </c>
      <c r="BH69" t="s">
        <v>588</v>
      </c>
      <c r="BI69" t="s">
        <v>588</v>
      </c>
      <c r="BJ69" t="s">
        <v>588</v>
      </c>
      <c r="BK69" t="s">
        <v>588</v>
      </c>
      <c r="BL69" t="s">
        <v>588</v>
      </c>
      <c r="BM69" t="s">
        <v>588</v>
      </c>
      <c r="BN69" t="s">
        <v>588</v>
      </c>
      <c r="BO69" t="s">
        <v>588</v>
      </c>
      <c r="BP69" t="s">
        <v>588</v>
      </c>
      <c r="BQ69" t="s">
        <v>588</v>
      </c>
      <c r="BR69" t="s">
        <v>588</v>
      </c>
      <c r="BS69" t="s">
        <v>8</v>
      </c>
      <c r="BT69" t="s">
        <v>18</v>
      </c>
      <c r="BU69" t="s">
        <v>18</v>
      </c>
      <c r="BV69" t="s">
        <v>588</v>
      </c>
      <c r="BW69" t="s">
        <v>588</v>
      </c>
      <c r="BX69" t="s">
        <v>588</v>
      </c>
      <c r="BY69" t="s">
        <v>588</v>
      </c>
      <c r="BZ69" t="s">
        <v>588</v>
      </c>
    </row>
    <row r="70" spans="1:78" x14ac:dyDescent="0.25">
      <c r="A70">
        <v>201617</v>
      </c>
      <c r="B70" t="s">
        <v>62</v>
      </c>
      <c r="C70" t="s">
        <v>35</v>
      </c>
      <c r="D70" t="s">
        <v>24</v>
      </c>
      <c r="E70" t="s">
        <v>63</v>
      </c>
      <c r="F70">
        <v>2</v>
      </c>
      <c r="G70" t="s">
        <v>1694</v>
      </c>
      <c r="H70" s="11" t="s">
        <v>1811</v>
      </c>
      <c r="I70" s="1">
        <v>42628</v>
      </c>
      <c r="J70" s="11">
        <v>15</v>
      </c>
      <c r="K70" s="11">
        <v>9</v>
      </c>
      <c r="L70" s="11">
        <v>2016</v>
      </c>
      <c r="M70" s="11" t="s">
        <v>1789</v>
      </c>
      <c r="N70" t="s">
        <v>28</v>
      </c>
      <c r="O70" t="s">
        <v>51</v>
      </c>
      <c r="P70" s="4" t="s">
        <v>588</v>
      </c>
      <c r="Q70" s="4" t="s">
        <v>588</v>
      </c>
      <c r="R70">
        <v>-38.672297999999998</v>
      </c>
      <c r="S70">
        <v>145.63986199999999</v>
      </c>
      <c r="T70">
        <v>3</v>
      </c>
      <c r="U70">
        <v>3</v>
      </c>
      <c r="V70" t="s">
        <v>588</v>
      </c>
      <c r="W70" t="s">
        <v>588</v>
      </c>
      <c r="X70">
        <v>3</v>
      </c>
      <c r="Y70">
        <v>2</v>
      </c>
      <c r="Z70" t="s">
        <v>41</v>
      </c>
      <c r="AA70" s="1">
        <v>42628</v>
      </c>
      <c r="AB70" s="11">
        <v>15</v>
      </c>
      <c r="AC70" s="11">
        <v>9</v>
      </c>
      <c r="AD70" s="11">
        <v>2016</v>
      </c>
      <c r="AE70" s="13" t="s">
        <v>1789</v>
      </c>
      <c r="AF70" t="s">
        <v>28</v>
      </c>
      <c r="AG70" s="1">
        <v>42644</v>
      </c>
      <c r="AH70" s="11">
        <v>1</v>
      </c>
      <c r="AI70" s="11">
        <v>10</v>
      </c>
      <c r="AJ70" s="11">
        <v>2016</v>
      </c>
      <c r="AK70" s="13" t="s">
        <v>1759</v>
      </c>
      <c r="AL70" t="s">
        <v>29</v>
      </c>
      <c r="AM70" t="s">
        <v>20</v>
      </c>
      <c r="AN70" t="s">
        <v>41</v>
      </c>
      <c r="AO70" t="s">
        <v>20</v>
      </c>
      <c r="AP70" s="1" t="s">
        <v>588</v>
      </c>
      <c r="AQ70" t="s">
        <v>588</v>
      </c>
      <c r="AR70" t="s">
        <v>588</v>
      </c>
      <c r="AS70" t="s">
        <v>588</v>
      </c>
      <c r="AT70" t="s">
        <v>588</v>
      </c>
      <c r="AU70" s="7" t="s">
        <v>588</v>
      </c>
      <c r="AV70" s="1" t="s">
        <v>588</v>
      </c>
      <c r="AW70" t="s">
        <v>588</v>
      </c>
      <c r="AX70" t="s">
        <v>588</v>
      </c>
      <c r="AY70" t="s">
        <v>588</v>
      </c>
      <c r="AZ70" t="s">
        <v>588</v>
      </c>
      <c r="BA70" s="7" t="s">
        <v>588</v>
      </c>
      <c r="BB70" s="1" t="s">
        <v>588</v>
      </c>
      <c r="BC70" t="s">
        <v>588</v>
      </c>
      <c r="BD70" t="s">
        <v>588</v>
      </c>
      <c r="BE70" t="s">
        <v>588</v>
      </c>
      <c r="BF70" t="s">
        <v>588</v>
      </c>
      <c r="BG70" s="7" t="s">
        <v>588</v>
      </c>
      <c r="BH70" t="s">
        <v>588</v>
      </c>
      <c r="BI70" t="s">
        <v>588</v>
      </c>
      <c r="BJ70" t="s">
        <v>588</v>
      </c>
      <c r="BK70" t="s">
        <v>588</v>
      </c>
      <c r="BL70" t="s">
        <v>588</v>
      </c>
      <c r="BM70" t="s">
        <v>588</v>
      </c>
      <c r="BN70" t="s">
        <v>588</v>
      </c>
      <c r="BO70" t="s">
        <v>588</v>
      </c>
      <c r="BP70" t="s">
        <v>588</v>
      </c>
      <c r="BQ70" t="s">
        <v>588</v>
      </c>
      <c r="BR70" t="s">
        <v>588</v>
      </c>
      <c r="BS70" t="s">
        <v>8</v>
      </c>
      <c r="BT70" t="s">
        <v>9</v>
      </c>
      <c r="BU70" t="s">
        <v>9</v>
      </c>
      <c r="BV70" t="s">
        <v>588</v>
      </c>
      <c r="BW70" t="s">
        <v>588</v>
      </c>
      <c r="BX70" t="s">
        <v>588</v>
      </c>
      <c r="BY70" t="s">
        <v>588</v>
      </c>
      <c r="BZ70" t="s">
        <v>588</v>
      </c>
    </row>
    <row r="71" spans="1:78" x14ac:dyDescent="0.25">
      <c r="A71">
        <v>201617</v>
      </c>
      <c r="B71" t="s">
        <v>62</v>
      </c>
      <c r="C71" t="s">
        <v>35</v>
      </c>
      <c r="D71" t="s">
        <v>24</v>
      </c>
      <c r="E71" t="s">
        <v>63</v>
      </c>
      <c r="F71">
        <v>3</v>
      </c>
      <c r="G71" t="s">
        <v>1695</v>
      </c>
      <c r="H71" s="11" t="s">
        <v>1812</v>
      </c>
      <c r="I71" s="1">
        <v>42644</v>
      </c>
      <c r="J71" s="11">
        <v>1</v>
      </c>
      <c r="K71" s="11">
        <v>10</v>
      </c>
      <c r="L71" s="11">
        <v>2016</v>
      </c>
      <c r="M71" s="11" t="s">
        <v>1759</v>
      </c>
      <c r="N71" t="s">
        <v>29</v>
      </c>
      <c r="O71" t="s">
        <v>10</v>
      </c>
      <c r="P71" s="4" t="s">
        <v>588</v>
      </c>
      <c r="Q71" s="4" t="s">
        <v>588</v>
      </c>
      <c r="R71">
        <v>-38.672297999999998</v>
      </c>
      <c r="S71">
        <v>145.63986199999999</v>
      </c>
      <c r="T71">
        <v>3</v>
      </c>
      <c r="U71">
        <v>3</v>
      </c>
      <c r="V71" t="s">
        <v>588</v>
      </c>
      <c r="W71" t="s">
        <v>588</v>
      </c>
      <c r="X71">
        <v>3</v>
      </c>
      <c r="Y71">
        <v>3</v>
      </c>
      <c r="Z71" t="s">
        <v>41</v>
      </c>
      <c r="AA71" s="1">
        <v>42647</v>
      </c>
      <c r="AB71" s="11">
        <v>4</v>
      </c>
      <c r="AC71" s="11">
        <v>10</v>
      </c>
      <c r="AD71" s="11">
        <v>2016</v>
      </c>
      <c r="AE71" s="13" t="s">
        <v>1745</v>
      </c>
      <c r="AF71" t="s">
        <v>29</v>
      </c>
      <c r="AG71" s="1">
        <v>42650</v>
      </c>
      <c r="AH71" s="11">
        <v>7</v>
      </c>
      <c r="AI71" s="11">
        <v>10</v>
      </c>
      <c r="AJ71" s="11">
        <v>2016</v>
      </c>
      <c r="AK71" s="13" t="s">
        <v>1760</v>
      </c>
      <c r="AL71" t="s">
        <v>29</v>
      </c>
      <c r="AM71" t="s">
        <v>20</v>
      </c>
      <c r="AN71" t="s">
        <v>8</v>
      </c>
      <c r="AO71" t="s">
        <v>11</v>
      </c>
      <c r="AP71" t="s">
        <v>588</v>
      </c>
      <c r="AQ71" t="s">
        <v>588</v>
      </c>
      <c r="AR71" t="s">
        <v>588</v>
      </c>
      <c r="AS71" t="s">
        <v>588</v>
      </c>
      <c r="AT71" t="s">
        <v>588</v>
      </c>
      <c r="AU71" s="7" t="s">
        <v>588</v>
      </c>
      <c r="AV71" t="s">
        <v>588</v>
      </c>
      <c r="AW71" t="s">
        <v>588</v>
      </c>
      <c r="AX71" t="s">
        <v>588</v>
      </c>
      <c r="AY71" t="s">
        <v>588</v>
      </c>
      <c r="AZ71" t="s">
        <v>588</v>
      </c>
      <c r="BA71" s="7" t="s">
        <v>588</v>
      </c>
      <c r="BB71" t="s">
        <v>588</v>
      </c>
      <c r="BC71" t="s">
        <v>588</v>
      </c>
      <c r="BD71" t="s">
        <v>588</v>
      </c>
      <c r="BE71" t="s">
        <v>588</v>
      </c>
      <c r="BF71" t="s">
        <v>588</v>
      </c>
      <c r="BG71" s="7" t="s">
        <v>588</v>
      </c>
      <c r="BH71" t="s">
        <v>588</v>
      </c>
      <c r="BI71" t="s">
        <v>588</v>
      </c>
      <c r="BJ71" t="s">
        <v>588</v>
      </c>
      <c r="BK71" t="s">
        <v>588</v>
      </c>
      <c r="BL71" t="s">
        <v>588</v>
      </c>
      <c r="BM71" t="s">
        <v>588</v>
      </c>
      <c r="BN71" t="s">
        <v>588</v>
      </c>
      <c r="BO71" t="s">
        <v>588</v>
      </c>
      <c r="BP71" t="s">
        <v>588</v>
      </c>
      <c r="BQ71" t="s">
        <v>588</v>
      </c>
      <c r="BR71" t="s">
        <v>588</v>
      </c>
      <c r="BS71" t="s">
        <v>8</v>
      </c>
      <c r="BT71" t="s">
        <v>9</v>
      </c>
      <c r="BU71" t="s">
        <v>9</v>
      </c>
      <c r="BV71" t="s">
        <v>588</v>
      </c>
      <c r="BW71" t="s">
        <v>588</v>
      </c>
      <c r="BX71" t="s">
        <v>588</v>
      </c>
      <c r="BY71" t="s">
        <v>588</v>
      </c>
      <c r="BZ71" t="s">
        <v>588</v>
      </c>
    </row>
    <row r="72" spans="1:78" x14ac:dyDescent="0.25">
      <c r="A72">
        <v>201617</v>
      </c>
      <c r="B72" t="s">
        <v>62</v>
      </c>
      <c r="C72" t="s">
        <v>35</v>
      </c>
      <c r="D72" t="s">
        <v>24</v>
      </c>
      <c r="E72" t="s">
        <v>63</v>
      </c>
      <c r="F72">
        <v>4</v>
      </c>
      <c r="G72" t="s">
        <v>1696</v>
      </c>
      <c r="H72" s="11" t="s">
        <v>1813</v>
      </c>
      <c r="I72" s="1">
        <v>42668</v>
      </c>
      <c r="J72" s="11">
        <v>25</v>
      </c>
      <c r="K72" s="11">
        <v>10</v>
      </c>
      <c r="L72" s="11">
        <v>2016</v>
      </c>
      <c r="M72" s="11" t="s">
        <v>1746</v>
      </c>
      <c r="N72" t="s">
        <v>29</v>
      </c>
      <c r="O72" t="s">
        <v>51</v>
      </c>
      <c r="P72" s="4" t="s">
        <v>588</v>
      </c>
      <c r="Q72" s="4" t="s">
        <v>588</v>
      </c>
      <c r="R72">
        <v>-38.672297999999998</v>
      </c>
      <c r="S72">
        <v>145.63986199999999</v>
      </c>
      <c r="T72">
        <v>3</v>
      </c>
      <c r="U72">
        <v>3</v>
      </c>
      <c r="V72" t="s">
        <v>588</v>
      </c>
      <c r="W72" t="s">
        <v>588</v>
      </c>
      <c r="X72">
        <v>3</v>
      </c>
      <c r="Y72">
        <v>3</v>
      </c>
      <c r="Z72" t="s">
        <v>41</v>
      </c>
      <c r="AA72" s="1">
        <v>42676</v>
      </c>
      <c r="AB72" s="11">
        <v>2</v>
      </c>
      <c r="AC72" s="11">
        <v>11</v>
      </c>
      <c r="AD72" s="11">
        <v>2016</v>
      </c>
      <c r="AE72" s="13" t="s">
        <v>1814</v>
      </c>
      <c r="AF72" t="s">
        <v>17</v>
      </c>
      <c r="AG72" s="1">
        <v>42683</v>
      </c>
      <c r="AH72" s="11">
        <v>9</v>
      </c>
      <c r="AI72" s="11">
        <v>11</v>
      </c>
      <c r="AJ72" s="11">
        <v>2016</v>
      </c>
      <c r="AK72" s="13" t="s">
        <v>1761</v>
      </c>
      <c r="AL72" t="s">
        <v>17</v>
      </c>
      <c r="AM72" t="s">
        <v>20</v>
      </c>
      <c r="AN72" t="s">
        <v>8</v>
      </c>
      <c r="AO72" t="s">
        <v>32</v>
      </c>
      <c r="AP72" s="1" t="s">
        <v>588</v>
      </c>
      <c r="AQ72" t="s">
        <v>588</v>
      </c>
      <c r="AR72" t="s">
        <v>588</v>
      </c>
      <c r="AS72" t="s">
        <v>588</v>
      </c>
      <c r="AT72" t="s">
        <v>588</v>
      </c>
      <c r="AU72" s="7" t="s">
        <v>588</v>
      </c>
      <c r="AV72" s="1" t="s">
        <v>588</v>
      </c>
      <c r="AW72" t="s">
        <v>588</v>
      </c>
      <c r="AX72" t="s">
        <v>588</v>
      </c>
      <c r="AY72" t="s">
        <v>588</v>
      </c>
      <c r="AZ72" t="s">
        <v>588</v>
      </c>
      <c r="BA72" s="7" t="s">
        <v>588</v>
      </c>
      <c r="BB72" s="1" t="s">
        <v>588</v>
      </c>
      <c r="BC72" t="s">
        <v>588</v>
      </c>
      <c r="BD72" t="s">
        <v>588</v>
      </c>
      <c r="BE72" t="s">
        <v>588</v>
      </c>
      <c r="BF72" t="s">
        <v>588</v>
      </c>
      <c r="BG72" s="7" t="s">
        <v>588</v>
      </c>
      <c r="BH72" t="s">
        <v>588</v>
      </c>
      <c r="BI72" t="s">
        <v>588</v>
      </c>
      <c r="BJ72" t="s">
        <v>588</v>
      </c>
      <c r="BK72" t="s">
        <v>588</v>
      </c>
      <c r="BL72" t="s">
        <v>588</v>
      </c>
      <c r="BM72" t="s">
        <v>588</v>
      </c>
      <c r="BN72" t="s">
        <v>588</v>
      </c>
      <c r="BO72" t="s">
        <v>588</v>
      </c>
      <c r="BP72" t="s">
        <v>588</v>
      </c>
      <c r="BQ72" t="s">
        <v>588</v>
      </c>
      <c r="BR72" t="s">
        <v>588</v>
      </c>
      <c r="BS72" t="s">
        <v>8</v>
      </c>
      <c r="BT72" t="s">
        <v>65</v>
      </c>
      <c r="BU72" t="s">
        <v>65</v>
      </c>
      <c r="BV72" t="s">
        <v>588</v>
      </c>
      <c r="BW72" t="s">
        <v>588</v>
      </c>
      <c r="BX72" t="s">
        <v>588</v>
      </c>
      <c r="BY72" t="s">
        <v>588</v>
      </c>
      <c r="BZ72" t="s">
        <v>588</v>
      </c>
    </row>
    <row r="73" spans="1:78" x14ac:dyDescent="0.25">
      <c r="A73">
        <v>201617</v>
      </c>
      <c r="B73" t="s">
        <v>62</v>
      </c>
      <c r="C73" t="s">
        <v>35</v>
      </c>
      <c r="D73" t="s">
        <v>24</v>
      </c>
      <c r="E73" t="s">
        <v>63</v>
      </c>
      <c r="F73">
        <v>5</v>
      </c>
      <c r="G73" t="s">
        <v>1697</v>
      </c>
      <c r="H73" s="11" t="s">
        <v>1815</v>
      </c>
      <c r="I73" s="1">
        <v>42688</v>
      </c>
      <c r="J73" s="11">
        <v>14</v>
      </c>
      <c r="K73" s="11">
        <v>11</v>
      </c>
      <c r="L73" s="11">
        <v>2016</v>
      </c>
      <c r="M73" s="11" t="s">
        <v>1816</v>
      </c>
      <c r="N73" t="s">
        <v>17</v>
      </c>
      <c r="O73" t="s">
        <v>51</v>
      </c>
      <c r="P73" s="4" t="s">
        <v>588</v>
      </c>
      <c r="Q73" s="4" t="s">
        <v>588</v>
      </c>
      <c r="R73">
        <v>-38.672297999999998</v>
      </c>
      <c r="S73">
        <v>145.63986199999999</v>
      </c>
      <c r="T73">
        <v>3</v>
      </c>
      <c r="U73">
        <v>3</v>
      </c>
      <c r="V73" s="1">
        <v>42692</v>
      </c>
      <c r="W73" t="s">
        <v>223</v>
      </c>
      <c r="X73">
        <v>3</v>
      </c>
      <c r="Y73">
        <v>3</v>
      </c>
      <c r="Z73" t="s">
        <v>41</v>
      </c>
      <c r="AA73" s="1">
        <v>42693</v>
      </c>
      <c r="AB73" s="11">
        <v>19</v>
      </c>
      <c r="AC73" s="11">
        <v>11</v>
      </c>
      <c r="AD73" s="11">
        <v>2016</v>
      </c>
      <c r="AE73" s="13" t="s">
        <v>1777</v>
      </c>
      <c r="AF73" t="s">
        <v>17</v>
      </c>
      <c r="AG73" s="1">
        <v>42695</v>
      </c>
      <c r="AH73" s="11">
        <v>21</v>
      </c>
      <c r="AI73" s="11">
        <v>11</v>
      </c>
      <c r="AJ73" s="11">
        <v>2016</v>
      </c>
      <c r="AK73" s="13" t="s">
        <v>1762</v>
      </c>
      <c r="AL73" t="s">
        <v>17</v>
      </c>
      <c r="AM73" t="s">
        <v>20</v>
      </c>
      <c r="AN73" t="s">
        <v>8</v>
      </c>
      <c r="AO73" t="s">
        <v>32</v>
      </c>
      <c r="AP73" t="s">
        <v>588</v>
      </c>
      <c r="AQ73" t="s">
        <v>588</v>
      </c>
      <c r="AR73" t="s">
        <v>588</v>
      </c>
      <c r="AS73" t="s">
        <v>588</v>
      </c>
      <c r="AT73" t="s">
        <v>588</v>
      </c>
      <c r="AU73" s="7" t="s">
        <v>588</v>
      </c>
      <c r="AV73" t="s">
        <v>588</v>
      </c>
      <c r="AW73" t="s">
        <v>588</v>
      </c>
      <c r="AX73" t="s">
        <v>588</v>
      </c>
      <c r="AY73" t="s">
        <v>588</v>
      </c>
      <c r="AZ73" t="s">
        <v>588</v>
      </c>
      <c r="BA73" s="7" t="s">
        <v>588</v>
      </c>
      <c r="BB73" t="s">
        <v>588</v>
      </c>
      <c r="BC73" t="s">
        <v>588</v>
      </c>
      <c r="BD73" t="s">
        <v>588</v>
      </c>
      <c r="BE73" t="s">
        <v>588</v>
      </c>
      <c r="BF73" t="s">
        <v>588</v>
      </c>
      <c r="BG73" s="7" t="s">
        <v>588</v>
      </c>
      <c r="BH73" t="s">
        <v>588</v>
      </c>
      <c r="BI73" t="s">
        <v>588</v>
      </c>
      <c r="BJ73" t="s">
        <v>588</v>
      </c>
      <c r="BK73" t="s">
        <v>588</v>
      </c>
      <c r="BL73" t="s">
        <v>588</v>
      </c>
      <c r="BM73" t="s">
        <v>588</v>
      </c>
      <c r="BN73" t="s">
        <v>588</v>
      </c>
      <c r="BO73" t="s">
        <v>588</v>
      </c>
      <c r="BP73" t="s">
        <v>588</v>
      </c>
      <c r="BQ73" t="s">
        <v>588</v>
      </c>
      <c r="BR73" t="s">
        <v>588</v>
      </c>
      <c r="BS73" t="s">
        <v>8</v>
      </c>
      <c r="BT73" t="s">
        <v>9</v>
      </c>
      <c r="BU73" t="s">
        <v>9</v>
      </c>
      <c r="BV73" t="s">
        <v>588</v>
      </c>
      <c r="BW73" t="s">
        <v>588</v>
      </c>
      <c r="BX73" t="s">
        <v>588</v>
      </c>
      <c r="BY73" t="s">
        <v>588</v>
      </c>
      <c r="BZ73" t="s">
        <v>588</v>
      </c>
    </row>
    <row r="74" spans="1:78" x14ac:dyDescent="0.25">
      <c r="A74">
        <v>201617</v>
      </c>
      <c r="B74" t="s">
        <v>62</v>
      </c>
      <c r="C74" t="s">
        <v>35</v>
      </c>
      <c r="D74" t="s">
        <v>24</v>
      </c>
      <c r="E74" t="s">
        <v>63</v>
      </c>
      <c r="F74">
        <v>6</v>
      </c>
      <c r="G74" t="s">
        <v>1698</v>
      </c>
      <c r="H74" s="11" t="s">
        <v>1817</v>
      </c>
      <c r="I74" s="1">
        <v>42740</v>
      </c>
      <c r="J74" s="11">
        <v>5</v>
      </c>
      <c r="K74" s="11">
        <v>1</v>
      </c>
      <c r="L74" s="11">
        <v>2017</v>
      </c>
      <c r="M74" s="11" t="s">
        <v>1778</v>
      </c>
      <c r="N74" t="s">
        <v>12</v>
      </c>
      <c r="O74" t="s">
        <v>10</v>
      </c>
      <c r="P74" s="4" t="s">
        <v>588</v>
      </c>
      <c r="Q74" s="4" t="s">
        <v>588</v>
      </c>
      <c r="R74">
        <v>-38.672297999999998</v>
      </c>
      <c r="S74">
        <v>145.63986199999999</v>
      </c>
      <c r="T74">
        <v>1</v>
      </c>
      <c r="U74">
        <v>1</v>
      </c>
      <c r="V74" t="s">
        <v>588</v>
      </c>
      <c r="W74" t="s">
        <v>588</v>
      </c>
      <c r="X74">
        <v>3</v>
      </c>
      <c r="Y74">
        <v>3</v>
      </c>
      <c r="Z74" t="s">
        <v>41</v>
      </c>
      <c r="AA74" s="1">
        <v>42741</v>
      </c>
      <c r="AB74" s="11">
        <v>6</v>
      </c>
      <c r="AC74" s="11">
        <v>1</v>
      </c>
      <c r="AD74" s="11">
        <v>2017</v>
      </c>
      <c r="AE74" s="13" t="s">
        <v>1781</v>
      </c>
      <c r="AF74" t="s">
        <v>12</v>
      </c>
      <c r="AG74" s="1">
        <v>42751</v>
      </c>
      <c r="AH74" s="11">
        <v>16</v>
      </c>
      <c r="AI74" s="11">
        <v>1</v>
      </c>
      <c r="AJ74" s="11">
        <v>2017</v>
      </c>
      <c r="AK74" s="13" t="s">
        <v>1750</v>
      </c>
      <c r="AL74" t="s">
        <v>12</v>
      </c>
      <c r="AM74" t="s">
        <v>20</v>
      </c>
      <c r="AN74" t="s">
        <v>8</v>
      </c>
      <c r="AO74" t="s">
        <v>11</v>
      </c>
      <c r="AP74" s="1" t="s">
        <v>588</v>
      </c>
      <c r="AQ74" t="s">
        <v>588</v>
      </c>
      <c r="AR74" t="s">
        <v>588</v>
      </c>
      <c r="AS74" t="s">
        <v>588</v>
      </c>
      <c r="AT74" t="s">
        <v>588</v>
      </c>
      <c r="AU74" s="7" t="s">
        <v>588</v>
      </c>
      <c r="AV74" s="1" t="s">
        <v>588</v>
      </c>
      <c r="AW74" t="s">
        <v>588</v>
      </c>
      <c r="AX74" t="s">
        <v>588</v>
      </c>
      <c r="AY74" t="s">
        <v>588</v>
      </c>
      <c r="AZ74" t="s">
        <v>588</v>
      </c>
      <c r="BA74" s="7" t="s">
        <v>588</v>
      </c>
      <c r="BB74" s="1" t="s">
        <v>588</v>
      </c>
      <c r="BC74" t="s">
        <v>588</v>
      </c>
      <c r="BD74" t="s">
        <v>588</v>
      </c>
      <c r="BE74" t="s">
        <v>588</v>
      </c>
      <c r="BF74" t="s">
        <v>588</v>
      </c>
      <c r="BG74" s="7" t="s">
        <v>588</v>
      </c>
      <c r="BH74" t="s">
        <v>588</v>
      </c>
      <c r="BI74" t="s">
        <v>588</v>
      </c>
      <c r="BJ74" t="s">
        <v>588</v>
      </c>
      <c r="BK74" t="s">
        <v>588</v>
      </c>
      <c r="BL74" t="s">
        <v>588</v>
      </c>
      <c r="BM74" t="s">
        <v>588</v>
      </c>
      <c r="BN74" t="s">
        <v>588</v>
      </c>
      <c r="BO74" t="s">
        <v>588</v>
      </c>
      <c r="BP74" t="s">
        <v>588</v>
      </c>
      <c r="BQ74" t="s">
        <v>588</v>
      </c>
      <c r="BR74" t="s">
        <v>588</v>
      </c>
      <c r="BS74" t="s">
        <v>8</v>
      </c>
      <c r="BT74" t="s">
        <v>9</v>
      </c>
      <c r="BU74" t="s">
        <v>9</v>
      </c>
      <c r="BV74" t="s">
        <v>588</v>
      </c>
      <c r="BW74" t="s">
        <v>588</v>
      </c>
      <c r="BX74" t="s">
        <v>588</v>
      </c>
      <c r="BY74" t="s">
        <v>588</v>
      </c>
      <c r="BZ74" t="s">
        <v>588</v>
      </c>
    </row>
    <row r="75" spans="1:78" x14ac:dyDescent="0.25">
      <c r="A75">
        <v>201617</v>
      </c>
      <c r="B75" t="s">
        <v>586</v>
      </c>
      <c r="C75" t="s">
        <v>301</v>
      </c>
      <c r="D75" t="s">
        <v>568</v>
      </c>
      <c r="E75" t="s">
        <v>16</v>
      </c>
      <c r="F75">
        <v>1</v>
      </c>
      <c r="G75" t="s">
        <v>1700</v>
      </c>
      <c r="H75" s="11" t="s">
        <v>1700</v>
      </c>
      <c r="I75" s="1">
        <v>42622</v>
      </c>
      <c r="J75" s="11">
        <v>9</v>
      </c>
      <c r="K75" s="11">
        <v>9</v>
      </c>
      <c r="L75" s="11">
        <v>2016</v>
      </c>
      <c r="M75" s="11" t="s">
        <v>1820</v>
      </c>
      <c r="N75" t="s">
        <v>28</v>
      </c>
      <c r="O75" t="s">
        <v>36</v>
      </c>
      <c r="P75">
        <v>-38.559044999999998</v>
      </c>
      <c r="Q75">
        <v>145.48822000000001</v>
      </c>
      <c r="R75" t="s">
        <v>588</v>
      </c>
      <c r="S75" t="s">
        <v>588</v>
      </c>
      <c r="T75">
        <v>1</v>
      </c>
      <c r="U75">
        <v>3</v>
      </c>
      <c r="V75" t="s">
        <v>588</v>
      </c>
      <c r="W75" t="s">
        <v>588</v>
      </c>
      <c r="X75">
        <v>2</v>
      </c>
      <c r="Y75">
        <v>2</v>
      </c>
      <c r="Z75" t="s">
        <v>41</v>
      </c>
      <c r="AA75" s="1">
        <v>42622</v>
      </c>
      <c r="AB75" s="11">
        <v>9</v>
      </c>
      <c r="AC75" s="11">
        <v>9</v>
      </c>
      <c r="AD75" s="11">
        <v>2016</v>
      </c>
      <c r="AE75" s="13" t="s">
        <v>1820</v>
      </c>
      <c r="AF75" t="s">
        <v>28</v>
      </c>
      <c r="AG75" s="1">
        <v>42633</v>
      </c>
      <c r="AH75" s="11">
        <v>20</v>
      </c>
      <c r="AI75" s="11">
        <v>9</v>
      </c>
      <c r="AJ75" s="11">
        <v>2016</v>
      </c>
      <c r="AK75" s="13" t="s">
        <v>1763</v>
      </c>
      <c r="AL75" t="s">
        <v>28</v>
      </c>
      <c r="AM75" s="1" t="s">
        <v>20</v>
      </c>
      <c r="AN75" t="s">
        <v>41</v>
      </c>
      <c r="AO75" s="1" t="s">
        <v>20</v>
      </c>
      <c r="AP75" t="s">
        <v>588</v>
      </c>
      <c r="AQ75" s="1" t="s">
        <v>588</v>
      </c>
      <c r="AR75" t="s">
        <v>588</v>
      </c>
      <c r="AS75" s="1" t="s">
        <v>588</v>
      </c>
      <c r="AT75" t="s">
        <v>588</v>
      </c>
      <c r="AU75" s="1" t="s">
        <v>588</v>
      </c>
      <c r="AV75" t="s">
        <v>588</v>
      </c>
      <c r="AW75" s="1" t="s">
        <v>588</v>
      </c>
      <c r="AX75" t="s">
        <v>588</v>
      </c>
      <c r="AY75" s="1" t="s">
        <v>588</v>
      </c>
      <c r="AZ75" t="s">
        <v>588</v>
      </c>
      <c r="BA75" s="1" t="s">
        <v>588</v>
      </c>
      <c r="BB75" t="s">
        <v>588</v>
      </c>
      <c r="BC75" s="1" t="s">
        <v>588</v>
      </c>
      <c r="BD75" t="s">
        <v>588</v>
      </c>
      <c r="BE75" s="1" t="s">
        <v>588</v>
      </c>
      <c r="BF75" t="s">
        <v>588</v>
      </c>
      <c r="BG75" s="1" t="s">
        <v>588</v>
      </c>
      <c r="BH75" t="s">
        <v>588</v>
      </c>
      <c r="BI75" s="1" t="s">
        <v>588</v>
      </c>
      <c r="BJ75" t="s">
        <v>588</v>
      </c>
      <c r="BK75" s="1" t="s">
        <v>588</v>
      </c>
      <c r="BL75" t="s">
        <v>588</v>
      </c>
      <c r="BM75" s="1" t="s">
        <v>588</v>
      </c>
      <c r="BN75" t="s">
        <v>588</v>
      </c>
      <c r="BO75" s="1" t="s">
        <v>588</v>
      </c>
      <c r="BP75" t="s">
        <v>588</v>
      </c>
      <c r="BQ75" s="1" t="s">
        <v>588</v>
      </c>
      <c r="BR75" t="s">
        <v>588</v>
      </c>
      <c r="BS75" t="s">
        <v>8</v>
      </c>
      <c r="BT75" t="s">
        <v>123</v>
      </c>
      <c r="BU75" t="s">
        <v>123</v>
      </c>
      <c r="BV75" t="s">
        <v>588</v>
      </c>
      <c r="BW75" t="s">
        <v>588</v>
      </c>
      <c r="BX75" t="s">
        <v>588</v>
      </c>
      <c r="BY75" t="s">
        <v>588</v>
      </c>
      <c r="BZ75" t="s">
        <v>588</v>
      </c>
    </row>
    <row r="76" spans="1:78" x14ac:dyDescent="0.25">
      <c r="A76">
        <v>201617</v>
      </c>
      <c r="B76" t="s">
        <v>586</v>
      </c>
      <c r="C76" t="s">
        <v>301</v>
      </c>
      <c r="D76" t="s">
        <v>568</v>
      </c>
      <c r="E76" t="s">
        <v>16</v>
      </c>
      <c r="F76">
        <v>2</v>
      </c>
      <c r="G76" t="s">
        <v>1701</v>
      </c>
      <c r="H76" s="11" t="s">
        <v>1701</v>
      </c>
      <c r="I76" s="1">
        <v>42643</v>
      </c>
      <c r="J76" s="11">
        <v>30</v>
      </c>
      <c r="K76" s="11">
        <v>9</v>
      </c>
      <c r="L76" s="11">
        <v>2016</v>
      </c>
      <c r="M76" s="11" t="s">
        <v>1798</v>
      </c>
      <c r="N76" t="s">
        <v>28</v>
      </c>
      <c r="O76" t="s">
        <v>36</v>
      </c>
      <c r="P76">
        <v>-38.556789999999999</v>
      </c>
      <c r="Q76">
        <v>145.48560000000001</v>
      </c>
      <c r="R76" t="s">
        <v>588</v>
      </c>
      <c r="S76" t="s">
        <v>588</v>
      </c>
      <c r="T76">
        <v>3</v>
      </c>
      <c r="U76">
        <v>3</v>
      </c>
      <c r="V76" s="1">
        <v>42647</v>
      </c>
      <c r="W76" t="s">
        <v>223</v>
      </c>
      <c r="X76">
        <v>3</v>
      </c>
      <c r="Y76">
        <v>3</v>
      </c>
      <c r="Z76" t="s">
        <v>41</v>
      </c>
      <c r="AA76" s="1">
        <v>42649</v>
      </c>
      <c r="AB76" s="11">
        <v>6</v>
      </c>
      <c r="AC76" s="11">
        <v>10</v>
      </c>
      <c r="AD76" s="11">
        <v>2016</v>
      </c>
      <c r="AE76" s="13" t="s">
        <v>1752</v>
      </c>
      <c r="AF76" t="s">
        <v>29</v>
      </c>
      <c r="AG76" s="1">
        <v>42657</v>
      </c>
      <c r="AH76" s="11">
        <v>14</v>
      </c>
      <c r="AI76" s="11">
        <v>10</v>
      </c>
      <c r="AJ76" s="11">
        <v>2016</v>
      </c>
      <c r="AK76" s="13" t="s">
        <v>1764</v>
      </c>
      <c r="AL76" t="s">
        <v>29</v>
      </c>
      <c r="AM76" s="1" t="s">
        <v>20</v>
      </c>
      <c r="AN76" t="s">
        <v>41</v>
      </c>
      <c r="AO76" s="1" t="s">
        <v>20</v>
      </c>
      <c r="AP76" t="s">
        <v>588</v>
      </c>
      <c r="AQ76" s="1" t="s">
        <v>588</v>
      </c>
      <c r="AR76" t="s">
        <v>588</v>
      </c>
      <c r="AS76" s="1" t="s">
        <v>588</v>
      </c>
      <c r="AT76" t="s">
        <v>588</v>
      </c>
      <c r="AU76" s="1" t="s">
        <v>588</v>
      </c>
      <c r="AV76" t="s">
        <v>588</v>
      </c>
      <c r="AW76" s="1" t="s">
        <v>588</v>
      </c>
      <c r="AX76" t="s">
        <v>588</v>
      </c>
      <c r="AY76" s="1" t="s">
        <v>588</v>
      </c>
      <c r="AZ76" t="s">
        <v>588</v>
      </c>
      <c r="BA76" s="1" t="s">
        <v>588</v>
      </c>
      <c r="BB76" t="s">
        <v>588</v>
      </c>
      <c r="BC76" s="1" t="s">
        <v>588</v>
      </c>
      <c r="BD76" t="s">
        <v>588</v>
      </c>
      <c r="BE76" s="1" t="s">
        <v>588</v>
      </c>
      <c r="BF76" t="s">
        <v>588</v>
      </c>
      <c r="BG76" s="1" t="s">
        <v>588</v>
      </c>
      <c r="BH76" t="s">
        <v>588</v>
      </c>
      <c r="BI76" s="1" t="s">
        <v>588</v>
      </c>
      <c r="BJ76" t="s">
        <v>588</v>
      </c>
      <c r="BK76" s="1" t="s">
        <v>588</v>
      </c>
      <c r="BL76" t="s">
        <v>588</v>
      </c>
      <c r="BM76" s="1" t="s">
        <v>588</v>
      </c>
      <c r="BN76" t="s">
        <v>588</v>
      </c>
      <c r="BO76" s="1" t="s">
        <v>588</v>
      </c>
      <c r="BP76" t="s">
        <v>588</v>
      </c>
      <c r="BQ76" s="1" t="s">
        <v>588</v>
      </c>
      <c r="BR76" t="s">
        <v>588</v>
      </c>
      <c r="BS76" t="s">
        <v>8</v>
      </c>
      <c r="BT76" t="s">
        <v>1617</v>
      </c>
      <c r="BU76" t="s">
        <v>1617</v>
      </c>
      <c r="BV76" t="s">
        <v>588</v>
      </c>
      <c r="BW76" t="s">
        <v>588</v>
      </c>
      <c r="BX76" t="s">
        <v>588</v>
      </c>
      <c r="BY76" t="s">
        <v>588</v>
      </c>
      <c r="BZ76" t="s">
        <v>588</v>
      </c>
    </row>
    <row r="77" spans="1:78" x14ac:dyDescent="0.25">
      <c r="A77">
        <v>201617</v>
      </c>
      <c r="B77" t="s">
        <v>586</v>
      </c>
      <c r="C77" t="s">
        <v>301</v>
      </c>
      <c r="D77" t="s">
        <v>568</v>
      </c>
      <c r="E77" t="s">
        <v>16</v>
      </c>
      <c r="F77">
        <v>3</v>
      </c>
      <c r="G77" t="s">
        <v>1702</v>
      </c>
      <c r="H77" s="11" t="s">
        <v>1702</v>
      </c>
      <c r="I77" s="1">
        <v>42692</v>
      </c>
      <c r="J77" s="11">
        <v>18</v>
      </c>
      <c r="K77" s="11">
        <v>11</v>
      </c>
      <c r="L77" s="11">
        <v>2016</v>
      </c>
      <c r="M77" s="11" t="s">
        <v>1751</v>
      </c>
      <c r="N77" t="s">
        <v>17</v>
      </c>
      <c r="O77" t="s">
        <v>36</v>
      </c>
      <c r="P77">
        <v>-38.556899999999999</v>
      </c>
      <c r="Q77">
        <v>145.48571000000001</v>
      </c>
      <c r="R77" t="s">
        <v>588</v>
      </c>
      <c r="S77" t="s">
        <v>588</v>
      </c>
      <c r="T77">
        <v>3</v>
      </c>
      <c r="U77">
        <v>3</v>
      </c>
      <c r="V77" s="1">
        <v>42696</v>
      </c>
      <c r="W77" t="s">
        <v>223</v>
      </c>
      <c r="X77">
        <v>3</v>
      </c>
      <c r="Y77">
        <v>3</v>
      </c>
      <c r="Z77" t="s">
        <v>41</v>
      </c>
      <c r="AA77" s="1">
        <v>42699</v>
      </c>
      <c r="AB77" s="11">
        <v>25</v>
      </c>
      <c r="AC77" s="11">
        <v>11</v>
      </c>
      <c r="AD77" s="11">
        <v>2016</v>
      </c>
      <c r="AE77" s="13" t="s">
        <v>1821</v>
      </c>
      <c r="AF77" t="s">
        <v>17</v>
      </c>
      <c r="AG77" s="1">
        <v>42705</v>
      </c>
      <c r="AH77" s="11">
        <v>1</v>
      </c>
      <c r="AI77" s="11">
        <v>12</v>
      </c>
      <c r="AJ77" s="11">
        <v>2016</v>
      </c>
      <c r="AK77" s="13" t="s">
        <v>1728</v>
      </c>
      <c r="AL77" t="s">
        <v>12</v>
      </c>
      <c r="AM77" t="s">
        <v>20</v>
      </c>
      <c r="AN77" t="s">
        <v>8</v>
      </c>
      <c r="AO77" t="s">
        <v>1067</v>
      </c>
      <c r="AP77" t="s">
        <v>588</v>
      </c>
      <c r="AQ77" s="1" t="s">
        <v>588</v>
      </c>
      <c r="AR77" t="s">
        <v>588</v>
      </c>
      <c r="AS77" s="1" t="s">
        <v>588</v>
      </c>
      <c r="AT77" t="s">
        <v>588</v>
      </c>
      <c r="AU77" s="1" t="s">
        <v>588</v>
      </c>
      <c r="AV77" t="s">
        <v>588</v>
      </c>
      <c r="AW77" s="1" t="s">
        <v>588</v>
      </c>
      <c r="AX77" t="s">
        <v>588</v>
      </c>
      <c r="AY77" s="1" t="s">
        <v>588</v>
      </c>
      <c r="AZ77" t="s">
        <v>588</v>
      </c>
      <c r="BA77" s="1" t="s">
        <v>588</v>
      </c>
      <c r="BB77" t="s">
        <v>588</v>
      </c>
      <c r="BC77" s="1" t="s">
        <v>588</v>
      </c>
      <c r="BD77" t="s">
        <v>588</v>
      </c>
      <c r="BE77" s="1" t="s">
        <v>588</v>
      </c>
      <c r="BF77" t="s">
        <v>588</v>
      </c>
      <c r="BG77" s="1" t="s">
        <v>588</v>
      </c>
      <c r="BH77" t="s">
        <v>588</v>
      </c>
      <c r="BI77" s="1" t="s">
        <v>588</v>
      </c>
      <c r="BJ77" t="s">
        <v>588</v>
      </c>
      <c r="BK77" s="1" t="s">
        <v>588</v>
      </c>
      <c r="BL77" t="s">
        <v>588</v>
      </c>
      <c r="BM77" s="1" t="s">
        <v>588</v>
      </c>
      <c r="BN77" t="s">
        <v>588</v>
      </c>
      <c r="BO77" s="1" t="s">
        <v>588</v>
      </c>
      <c r="BP77" t="s">
        <v>588</v>
      </c>
      <c r="BQ77" s="1" t="s">
        <v>588</v>
      </c>
      <c r="BR77" t="s">
        <v>588</v>
      </c>
      <c r="BS77" t="s">
        <v>8</v>
      </c>
      <c r="BT77" t="s">
        <v>1617</v>
      </c>
      <c r="BU77" t="s">
        <v>1617</v>
      </c>
      <c r="BV77" t="s">
        <v>588</v>
      </c>
      <c r="BW77" t="s">
        <v>588</v>
      </c>
      <c r="BX77" t="s">
        <v>588</v>
      </c>
      <c r="BY77" t="s">
        <v>588</v>
      </c>
      <c r="BZ77" t="s">
        <v>588</v>
      </c>
    </row>
    <row r="78" spans="1:78" x14ac:dyDescent="0.25">
      <c r="A78">
        <v>201617</v>
      </c>
      <c r="B78" t="s">
        <v>1620</v>
      </c>
      <c r="C78" t="s">
        <v>301</v>
      </c>
      <c r="D78" t="s">
        <v>568</v>
      </c>
      <c r="E78" t="s">
        <v>16</v>
      </c>
      <c r="F78">
        <v>4</v>
      </c>
      <c r="G78" t="s">
        <v>1703</v>
      </c>
      <c r="H78" s="11" t="s">
        <v>1822</v>
      </c>
      <c r="I78" s="1">
        <v>42716</v>
      </c>
      <c r="J78" s="11">
        <v>12</v>
      </c>
      <c r="K78" s="11">
        <v>12</v>
      </c>
      <c r="L78" s="11">
        <v>2016</v>
      </c>
      <c r="M78" s="11" t="s">
        <v>1748</v>
      </c>
      <c r="N78" t="s">
        <v>7</v>
      </c>
      <c r="O78" t="s">
        <v>10</v>
      </c>
      <c r="P78">
        <v>-38.557873000000001</v>
      </c>
      <c r="Q78">
        <v>145.48667900000001</v>
      </c>
      <c r="R78" t="s">
        <v>588</v>
      </c>
      <c r="S78" t="s">
        <v>588</v>
      </c>
      <c r="T78">
        <v>3</v>
      </c>
      <c r="U78">
        <v>3</v>
      </c>
      <c r="V78" t="s">
        <v>588</v>
      </c>
      <c r="W78" t="s">
        <v>588</v>
      </c>
      <c r="X78">
        <v>7</v>
      </c>
      <c r="Y78">
        <v>6</v>
      </c>
      <c r="Z78" t="s">
        <v>8</v>
      </c>
      <c r="AA78" s="1">
        <v>42741</v>
      </c>
      <c r="AB78" s="11">
        <v>6</v>
      </c>
      <c r="AC78" s="11">
        <v>1</v>
      </c>
      <c r="AD78" s="11">
        <v>2017</v>
      </c>
      <c r="AE78" s="13" t="s">
        <v>1781</v>
      </c>
      <c r="AF78" t="s">
        <v>12</v>
      </c>
      <c r="AG78" t="s">
        <v>588</v>
      </c>
      <c r="AH78" s="11" t="s">
        <v>588</v>
      </c>
      <c r="AI78" s="11" t="s">
        <v>588</v>
      </c>
      <c r="AJ78" s="11" t="s">
        <v>588</v>
      </c>
      <c r="AK78" s="13" t="s">
        <v>588</v>
      </c>
      <c r="AL78" t="s">
        <v>588</v>
      </c>
      <c r="AM78" s="1" t="s">
        <v>588</v>
      </c>
      <c r="AN78" t="s">
        <v>588</v>
      </c>
      <c r="AO78" s="1" t="s">
        <v>588</v>
      </c>
      <c r="AP78" s="1">
        <v>42744</v>
      </c>
      <c r="AQ78" t="s">
        <v>12</v>
      </c>
      <c r="AR78" t="s">
        <v>195</v>
      </c>
      <c r="AS78">
        <v>2</v>
      </c>
      <c r="AT78">
        <v>3</v>
      </c>
      <c r="AU78" s="1">
        <v>42752</v>
      </c>
      <c r="AV78" s="1">
        <v>42758</v>
      </c>
      <c r="AW78" t="s">
        <v>12</v>
      </c>
      <c r="AX78" t="s">
        <v>20</v>
      </c>
      <c r="AY78" t="s">
        <v>41</v>
      </c>
      <c r="AZ78" t="s">
        <v>20</v>
      </c>
      <c r="BA78" s="1" t="s">
        <v>588</v>
      </c>
      <c r="BB78" t="s">
        <v>588</v>
      </c>
      <c r="BC78" s="1" t="s">
        <v>588</v>
      </c>
      <c r="BD78" t="s">
        <v>588</v>
      </c>
      <c r="BE78" s="1" t="s">
        <v>588</v>
      </c>
      <c r="BF78" t="s">
        <v>588</v>
      </c>
      <c r="BG78" s="1" t="s">
        <v>588</v>
      </c>
      <c r="BH78" t="s">
        <v>588</v>
      </c>
      <c r="BI78" s="1" t="s">
        <v>588</v>
      </c>
      <c r="BJ78" t="s">
        <v>588</v>
      </c>
      <c r="BK78" s="1" t="s">
        <v>588</v>
      </c>
      <c r="BL78" t="s">
        <v>588</v>
      </c>
      <c r="BM78">
        <v>17</v>
      </c>
      <c r="BN78">
        <v>15</v>
      </c>
      <c r="BO78" t="s">
        <v>8</v>
      </c>
      <c r="BP78">
        <v>1</v>
      </c>
      <c r="BQ78" s="1">
        <v>42781</v>
      </c>
      <c r="BR78" t="s">
        <v>21</v>
      </c>
      <c r="BS78" t="s">
        <v>8</v>
      </c>
      <c r="BT78" t="s">
        <v>120</v>
      </c>
      <c r="BU78" t="s">
        <v>120</v>
      </c>
      <c r="BV78" t="s">
        <v>8</v>
      </c>
      <c r="BW78" t="s">
        <v>120</v>
      </c>
      <c r="BX78" t="s">
        <v>120</v>
      </c>
      <c r="BY78" t="s">
        <v>588</v>
      </c>
      <c r="BZ78" t="s">
        <v>588</v>
      </c>
    </row>
    <row r="79" spans="1:78" x14ac:dyDescent="0.25">
      <c r="A79">
        <v>201617</v>
      </c>
      <c r="B79" t="s">
        <v>66</v>
      </c>
      <c r="C79" t="s">
        <v>76</v>
      </c>
      <c r="D79" t="s">
        <v>24</v>
      </c>
      <c r="E79" t="s">
        <v>63</v>
      </c>
      <c r="F79">
        <v>7</v>
      </c>
      <c r="G79" t="s">
        <v>1699</v>
      </c>
      <c r="H79" s="11" t="s">
        <v>1818</v>
      </c>
      <c r="I79" s="1">
        <v>42772</v>
      </c>
      <c r="J79" s="11">
        <v>6</v>
      </c>
      <c r="K79" s="11">
        <v>2</v>
      </c>
      <c r="L79" s="11">
        <v>2017</v>
      </c>
      <c r="M79" s="11" t="s">
        <v>1819</v>
      </c>
      <c r="N79" t="s">
        <v>21</v>
      </c>
      <c r="O79" t="s">
        <v>10</v>
      </c>
      <c r="P79" s="4" t="s">
        <v>588</v>
      </c>
      <c r="Q79" s="4" t="s">
        <v>588</v>
      </c>
      <c r="R79">
        <v>-38.676025000000003</v>
      </c>
      <c r="S79">
        <v>145.650375</v>
      </c>
      <c r="T79">
        <v>3</v>
      </c>
      <c r="U79">
        <v>3</v>
      </c>
      <c r="V79" t="s">
        <v>588</v>
      </c>
      <c r="W79" t="s">
        <v>588</v>
      </c>
      <c r="X79">
        <v>3</v>
      </c>
      <c r="Y79">
        <v>3</v>
      </c>
      <c r="Z79" t="s">
        <v>8</v>
      </c>
      <c r="AA79" s="1">
        <v>42788</v>
      </c>
      <c r="AB79" s="11">
        <v>22</v>
      </c>
      <c r="AC79" s="11">
        <v>2</v>
      </c>
      <c r="AD79" s="11">
        <v>2017</v>
      </c>
      <c r="AE79" s="13" t="s">
        <v>1739</v>
      </c>
      <c r="AF79" t="s">
        <v>21</v>
      </c>
      <c r="AG79" s="1" t="s">
        <v>588</v>
      </c>
      <c r="AH79" s="11" t="s">
        <v>588</v>
      </c>
      <c r="AI79" s="11" t="s">
        <v>588</v>
      </c>
      <c r="AJ79" s="11" t="s">
        <v>588</v>
      </c>
      <c r="AK79" s="13" t="s">
        <v>588</v>
      </c>
      <c r="AL79" t="s">
        <v>588</v>
      </c>
      <c r="AM79" s="1" t="s">
        <v>588</v>
      </c>
      <c r="AN79" t="s">
        <v>588</v>
      </c>
      <c r="AO79" s="1" t="s">
        <v>588</v>
      </c>
      <c r="AP79" s="1">
        <v>42793</v>
      </c>
      <c r="AQ79" t="s">
        <v>21</v>
      </c>
      <c r="AR79" t="s">
        <v>195</v>
      </c>
      <c r="AS79">
        <v>1</v>
      </c>
      <c r="AT79">
        <v>2</v>
      </c>
      <c r="AU79" s="7">
        <v>42796</v>
      </c>
      <c r="AV79" s="1">
        <v>42809</v>
      </c>
      <c r="AW79" t="s">
        <v>22</v>
      </c>
      <c r="AX79" t="s">
        <v>20</v>
      </c>
      <c r="AY79" t="s">
        <v>588</v>
      </c>
      <c r="AZ79" t="s">
        <v>20</v>
      </c>
      <c r="BA79" s="7" t="s">
        <v>588</v>
      </c>
      <c r="BB79" t="s">
        <v>588</v>
      </c>
      <c r="BC79" t="s">
        <v>588</v>
      </c>
      <c r="BD79" t="s">
        <v>588</v>
      </c>
      <c r="BE79" t="s">
        <v>588</v>
      </c>
      <c r="BF79" t="s">
        <v>588</v>
      </c>
      <c r="BG79" s="7" t="s">
        <v>588</v>
      </c>
      <c r="BH79" t="s">
        <v>588</v>
      </c>
      <c r="BI79" t="s">
        <v>588</v>
      </c>
      <c r="BJ79" t="s">
        <v>588</v>
      </c>
      <c r="BK79" t="s">
        <v>588</v>
      </c>
      <c r="BL79" t="s">
        <v>588</v>
      </c>
      <c r="BM79">
        <v>3</v>
      </c>
      <c r="BN79">
        <v>3</v>
      </c>
      <c r="BO79" t="s">
        <v>41</v>
      </c>
      <c r="BP79" t="s">
        <v>588</v>
      </c>
      <c r="BQ79" t="s">
        <v>588</v>
      </c>
      <c r="BR79" t="s">
        <v>588</v>
      </c>
      <c r="BS79" t="s">
        <v>8</v>
      </c>
      <c r="BT79" t="s">
        <v>9</v>
      </c>
      <c r="BU79" t="s">
        <v>9</v>
      </c>
      <c r="BV79" t="s">
        <v>8</v>
      </c>
      <c r="BW79" t="s">
        <v>9</v>
      </c>
      <c r="BX79" t="s">
        <v>9</v>
      </c>
      <c r="BY79" t="s">
        <v>198</v>
      </c>
      <c r="BZ79" t="s">
        <v>588</v>
      </c>
    </row>
    <row r="80" spans="1:78" x14ac:dyDescent="0.25">
      <c r="A80">
        <v>201617</v>
      </c>
      <c r="B80" t="s">
        <v>587</v>
      </c>
      <c r="C80" t="s">
        <v>587</v>
      </c>
      <c r="D80" t="s">
        <v>360</v>
      </c>
      <c r="E80" t="s">
        <v>248</v>
      </c>
      <c r="F80">
        <v>1</v>
      </c>
      <c r="G80" t="s">
        <v>1704</v>
      </c>
      <c r="H80" s="11" t="s">
        <v>1704</v>
      </c>
      <c r="I80" s="1">
        <v>42758</v>
      </c>
      <c r="J80" s="11">
        <v>23</v>
      </c>
      <c r="K80" s="11">
        <v>1</v>
      </c>
      <c r="L80" s="11">
        <v>2017</v>
      </c>
      <c r="M80" s="11" t="s">
        <v>1738</v>
      </c>
      <c r="N80" t="s">
        <v>12</v>
      </c>
      <c r="O80" t="s">
        <v>10</v>
      </c>
      <c r="P80">
        <v>-38.598979999999997</v>
      </c>
      <c r="Q80">
        <v>145.52709999999999</v>
      </c>
      <c r="R80" t="s">
        <v>588</v>
      </c>
      <c r="S80" t="s">
        <v>588</v>
      </c>
      <c r="T80">
        <v>1</v>
      </c>
      <c r="U80">
        <v>3</v>
      </c>
      <c r="V80" t="s">
        <v>588</v>
      </c>
      <c r="W80" t="s">
        <v>588</v>
      </c>
      <c r="X80">
        <v>2</v>
      </c>
      <c r="Y80">
        <v>2</v>
      </c>
      <c r="Z80" t="s">
        <v>41</v>
      </c>
      <c r="AA80" s="1">
        <v>42758</v>
      </c>
      <c r="AB80" s="11">
        <v>23</v>
      </c>
      <c r="AC80" s="11">
        <v>1</v>
      </c>
      <c r="AD80" s="11">
        <v>2017</v>
      </c>
      <c r="AE80" s="13" t="s">
        <v>1738</v>
      </c>
      <c r="AF80" t="s">
        <v>12</v>
      </c>
      <c r="AG80" s="1">
        <v>42766</v>
      </c>
      <c r="AH80" s="11">
        <v>31</v>
      </c>
      <c r="AI80" s="11">
        <v>1</v>
      </c>
      <c r="AJ80" s="11">
        <v>2017</v>
      </c>
      <c r="AK80" s="13" t="s">
        <v>1765</v>
      </c>
      <c r="AL80" t="s">
        <v>12</v>
      </c>
      <c r="AM80" s="1" t="s">
        <v>20</v>
      </c>
      <c r="AN80" t="s">
        <v>41</v>
      </c>
      <c r="AO80" s="1" t="s">
        <v>20</v>
      </c>
      <c r="AP80" t="s">
        <v>588</v>
      </c>
      <c r="AQ80" s="1" t="s">
        <v>588</v>
      </c>
      <c r="AR80" t="s">
        <v>588</v>
      </c>
      <c r="AS80" s="1" t="s">
        <v>588</v>
      </c>
      <c r="AT80" t="s">
        <v>588</v>
      </c>
      <c r="AU80" s="1" t="s">
        <v>588</v>
      </c>
      <c r="AV80" t="s">
        <v>588</v>
      </c>
      <c r="AW80" s="1" t="s">
        <v>588</v>
      </c>
      <c r="AX80" t="s">
        <v>588</v>
      </c>
      <c r="AY80" s="1" t="s">
        <v>588</v>
      </c>
      <c r="AZ80" t="s">
        <v>588</v>
      </c>
      <c r="BA80" s="1" t="s">
        <v>588</v>
      </c>
      <c r="BB80" t="s">
        <v>588</v>
      </c>
      <c r="BC80" s="1" t="s">
        <v>588</v>
      </c>
      <c r="BD80" t="s">
        <v>588</v>
      </c>
      <c r="BE80" s="1" t="s">
        <v>588</v>
      </c>
      <c r="BF80" t="s">
        <v>588</v>
      </c>
      <c r="BG80" s="1" t="s">
        <v>588</v>
      </c>
      <c r="BH80" t="s">
        <v>588</v>
      </c>
      <c r="BI80" s="1" t="s">
        <v>588</v>
      </c>
      <c r="BJ80" t="s">
        <v>588</v>
      </c>
      <c r="BK80" s="1" t="s">
        <v>588</v>
      </c>
      <c r="BL80" t="s">
        <v>588</v>
      </c>
      <c r="BM80" s="1" t="s">
        <v>588</v>
      </c>
      <c r="BN80" t="s">
        <v>588</v>
      </c>
      <c r="BO80" s="1" t="s">
        <v>588</v>
      </c>
      <c r="BP80" t="s">
        <v>588</v>
      </c>
      <c r="BQ80" s="1" t="s">
        <v>588</v>
      </c>
      <c r="BR80" t="s">
        <v>588</v>
      </c>
      <c r="BS80" t="s">
        <v>8</v>
      </c>
      <c r="BT80" t="s">
        <v>120</v>
      </c>
      <c r="BU80" t="s">
        <v>120</v>
      </c>
      <c r="BV80" t="s">
        <v>588</v>
      </c>
      <c r="BW80" t="s">
        <v>588</v>
      </c>
      <c r="BX80" t="s">
        <v>588</v>
      </c>
      <c r="BY80" t="s">
        <v>588</v>
      </c>
      <c r="BZ80" t="s">
        <v>588</v>
      </c>
    </row>
    <row r="81" spans="1:78" x14ac:dyDescent="0.25">
      <c r="A81">
        <v>201617</v>
      </c>
      <c r="B81" t="s">
        <v>351</v>
      </c>
      <c r="C81" t="s">
        <v>351</v>
      </c>
      <c r="D81" t="s">
        <v>564</v>
      </c>
      <c r="E81" t="s">
        <v>16</v>
      </c>
      <c r="F81">
        <v>1</v>
      </c>
      <c r="G81" t="s">
        <v>1705</v>
      </c>
      <c r="H81" s="11" t="s">
        <v>1705</v>
      </c>
      <c r="I81" s="1">
        <v>42766</v>
      </c>
      <c r="J81" s="11">
        <v>31</v>
      </c>
      <c r="K81" s="11">
        <v>1</v>
      </c>
      <c r="L81" s="11">
        <v>2017</v>
      </c>
      <c r="M81" s="11" t="s">
        <v>1765</v>
      </c>
      <c r="N81" t="s">
        <v>12</v>
      </c>
      <c r="O81" t="s">
        <v>51</v>
      </c>
      <c r="P81">
        <v>-38.602240000000002</v>
      </c>
      <c r="Q81">
        <v>145.53</v>
      </c>
      <c r="R81" t="s">
        <v>588</v>
      </c>
      <c r="S81" t="s">
        <v>588</v>
      </c>
      <c r="T81">
        <v>3</v>
      </c>
      <c r="U81">
        <v>3</v>
      </c>
      <c r="V81" t="s">
        <v>588</v>
      </c>
      <c r="W81" t="s">
        <v>588</v>
      </c>
      <c r="X81">
        <v>2</v>
      </c>
      <c r="Y81">
        <v>2</v>
      </c>
      <c r="Z81" t="s">
        <v>41</v>
      </c>
      <c r="AA81" s="1">
        <v>42766</v>
      </c>
      <c r="AB81" s="11">
        <v>31</v>
      </c>
      <c r="AC81" s="11">
        <v>1</v>
      </c>
      <c r="AD81" s="11">
        <v>2017</v>
      </c>
      <c r="AE81" s="13" t="s">
        <v>1765</v>
      </c>
      <c r="AF81" t="s">
        <v>12</v>
      </c>
      <c r="AG81" s="1">
        <v>42774</v>
      </c>
      <c r="AH81" s="11">
        <v>8</v>
      </c>
      <c r="AI81" s="11">
        <v>2</v>
      </c>
      <c r="AJ81" s="11">
        <v>2017</v>
      </c>
      <c r="AK81" s="13" t="s">
        <v>1724</v>
      </c>
      <c r="AL81" t="s">
        <v>21</v>
      </c>
      <c r="AM81" t="s">
        <v>20</v>
      </c>
      <c r="AN81" t="s">
        <v>8</v>
      </c>
      <c r="AO81" t="s">
        <v>32</v>
      </c>
      <c r="AP81" t="s">
        <v>588</v>
      </c>
      <c r="AQ81" s="1" t="s">
        <v>588</v>
      </c>
      <c r="AR81" t="s">
        <v>588</v>
      </c>
      <c r="AS81" s="1" t="s">
        <v>588</v>
      </c>
      <c r="AT81" t="s">
        <v>588</v>
      </c>
      <c r="AU81" s="1" t="s">
        <v>588</v>
      </c>
      <c r="AV81" t="s">
        <v>588</v>
      </c>
      <c r="AW81" s="1" t="s">
        <v>588</v>
      </c>
      <c r="AX81" t="s">
        <v>588</v>
      </c>
      <c r="AY81" s="1" t="s">
        <v>588</v>
      </c>
      <c r="AZ81" t="s">
        <v>588</v>
      </c>
      <c r="BA81" s="1" t="s">
        <v>588</v>
      </c>
      <c r="BB81" t="s">
        <v>588</v>
      </c>
      <c r="BC81" s="1" t="s">
        <v>588</v>
      </c>
      <c r="BD81" t="s">
        <v>588</v>
      </c>
      <c r="BE81" s="1" t="s">
        <v>588</v>
      </c>
      <c r="BF81" t="s">
        <v>588</v>
      </c>
      <c r="BG81" s="1" t="s">
        <v>588</v>
      </c>
      <c r="BH81" t="s">
        <v>588</v>
      </c>
      <c r="BI81" s="1" t="s">
        <v>588</v>
      </c>
      <c r="BJ81" t="s">
        <v>588</v>
      </c>
      <c r="BK81" s="1" t="s">
        <v>588</v>
      </c>
      <c r="BL81" t="s">
        <v>588</v>
      </c>
      <c r="BM81" s="1" t="s">
        <v>588</v>
      </c>
      <c r="BN81" t="s">
        <v>588</v>
      </c>
      <c r="BO81" s="1" t="s">
        <v>588</v>
      </c>
      <c r="BP81" t="s">
        <v>588</v>
      </c>
      <c r="BQ81" s="1" t="s">
        <v>588</v>
      </c>
      <c r="BR81" t="s">
        <v>588</v>
      </c>
      <c r="BS81" t="s">
        <v>41</v>
      </c>
      <c r="BT81" t="s">
        <v>42</v>
      </c>
      <c r="BU81" t="s">
        <v>42</v>
      </c>
      <c r="BV81" t="s">
        <v>588</v>
      </c>
      <c r="BW81" t="s">
        <v>588</v>
      </c>
      <c r="BX81" t="s">
        <v>588</v>
      </c>
      <c r="BY81" t="s">
        <v>588</v>
      </c>
      <c r="BZ81" t="s">
        <v>588</v>
      </c>
    </row>
    <row r="82" spans="1:78" x14ac:dyDescent="0.25">
      <c r="A82">
        <v>201617</v>
      </c>
      <c r="B82" t="s">
        <v>351</v>
      </c>
      <c r="C82" t="s">
        <v>351</v>
      </c>
      <c r="D82" t="s">
        <v>564</v>
      </c>
      <c r="E82" t="s">
        <v>16</v>
      </c>
      <c r="F82">
        <v>2</v>
      </c>
      <c r="G82" t="s">
        <v>1706</v>
      </c>
      <c r="H82" s="11" t="s">
        <v>1706</v>
      </c>
      <c r="I82" s="1">
        <v>42781</v>
      </c>
      <c r="J82" s="11">
        <v>15</v>
      </c>
      <c r="K82" s="11">
        <v>2</v>
      </c>
      <c r="L82" s="11">
        <v>2017</v>
      </c>
      <c r="M82" s="11" t="s">
        <v>1768</v>
      </c>
      <c r="N82" t="s">
        <v>21</v>
      </c>
      <c r="O82" t="s">
        <v>51</v>
      </c>
      <c r="P82">
        <v>-38.601790000000001</v>
      </c>
      <c r="Q82">
        <v>145.52965</v>
      </c>
      <c r="R82" t="s">
        <v>588</v>
      </c>
      <c r="S82" t="s">
        <v>588</v>
      </c>
      <c r="T82">
        <v>3</v>
      </c>
      <c r="U82">
        <v>3</v>
      </c>
      <c r="V82" s="1">
        <v>42785</v>
      </c>
      <c r="W82" t="s">
        <v>223</v>
      </c>
      <c r="X82">
        <v>4</v>
      </c>
      <c r="Y82">
        <v>4</v>
      </c>
      <c r="Z82" t="s">
        <v>41</v>
      </c>
      <c r="AA82" s="1">
        <v>42811</v>
      </c>
      <c r="AB82" s="11">
        <v>17</v>
      </c>
      <c r="AC82" s="11">
        <v>3</v>
      </c>
      <c r="AD82" s="11">
        <v>2017</v>
      </c>
      <c r="AE82" s="13" t="s">
        <v>1772</v>
      </c>
      <c r="AF82" t="s">
        <v>22</v>
      </c>
      <c r="AG82" s="1">
        <v>42817</v>
      </c>
      <c r="AH82" s="11">
        <v>23</v>
      </c>
      <c r="AI82" s="11">
        <v>3</v>
      </c>
      <c r="AJ82" s="11">
        <v>2017</v>
      </c>
      <c r="AK82" s="13" t="s">
        <v>1766</v>
      </c>
      <c r="AL82" t="s">
        <v>22</v>
      </c>
      <c r="AM82" s="1" t="s">
        <v>20</v>
      </c>
      <c r="AN82" t="s">
        <v>41</v>
      </c>
      <c r="AO82" s="1" t="s">
        <v>20</v>
      </c>
      <c r="AP82" t="s">
        <v>588</v>
      </c>
      <c r="AQ82" s="1" t="s">
        <v>588</v>
      </c>
      <c r="AR82" t="s">
        <v>588</v>
      </c>
      <c r="AS82" s="1" t="s">
        <v>588</v>
      </c>
      <c r="AT82" t="s">
        <v>588</v>
      </c>
      <c r="AU82" s="1" t="s">
        <v>588</v>
      </c>
      <c r="AV82" t="s">
        <v>588</v>
      </c>
      <c r="AW82" s="1" t="s">
        <v>588</v>
      </c>
      <c r="AX82" t="s">
        <v>588</v>
      </c>
      <c r="AY82" s="1" t="s">
        <v>588</v>
      </c>
      <c r="AZ82" t="s">
        <v>588</v>
      </c>
      <c r="BA82" s="1" t="s">
        <v>588</v>
      </c>
      <c r="BB82" t="s">
        <v>588</v>
      </c>
      <c r="BC82" s="1" t="s">
        <v>588</v>
      </c>
      <c r="BD82" t="s">
        <v>588</v>
      </c>
      <c r="BE82" s="1" t="s">
        <v>588</v>
      </c>
      <c r="BF82" t="s">
        <v>588</v>
      </c>
      <c r="BG82" s="1" t="s">
        <v>588</v>
      </c>
      <c r="BH82" t="s">
        <v>588</v>
      </c>
      <c r="BI82" s="1" t="s">
        <v>588</v>
      </c>
      <c r="BJ82" t="s">
        <v>588</v>
      </c>
      <c r="BK82" s="1" t="s">
        <v>588</v>
      </c>
      <c r="BL82" t="s">
        <v>588</v>
      </c>
      <c r="BM82" s="1" t="s">
        <v>588</v>
      </c>
      <c r="BN82" t="s">
        <v>588</v>
      </c>
      <c r="BO82" s="1" t="s">
        <v>588</v>
      </c>
      <c r="BP82" t="s">
        <v>588</v>
      </c>
      <c r="BQ82" s="1" t="s">
        <v>588</v>
      </c>
      <c r="BR82" t="s">
        <v>588</v>
      </c>
      <c r="BS82" t="s">
        <v>41</v>
      </c>
      <c r="BT82" t="s">
        <v>42</v>
      </c>
      <c r="BU82" t="s">
        <v>42</v>
      </c>
      <c r="BV82" t="s">
        <v>588</v>
      </c>
      <c r="BW82" t="s">
        <v>588</v>
      </c>
      <c r="BX82" t="s">
        <v>588</v>
      </c>
      <c r="BY82" t="s">
        <v>588</v>
      </c>
      <c r="BZ82" t="s">
        <v>588</v>
      </c>
    </row>
    <row r="83" spans="1:78" x14ac:dyDescent="0.25">
      <c r="A83">
        <v>201617</v>
      </c>
      <c r="B83" t="s">
        <v>359</v>
      </c>
      <c r="C83" t="s">
        <v>359</v>
      </c>
      <c r="D83" t="s">
        <v>440</v>
      </c>
      <c r="E83" t="s">
        <v>16</v>
      </c>
      <c r="F83">
        <v>1</v>
      </c>
      <c r="G83" t="s">
        <v>1707</v>
      </c>
      <c r="H83" s="11" t="s">
        <v>1707</v>
      </c>
      <c r="I83" s="1">
        <v>42694</v>
      </c>
      <c r="J83" s="11">
        <v>20</v>
      </c>
      <c r="K83" s="11">
        <v>11</v>
      </c>
      <c r="L83" s="11">
        <v>2016</v>
      </c>
      <c r="M83" s="11" t="s">
        <v>1773</v>
      </c>
      <c r="N83" t="s">
        <v>17</v>
      </c>
      <c r="O83" t="s">
        <v>10</v>
      </c>
      <c r="P83">
        <v>-38.591665999999996</v>
      </c>
      <c r="Q83">
        <v>145.51951</v>
      </c>
      <c r="R83" t="s">
        <v>588</v>
      </c>
      <c r="S83" t="s">
        <v>588</v>
      </c>
      <c r="T83">
        <v>2</v>
      </c>
      <c r="U83">
        <v>3</v>
      </c>
      <c r="V83" t="s">
        <v>588</v>
      </c>
      <c r="W83" t="s">
        <v>588</v>
      </c>
      <c r="X83">
        <v>3</v>
      </c>
      <c r="Y83">
        <v>3</v>
      </c>
      <c r="Z83" t="s">
        <v>41</v>
      </c>
      <c r="AA83" s="1">
        <v>42699</v>
      </c>
      <c r="AB83" s="11">
        <v>25</v>
      </c>
      <c r="AC83" s="11">
        <v>11</v>
      </c>
      <c r="AD83" s="11">
        <v>2016</v>
      </c>
      <c r="AE83" s="13" t="s">
        <v>1821</v>
      </c>
      <c r="AF83" t="s">
        <v>17</v>
      </c>
      <c r="AG83" s="1">
        <v>42702</v>
      </c>
      <c r="AH83" s="11">
        <v>28</v>
      </c>
      <c r="AI83" s="11">
        <v>11</v>
      </c>
      <c r="AJ83" s="11">
        <v>2016</v>
      </c>
      <c r="AK83" s="13" t="s">
        <v>1767</v>
      </c>
      <c r="AL83" t="s">
        <v>17</v>
      </c>
      <c r="AM83" t="s">
        <v>20</v>
      </c>
      <c r="AN83" t="s">
        <v>8</v>
      </c>
      <c r="AO83" t="s">
        <v>1067</v>
      </c>
      <c r="AP83" t="s">
        <v>588</v>
      </c>
      <c r="AQ83" s="1" t="s">
        <v>588</v>
      </c>
      <c r="AR83" t="s">
        <v>588</v>
      </c>
      <c r="AS83" s="1" t="s">
        <v>588</v>
      </c>
      <c r="AT83" t="s">
        <v>588</v>
      </c>
      <c r="AU83" s="1" t="s">
        <v>588</v>
      </c>
      <c r="AV83" t="s">
        <v>588</v>
      </c>
      <c r="AW83" s="1" t="s">
        <v>588</v>
      </c>
      <c r="AX83" t="s">
        <v>588</v>
      </c>
      <c r="AY83" s="1" t="s">
        <v>588</v>
      </c>
      <c r="AZ83" t="s">
        <v>588</v>
      </c>
      <c r="BA83" s="1" t="s">
        <v>588</v>
      </c>
      <c r="BB83" t="s">
        <v>588</v>
      </c>
      <c r="BC83" s="1" t="s">
        <v>588</v>
      </c>
      <c r="BD83" t="s">
        <v>588</v>
      </c>
      <c r="BE83" s="1" t="s">
        <v>588</v>
      </c>
      <c r="BF83" t="s">
        <v>588</v>
      </c>
      <c r="BG83" s="1" t="s">
        <v>588</v>
      </c>
      <c r="BH83" t="s">
        <v>588</v>
      </c>
      <c r="BI83" s="1" t="s">
        <v>588</v>
      </c>
      <c r="BJ83" t="s">
        <v>588</v>
      </c>
      <c r="BK83" s="1" t="s">
        <v>588</v>
      </c>
      <c r="BL83" t="s">
        <v>588</v>
      </c>
      <c r="BM83" s="1" t="s">
        <v>588</v>
      </c>
      <c r="BN83" t="s">
        <v>588</v>
      </c>
      <c r="BO83" s="1" t="s">
        <v>588</v>
      </c>
      <c r="BP83" t="s">
        <v>588</v>
      </c>
      <c r="BQ83" s="1" t="s">
        <v>588</v>
      </c>
      <c r="BR83" t="s">
        <v>588</v>
      </c>
      <c r="BS83" t="s">
        <v>8</v>
      </c>
      <c r="BT83" t="s">
        <v>13</v>
      </c>
      <c r="BU83" t="s">
        <v>13</v>
      </c>
      <c r="BV83" t="s">
        <v>588</v>
      </c>
      <c r="BW83" t="s">
        <v>588</v>
      </c>
      <c r="BX83" t="s">
        <v>588</v>
      </c>
      <c r="BY83" t="s">
        <v>588</v>
      </c>
      <c r="BZ83" t="s">
        <v>588</v>
      </c>
    </row>
    <row r="84" spans="1:78" x14ac:dyDescent="0.25">
      <c r="A84">
        <v>201617</v>
      </c>
      <c r="B84" t="s">
        <v>359</v>
      </c>
      <c r="C84" t="s">
        <v>359</v>
      </c>
      <c r="D84" t="s">
        <v>440</v>
      </c>
      <c r="E84" t="s">
        <v>16</v>
      </c>
      <c r="F84">
        <v>2</v>
      </c>
      <c r="G84" t="s">
        <v>1708</v>
      </c>
      <c r="H84" s="11" t="s">
        <v>1708</v>
      </c>
      <c r="I84" s="1">
        <v>42710</v>
      </c>
      <c r="J84" s="11">
        <v>6</v>
      </c>
      <c r="K84" s="11">
        <v>12</v>
      </c>
      <c r="L84" s="11">
        <v>2016</v>
      </c>
      <c r="M84" s="11" t="s">
        <v>1733</v>
      </c>
      <c r="N84" t="s">
        <v>7</v>
      </c>
      <c r="O84" t="s">
        <v>10</v>
      </c>
      <c r="P84">
        <v>-38.591259000000001</v>
      </c>
      <c r="Q84">
        <v>145.51823400000001</v>
      </c>
      <c r="R84" t="s">
        <v>588</v>
      </c>
      <c r="S84" t="s">
        <v>588</v>
      </c>
      <c r="T84">
        <v>2</v>
      </c>
      <c r="U84">
        <v>3</v>
      </c>
      <c r="V84" t="s">
        <v>588</v>
      </c>
      <c r="W84" t="s">
        <v>588</v>
      </c>
      <c r="X84">
        <v>2</v>
      </c>
      <c r="Y84">
        <v>2</v>
      </c>
      <c r="Z84" t="s">
        <v>41</v>
      </c>
      <c r="AA84" s="1">
        <v>42710</v>
      </c>
      <c r="AB84" s="11">
        <v>6</v>
      </c>
      <c r="AC84" s="11">
        <v>12</v>
      </c>
      <c r="AD84" s="11">
        <v>2016</v>
      </c>
      <c r="AE84" s="13" t="s">
        <v>1733</v>
      </c>
      <c r="AF84" t="s">
        <v>7</v>
      </c>
      <c r="AG84" s="1">
        <v>42716</v>
      </c>
      <c r="AH84" s="11">
        <v>12</v>
      </c>
      <c r="AI84" s="11">
        <v>12</v>
      </c>
      <c r="AJ84" s="11">
        <v>2016</v>
      </c>
      <c r="AK84" s="13" t="s">
        <v>1748</v>
      </c>
      <c r="AL84" t="s">
        <v>7</v>
      </c>
      <c r="AM84" t="s">
        <v>20</v>
      </c>
      <c r="AN84" t="s">
        <v>8</v>
      </c>
      <c r="AO84" t="s">
        <v>11</v>
      </c>
      <c r="AP84" t="s">
        <v>588</v>
      </c>
      <c r="AQ84" s="1" t="s">
        <v>588</v>
      </c>
      <c r="AR84" t="s">
        <v>588</v>
      </c>
      <c r="AS84" s="1" t="s">
        <v>588</v>
      </c>
      <c r="AT84" t="s">
        <v>588</v>
      </c>
      <c r="AU84" s="1" t="s">
        <v>588</v>
      </c>
      <c r="AV84" t="s">
        <v>588</v>
      </c>
      <c r="AW84" s="1" t="s">
        <v>588</v>
      </c>
      <c r="AX84" t="s">
        <v>588</v>
      </c>
      <c r="AY84" s="1" t="s">
        <v>588</v>
      </c>
      <c r="AZ84" t="s">
        <v>588</v>
      </c>
      <c r="BA84" s="1" t="s">
        <v>588</v>
      </c>
      <c r="BB84" t="s">
        <v>588</v>
      </c>
      <c r="BC84" s="1" t="s">
        <v>588</v>
      </c>
      <c r="BD84" t="s">
        <v>588</v>
      </c>
      <c r="BE84" s="1" t="s">
        <v>588</v>
      </c>
      <c r="BF84" t="s">
        <v>588</v>
      </c>
      <c r="BG84" s="1" t="s">
        <v>588</v>
      </c>
      <c r="BH84" t="s">
        <v>588</v>
      </c>
      <c r="BI84" s="1" t="s">
        <v>588</v>
      </c>
      <c r="BJ84" t="s">
        <v>588</v>
      </c>
      <c r="BK84" s="1" t="s">
        <v>588</v>
      </c>
      <c r="BL84" t="s">
        <v>588</v>
      </c>
      <c r="BM84" s="1" t="s">
        <v>588</v>
      </c>
      <c r="BN84" t="s">
        <v>588</v>
      </c>
      <c r="BO84" s="1" t="s">
        <v>588</v>
      </c>
      <c r="BP84" t="s">
        <v>588</v>
      </c>
      <c r="BQ84" s="1" t="s">
        <v>588</v>
      </c>
      <c r="BR84" t="s">
        <v>588</v>
      </c>
      <c r="BS84" t="s">
        <v>8</v>
      </c>
      <c r="BT84" t="s">
        <v>120</v>
      </c>
      <c r="BU84" t="s">
        <v>120</v>
      </c>
      <c r="BV84" t="s">
        <v>588</v>
      </c>
      <c r="BW84" t="s">
        <v>588</v>
      </c>
      <c r="BX84" t="s">
        <v>588</v>
      </c>
      <c r="BY84" t="s">
        <v>588</v>
      </c>
      <c r="BZ84" t="s">
        <v>588</v>
      </c>
    </row>
    <row r="85" spans="1:78" x14ac:dyDescent="0.25">
      <c r="A85">
        <v>201617</v>
      </c>
      <c r="B85" t="s">
        <v>359</v>
      </c>
      <c r="C85" t="s">
        <v>359</v>
      </c>
      <c r="D85" t="s">
        <v>440</v>
      </c>
      <c r="E85" t="s">
        <v>16</v>
      </c>
      <c r="F85">
        <v>3</v>
      </c>
      <c r="G85" t="s">
        <v>1709</v>
      </c>
      <c r="H85" s="11" t="s">
        <v>1709</v>
      </c>
      <c r="I85" s="1">
        <v>42727</v>
      </c>
      <c r="J85" s="11">
        <v>23</v>
      </c>
      <c r="K85" s="11">
        <v>12</v>
      </c>
      <c r="L85" s="11">
        <v>2016</v>
      </c>
      <c r="M85" s="11" t="s">
        <v>1755</v>
      </c>
      <c r="N85" t="s">
        <v>7</v>
      </c>
      <c r="O85" t="s">
        <v>10</v>
      </c>
      <c r="P85">
        <v>-38.591140000000003</v>
      </c>
      <c r="Q85">
        <v>145.51881</v>
      </c>
      <c r="R85" t="s">
        <v>588</v>
      </c>
      <c r="S85" t="s">
        <v>588</v>
      </c>
      <c r="T85">
        <v>3</v>
      </c>
      <c r="U85">
        <v>3</v>
      </c>
      <c r="V85" t="s">
        <v>588</v>
      </c>
      <c r="W85" t="s">
        <v>588</v>
      </c>
      <c r="X85">
        <v>4</v>
      </c>
      <c r="Y85">
        <v>4</v>
      </c>
      <c r="Z85" t="s">
        <v>41</v>
      </c>
      <c r="AA85" s="1">
        <v>42744</v>
      </c>
      <c r="AB85" s="11">
        <v>9</v>
      </c>
      <c r="AC85" s="11">
        <v>1</v>
      </c>
      <c r="AD85" s="11">
        <v>2017</v>
      </c>
      <c r="AE85" s="13" t="s">
        <v>1786</v>
      </c>
      <c r="AF85" t="s">
        <v>12</v>
      </c>
      <c r="AG85" s="1">
        <v>42752</v>
      </c>
      <c r="AH85" s="11">
        <v>17</v>
      </c>
      <c r="AI85" s="11">
        <v>1</v>
      </c>
      <c r="AJ85" s="11">
        <v>2017</v>
      </c>
      <c r="AK85" s="13" t="s">
        <v>1742</v>
      </c>
      <c r="AL85" t="s">
        <v>12</v>
      </c>
      <c r="AM85" t="s">
        <v>20</v>
      </c>
      <c r="AN85" t="s">
        <v>8</v>
      </c>
      <c r="AO85" t="s">
        <v>11</v>
      </c>
      <c r="AP85" t="s">
        <v>588</v>
      </c>
      <c r="AQ85" s="1" t="s">
        <v>588</v>
      </c>
      <c r="AR85" t="s">
        <v>588</v>
      </c>
      <c r="AS85" s="1" t="s">
        <v>588</v>
      </c>
      <c r="AT85" t="s">
        <v>588</v>
      </c>
      <c r="AU85" s="1" t="s">
        <v>588</v>
      </c>
      <c r="AV85" t="s">
        <v>588</v>
      </c>
      <c r="AW85" s="1" t="s">
        <v>588</v>
      </c>
      <c r="AX85" t="s">
        <v>588</v>
      </c>
      <c r="AY85" s="1" t="s">
        <v>588</v>
      </c>
      <c r="AZ85" t="s">
        <v>588</v>
      </c>
      <c r="BA85" s="1" t="s">
        <v>588</v>
      </c>
      <c r="BB85" t="s">
        <v>588</v>
      </c>
      <c r="BC85" s="1" t="s">
        <v>588</v>
      </c>
      <c r="BD85" t="s">
        <v>588</v>
      </c>
      <c r="BE85" s="1" t="s">
        <v>588</v>
      </c>
      <c r="BF85" t="s">
        <v>588</v>
      </c>
      <c r="BG85" s="1" t="s">
        <v>588</v>
      </c>
      <c r="BH85" t="s">
        <v>588</v>
      </c>
      <c r="BI85" s="1" t="s">
        <v>588</v>
      </c>
      <c r="BJ85" t="s">
        <v>588</v>
      </c>
      <c r="BK85" s="1" t="s">
        <v>588</v>
      </c>
      <c r="BL85" t="s">
        <v>588</v>
      </c>
      <c r="BM85" s="1" t="s">
        <v>588</v>
      </c>
      <c r="BN85" t="s">
        <v>588</v>
      </c>
      <c r="BO85" s="1" t="s">
        <v>588</v>
      </c>
      <c r="BP85" t="s">
        <v>588</v>
      </c>
      <c r="BQ85" s="1" t="s">
        <v>588</v>
      </c>
      <c r="BR85" t="s">
        <v>588</v>
      </c>
      <c r="BS85" t="s">
        <v>8</v>
      </c>
      <c r="BT85" t="s">
        <v>120</v>
      </c>
      <c r="BU85" t="s">
        <v>120</v>
      </c>
      <c r="BV85" t="s">
        <v>588</v>
      </c>
      <c r="BW85" t="s">
        <v>588</v>
      </c>
      <c r="BX85" t="s">
        <v>588</v>
      </c>
      <c r="BY85" t="s">
        <v>588</v>
      </c>
      <c r="BZ85" t="s">
        <v>588</v>
      </c>
    </row>
    <row r="86" spans="1:78" x14ac:dyDescent="0.25">
      <c r="A86">
        <v>201617</v>
      </c>
      <c r="B86" t="s">
        <v>359</v>
      </c>
      <c r="C86" t="s">
        <v>359</v>
      </c>
      <c r="D86" t="s">
        <v>440</v>
      </c>
      <c r="E86" t="s">
        <v>16</v>
      </c>
      <c r="F86">
        <v>4</v>
      </c>
      <c r="G86" t="s">
        <v>1710</v>
      </c>
      <c r="H86" s="11" t="s">
        <v>1710</v>
      </c>
      <c r="I86" s="1">
        <v>42758</v>
      </c>
      <c r="J86" s="11">
        <v>23</v>
      </c>
      <c r="K86" s="11">
        <v>1</v>
      </c>
      <c r="L86" s="11">
        <v>2017</v>
      </c>
      <c r="M86" s="11" t="s">
        <v>1738</v>
      </c>
      <c r="N86" t="s">
        <v>12</v>
      </c>
      <c r="O86" t="s">
        <v>10</v>
      </c>
      <c r="P86">
        <v>-38.590409999999999</v>
      </c>
      <c r="Q86">
        <v>145.51822999999999</v>
      </c>
      <c r="R86" t="s">
        <v>588</v>
      </c>
      <c r="S86" t="s">
        <v>588</v>
      </c>
      <c r="T86">
        <v>2</v>
      </c>
      <c r="U86">
        <v>3</v>
      </c>
      <c r="V86" t="s">
        <v>588</v>
      </c>
      <c r="W86" t="s">
        <v>588</v>
      </c>
      <c r="X86">
        <v>3</v>
      </c>
      <c r="Y86">
        <v>3</v>
      </c>
      <c r="Z86" t="s">
        <v>41</v>
      </c>
      <c r="AA86" s="1">
        <v>42766</v>
      </c>
      <c r="AB86" s="11">
        <v>31</v>
      </c>
      <c r="AC86" s="11">
        <v>1</v>
      </c>
      <c r="AD86" s="11">
        <v>2017</v>
      </c>
      <c r="AE86" s="13" t="s">
        <v>1765</v>
      </c>
      <c r="AF86" t="s">
        <v>12</v>
      </c>
      <c r="AG86" s="1">
        <v>42781</v>
      </c>
      <c r="AH86" s="11">
        <v>15</v>
      </c>
      <c r="AI86" s="11">
        <v>2</v>
      </c>
      <c r="AJ86" s="11">
        <v>2017</v>
      </c>
      <c r="AK86" s="13" t="s">
        <v>1768</v>
      </c>
      <c r="AL86" t="s">
        <v>21</v>
      </c>
      <c r="AM86" t="s">
        <v>20</v>
      </c>
      <c r="AN86" t="s">
        <v>8</v>
      </c>
      <c r="AO86" t="s">
        <v>11</v>
      </c>
      <c r="AP86" t="s">
        <v>588</v>
      </c>
      <c r="AQ86" s="1" t="s">
        <v>588</v>
      </c>
      <c r="AR86" t="s">
        <v>588</v>
      </c>
      <c r="AS86" s="1" t="s">
        <v>588</v>
      </c>
      <c r="AT86" t="s">
        <v>588</v>
      </c>
      <c r="AU86" s="1" t="s">
        <v>588</v>
      </c>
      <c r="AV86" t="s">
        <v>588</v>
      </c>
      <c r="AW86" s="1" t="s">
        <v>588</v>
      </c>
      <c r="AX86" t="s">
        <v>588</v>
      </c>
      <c r="AY86" s="1" t="s">
        <v>588</v>
      </c>
      <c r="AZ86" t="s">
        <v>588</v>
      </c>
      <c r="BA86" s="1" t="s">
        <v>588</v>
      </c>
      <c r="BB86" t="s">
        <v>588</v>
      </c>
      <c r="BC86" s="1" t="s">
        <v>588</v>
      </c>
      <c r="BD86" t="s">
        <v>588</v>
      </c>
      <c r="BE86" s="1" t="s">
        <v>588</v>
      </c>
      <c r="BF86" t="s">
        <v>588</v>
      </c>
      <c r="BG86" s="1" t="s">
        <v>588</v>
      </c>
      <c r="BH86" t="s">
        <v>588</v>
      </c>
      <c r="BI86" s="1" t="s">
        <v>588</v>
      </c>
      <c r="BJ86" t="s">
        <v>588</v>
      </c>
      <c r="BK86" s="1" t="s">
        <v>588</v>
      </c>
      <c r="BL86" t="s">
        <v>588</v>
      </c>
      <c r="BM86" s="1" t="s">
        <v>588</v>
      </c>
      <c r="BN86" t="s">
        <v>588</v>
      </c>
      <c r="BO86" s="1" t="s">
        <v>588</v>
      </c>
      <c r="BP86" t="s">
        <v>588</v>
      </c>
      <c r="BQ86" s="1" t="s">
        <v>588</v>
      </c>
      <c r="BR86" t="s">
        <v>588</v>
      </c>
      <c r="BS86" t="s">
        <v>8</v>
      </c>
      <c r="BT86" t="s">
        <v>120</v>
      </c>
      <c r="BU86" t="s">
        <v>120</v>
      </c>
      <c r="BV86" t="s">
        <v>588</v>
      </c>
      <c r="BW86" t="s">
        <v>588</v>
      </c>
      <c r="BX86" t="s">
        <v>588</v>
      </c>
      <c r="BY86" t="s">
        <v>588</v>
      </c>
      <c r="BZ86" t="s">
        <v>588</v>
      </c>
    </row>
    <row r="87" spans="1:78" x14ac:dyDescent="0.25">
      <c r="A87">
        <v>201617</v>
      </c>
      <c r="B87" t="s">
        <v>365</v>
      </c>
      <c r="C87" t="s">
        <v>365</v>
      </c>
      <c r="D87" t="s">
        <v>1623</v>
      </c>
      <c r="E87" t="s">
        <v>16</v>
      </c>
      <c r="F87">
        <v>1</v>
      </c>
      <c r="G87" t="s">
        <v>1711</v>
      </c>
      <c r="H87" s="11" t="s">
        <v>1711</v>
      </c>
      <c r="I87" s="1">
        <v>42716</v>
      </c>
      <c r="J87" s="11">
        <v>12</v>
      </c>
      <c r="K87" s="11">
        <v>12</v>
      </c>
      <c r="L87" s="11">
        <v>2016</v>
      </c>
      <c r="M87" s="11" t="s">
        <v>1748</v>
      </c>
      <c r="N87" t="s">
        <v>7</v>
      </c>
      <c r="O87" t="s">
        <v>51</v>
      </c>
      <c r="P87">
        <v>-38.595730000000003</v>
      </c>
      <c r="Q87">
        <v>145.52387999999999</v>
      </c>
      <c r="R87" t="s">
        <v>588</v>
      </c>
      <c r="S87" t="s">
        <v>588</v>
      </c>
      <c r="T87">
        <v>2</v>
      </c>
      <c r="U87">
        <v>3</v>
      </c>
      <c r="V87" s="1">
        <v>42722</v>
      </c>
      <c r="W87" t="s">
        <v>223</v>
      </c>
      <c r="X87">
        <v>3</v>
      </c>
      <c r="Y87">
        <v>3</v>
      </c>
      <c r="Z87" t="s">
        <v>41</v>
      </c>
      <c r="AA87" s="1">
        <v>42720</v>
      </c>
      <c r="AB87" s="11">
        <v>16</v>
      </c>
      <c r="AC87" s="11">
        <v>12</v>
      </c>
      <c r="AD87" s="11">
        <v>2016</v>
      </c>
      <c r="AE87" s="13" t="s">
        <v>1741</v>
      </c>
      <c r="AF87" t="s">
        <v>7</v>
      </c>
      <c r="AG87" s="1">
        <v>42723</v>
      </c>
      <c r="AH87" s="11">
        <v>19</v>
      </c>
      <c r="AI87" s="11">
        <v>12</v>
      </c>
      <c r="AJ87" s="11">
        <v>2016</v>
      </c>
      <c r="AK87" s="13" t="s">
        <v>1769</v>
      </c>
      <c r="AL87" t="s">
        <v>7</v>
      </c>
      <c r="AM87" t="s">
        <v>20</v>
      </c>
      <c r="AN87" t="s">
        <v>41</v>
      </c>
      <c r="AO87" t="s">
        <v>20</v>
      </c>
      <c r="AP87" t="s">
        <v>588</v>
      </c>
      <c r="AQ87" s="1" t="s">
        <v>588</v>
      </c>
      <c r="AR87" t="s">
        <v>588</v>
      </c>
      <c r="AS87" s="1" t="s">
        <v>588</v>
      </c>
      <c r="AT87" t="s">
        <v>588</v>
      </c>
      <c r="AU87" s="1" t="s">
        <v>588</v>
      </c>
      <c r="AV87" t="s">
        <v>588</v>
      </c>
      <c r="AW87" s="1" t="s">
        <v>588</v>
      </c>
      <c r="AX87" t="s">
        <v>588</v>
      </c>
      <c r="AY87" s="1" t="s">
        <v>588</v>
      </c>
      <c r="AZ87" t="s">
        <v>588</v>
      </c>
      <c r="BA87" s="1" t="s">
        <v>588</v>
      </c>
      <c r="BB87" t="s">
        <v>588</v>
      </c>
      <c r="BC87" s="1" t="s">
        <v>588</v>
      </c>
      <c r="BD87" t="s">
        <v>588</v>
      </c>
      <c r="BE87" s="1" t="s">
        <v>588</v>
      </c>
      <c r="BF87" t="s">
        <v>588</v>
      </c>
      <c r="BG87" s="1" t="s">
        <v>588</v>
      </c>
      <c r="BH87" t="s">
        <v>588</v>
      </c>
      <c r="BI87" s="1" t="s">
        <v>588</v>
      </c>
      <c r="BJ87" t="s">
        <v>588</v>
      </c>
      <c r="BK87" s="1" t="s">
        <v>588</v>
      </c>
      <c r="BL87" t="s">
        <v>588</v>
      </c>
      <c r="BM87" s="1" t="s">
        <v>588</v>
      </c>
      <c r="BN87" t="s">
        <v>588</v>
      </c>
      <c r="BO87" s="1" t="s">
        <v>588</v>
      </c>
      <c r="BP87" t="s">
        <v>588</v>
      </c>
      <c r="BQ87" s="1" t="s">
        <v>588</v>
      </c>
      <c r="BR87" t="s">
        <v>588</v>
      </c>
      <c r="BS87" t="s">
        <v>8</v>
      </c>
      <c r="BT87" t="s">
        <v>120</v>
      </c>
      <c r="BU87" t="s">
        <v>120</v>
      </c>
      <c r="BV87" t="s">
        <v>588</v>
      </c>
      <c r="BW87" t="s">
        <v>588</v>
      </c>
      <c r="BX87" t="s">
        <v>588</v>
      </c>
      <c r="BY87" t="s">
        <v>588</v>
      </c>
      <c r="BZ87" t="s">
        <v>588</v>
      </c>
    </row>
    <row r="88" spans="1:78" x14ac:dyDescent="0.25">
      <c r="A88">
        <v>201617</v>
      </c>
      <c r="B88" t="s">
        <v>365</v>
      </c>
      <c r="C88" t="s">
        <v>365</v>
      </c>
      <c r="D88" t="s">
        <v>1623</v>
      </c>
      <c r="E88" t="s">
        <v>16</v>
      </c>
      <c r="F88">
        <v>2</v>
      </c>
      <c r="G88" t="s">
        <v>1712</v>
      </c>
      <c r="H88" s="11" t="s">
        <v>1712</v>
      </c>
      <c r="I88" s="1">
        <v>42734</v>
      </c>
      <c r="J88" s="11">
        <v>30</v>
      </c>
      <c r="K88" s="11">
        <v>12</v>
      </c>
      <c r="L88" s="11">
        <v>2016</v>
      </c>
      <c r="M88" s="11" t="s">
        <v>1723</v>
      </c>
      <c r="N88" t="s">
        <v>7</v>
      </c>
      <c r="O88" t="s">
        <v>10</v>
      </c>
      <c r="P88">
        <v>-38.593490000000003</v>
      </c>
      <c r="Q88">
        <v>145.52149</v>
      </c>
      <c r="R88" t="s">
        <v>588</v>
      </c>
      <c r="S88" t="s">
        <v>588</v>
      </c>
      <c r="T88">
        <v>3</v>
      </c>
      <c r="U88">
        <v>3</v>
      </c>
      <c r="V88" s="1">
        <v>42736</v>
      </c>
      <c r="W88" t="s">
        <v>223</v>
      </c>
      <c r="X88">
        <v>3</v>
      </c>
      <c r="Y88">
        <v>3</v>
      </c>
      <c r="Z88" t="s">
        <v>41</v>
      </c>
      <c r="AA88" s="1">
        <v>42744</v>
      </c>
      <c r="AB88" s="11">
        <v>9</v>
      </c>
      <c r="AC88" s="11">
        <v>1</v>
      </c>
      <c r="AD88" s="11">
        <v>2017</v>
      </c>
      <c r="AE88" s="13" t="s">
        <v>1786</v>
      </c>
      <c r="AF88" t="s">
        <v>12</v>
      </c>
      <c r="AG88" s="1">
        <v>42752</v>
      </c>
      <c r="AH88" s="11">
        <v>17</v>
      </c>
      <c r="AI88" s="11">
        <v>1</v>
      </c>
      <c r="AJ88" s="11">
        <v>2017</v>
      </c>
      <c r="AK88" s="13" t="s">
        <v>1742</v>
      </c>
      <c r="AL88" t="s">
        <v>12</v>
      </c>
      <c r="AM88" t="s">
        <v>20</v>
      </c>
      <c r="AN88" t="s">
        <v>8</v>
      </c>
      <c r="AO88" t="s">
        <v>11</v>
      </c>
      <c r="AP88" t="s">
        <v>588</v>
      </c>
      <c r="AQ88" s="1" t="s">
        <v>588</v>
      </c>
      <c r="AR88" t="s">
        <v>588</v>
      </c>
      <c r="AS88" s="1" t="s">
        <v>588</v>
      </c>
      <c r="AT88" t="s">
        <v>588</v>
      </c>
      <c r="AU88" s="1" t="s">
        <v>588</v>
      </c>
      <c r="AV88" t="s">
        <v>588</v>
      </c>
      <c r="AW88" s="1" t="s">
        <v>588</v>
      </c>
      <c r="AX88" t="s">
        <v>588</v>
      </c>
      <c r="AY88" s="1" t="s">
        <v>588</v>
      </c>
      <c r="AZ88" t="s">
        <v>588</v>
      </c>
      <c r="BA88" s="1" t="s">
        <v>588</v>
      </c>
      <c r="BB88" t="s">
        <v>588</v>
      </c>
      <c r="BC88" s="1" t="s">
        <v>588</v>
      </c>
      <c r="BD88" t="s">
        <v>588</v>
      </c>
      <c r="BE88" s="1" t="s">
        <v>588</v>
      </c>
      <c r="BF88" t="s">
        <v>588</v>
      </c>
      <c r="BG88" s="1" t="s">
        <v>588</v>
      </c>
      <c r="BH88" t="s">
        <v>588</v>
      </c>
      <c r="BI88" s="1" t="s">
        <v>588</v>
      </c>
      <c r="BJ88" t="s">
        <v>588</v>
      </c>
      <c r="BK88" s="1" t="s">
        <v>588</v>
      </c>
      <c r="BL88" t="s">
        <v>588</v>
      </c>
      <c r="BM88" s="1" t="s">
        <v>588</v>
      </c>
      <c r="BN88" t="s">
        <v>588</v>
      </c>
      <c r="BO88" s="1" t="s">
        <v>588</v>
      </c>
      <c r="BP88" t="s">
        <v>588</v>
      </c>
      <c r="BQ88" s="1" t="s">
        <v>588</v>
      </c>
      <c r="BR88" t="s">
        <v>588</v>
      </c>
      <c r="BS88" t="s">
        <v>8</v>
      </c>
      <c r="BT88" t="s">
        <v>120</v>
      </c>
      <c r="BU88" t="s">
        <v>120</v>
      </c>
      <c r="BV88" t="s">
        <v>588</v>
      </c>
      <c r="BW88" t="s">
        <v>588</v>
      </c>
      <c r="BX88" t="s">
        <v>588</v>
      </c>
      <c r="BY88" t="s">
        <v>588</v>
      </c>
      <c r="BZ88" t="s">
        <v>588</v>
      </c>
    </row>
    <row r="89" spans="1:78" x14ac:dyDescent="0.25">
      <c r="A89">
        <v>201617</v>
      </c>
      <c r="B89" t="s">
        <v>365</v>
      </c>
      <c r="C89" t="s">
        <v>365</v>
      </c>
      <c r="D89" t="s">
        <v>1623</v>
      </c>
      <c r="E89" t="s">
        <v>16</v>
      </c>
      <c r="F89">
        <v>3</v>
      </c>
      <c r="G89" t="s">
        <v>1713</v>
      </c>
      <c r="H89" s="11" t="s">
        <v>1713</v>
      </c>
      <c r="I89" s="1">
        <v>42758</v>
      </c>
      <c r="J89" s="11">
        <v>23</v>
      </c>
      <c r="K89" s="11">
        <v>1</v>
      </c>
      <c r="L89" s="11">
        <v>2017</v>
      </c>
      <c r="M89" s="11" t="s">
        <v>1738</v>
      </c>
      <c r="N89" t="s">
        <v>12</v>
      </c>
      <c r="O89" t="s">
        <v>10</v>
      </c>
      <c r="P89">
        <v>-38.593719999999998</v>
      </c>
      <c r="Q89">
        <v>145.52179000000001</v>
      </c>
      <c r="R89" t="s">
        <v>588</v>
      </c>
      <c r="S89" t="s">
        <v>588</v>
      </c>
      <c r="T89">
        <v>3</v>
      </c>
      <c r="U89">
        <v>3</v>
      </c>
      <c r="V89" s="1">
        <v>42762</v>
      </c>
      <c r="W89" t="s">
        <v>223</v>
      </c>
      <c r="X89">
        <v>4</v>
      </c>
      <c r="Y89">
        <v>4</v>
      </c>
      <c r="Z89" t="s">
        <v>41</v>
      </c>
      <c r="AA89" s="1">
        <v>42781</v>
      </c>
      <c r="AB89" s="11">
        <v>15</v>
      </c>
      <c r="AC89" s="11">
        <v>2</v>
      </c>
      <c r="AD89" s="11">
        <v>2017</v>
      </c>
      <c r="AE89" s="13" t="s">
        <v>1768</v>
      </c>
      <c r="AF89" t="s">
        <v>21</v>
      </c>
      <c r="AG89" s="1">
        <v>42790</v>
      </c>
      <c r="AH89" s="11">
        <v>24</v>
      </c>
      <c r="AI89" s="11">
        <v>2</v>
      </c>
      <c r="AJ89" s="11">
        <v>2017</v>
      </c>
      <c r="AK89" s="13" t="s">
        <v>1730</v>
      </c>
      <c r="AL89" t="s">
        <v>21</v>
      </c>
      <c r="AM89" t="s">
        <v>20</v>
      </c>
      <c r="AN89" t="s">
        <v>8</v>
      </c>
      <c r="AO89" t="s">
        <v>11</v>
      </c>
      <c r="AP89" t="s">
        <v>588</v>
      </c>
      <c r="AQ89" s="1" t="s">
        <v>588</v>
      </c>
      <c r="AR89" t="s">
        <v>588</v>
      </c>
      <c r="AS89" s="1" t="s">
        <v>588</v>
      </c>
      <c r="AT89" t="s">
        <v>588</v>
      </c>
      <c r="AU89" s="1" t="s">
        <v>588</v>
      </c>
      <c r="AV89" t="s">
        <v>588</v>
      </c>
      <c r="AW89" s="1" t="s">
        <v>588</v>
      </c>
      <c r="AX89" t="s">
        <v>588</v>
      </c>
      <c r="AY89" s="1" t="s">
        <v>588</v>
      </c>
      <c r="AZ89" t="s">
        <v>588</v>
      </c>
      <c r="BA89" s="1" t="s">
        <v>588</v>
      </c>
      <c r="BB89" t="s">
        <v>588</v>
      </c>
      <c r="BC89" s="1" t="s">
        <v>588</v>
      </c>
      <c r="BD89" t="s">
        <v>588</v>
      </c>
      <c r="BE89" s="1" t="s">
        <v>588</v>
      </c>
      <c r="BF89" t="s">
        <v>588</v>
      </c>
      <c r="BG89" s="1" t="s">
        <v>588</v>
      </c>
      <c r="BH89" t="s">
        <v>588</v>
      </c>
      <c r="BI89" s="1" t="s">
        <v>588</v>
      </c>
      <c r="BJ89" t="s">
        <v>588</v>
      </c>
      <c r="BK89" s="1" t="s">
        <v>588</v>
      </c>
      <c r="BL89" t="s">
        <v>588</v>
      </c>
      <c r="BM89" s="1" t="s">
        <v>588</v>
      </c>
      <c r="BN89" t="s">
        <v>588</v>
      </c>
      <c r="BO89" s="1" t="s">
        <v>588</v>
      </c>
      <c r="BP89" t="s">
        <v>588</v>
      </c>
      <c r="BQ89" s="1" t="s">
        <v>588</v>
      </c>
      <c r="BR89" t="s">
        <v>588</v>
      </c>
      <c r="BS89" t="s">
        <v>8</v>
      </c>
      <c r="BT89" t="s">
        <v>120</v>
      </c>
      <c r="BU89" t="s">
        <v>120</v>
      </c>
      <c r="BV89" t="s">
        <v>588</v>
      </c>
      <c r="BW89" t="s">
        <v>588</v>
      </c>
      <c r="BX89" t="s">
        <v>588</v>
      </c>
      <c r="BY89" t="s">
        <v>588</v>
      </c>
      <c r="BZ89" t="s">
        <v>588</v>
      </c>
    </row>
    <row r="90" spans="1:78" x14ac:dyDescent="0.25">
      <c r="A90">
        <v>201617</v>
      </c>
      <c r="B90" t="s">
        <v>67</v>
      </c>
      <c r="C90" t="s">
        <v>39</v>
      </c>
      <c r="D90" t="s">
        <v>40</v>
      </c>
      <c r="E90" t="s">
        <v>16</v>
      </c>
      <c r="F90">
        <v>1</v>
      </c>
      <c r="G90" t="s">
        <v>1714</v>
      </c>
      <c r="H90" s="11" t="s">
        <v>1823</v>
      </c>
      <c r="I90" s="1">
        <v>42620</v>
      </c>
      <c r="J90" s="11">
        <v>7</v>
      </c>
      <c r="K90" s="11">
        <v>9</v>
      </c>
      <c r="L90" s="11">
        <v>2016</v>
      </c>
      <c r="M90" s="11" t="s">
        <v>1824</v>
      </c>
      <c r="N90" t="s">
        <v>28</v>
      </c>
      <c r="O90" t="s">
        <v>10</v>
      </c>
      <c r="P90">
        <v>-38.668779999999998</v>
      </c>
      <c r="Q90">
        <v>145.59181000000001</v>
      </c>
      <c r="R90" t="s">
        <v>588</v>
      </c>
      <c r="S90" t="s">
        <v>588</v>
      </c>
      <c r="T90">
        <v>3</v>
      </c>
      <c r="U90">
        <v>3</v>
      </c>
      <c r="V90" t="s">
        <v>588</v>
      </c>
      <c r="W90" t="s">
        <v>588</v>
      </c>
      <c r="X90">
        <v>4</v>
      </c>
      <c r="Y90">
        <v>4</v>
      </c>
      <c r="Z90" t="s">
        <v>41</v>
      </c>
      <c r="AA90" s="1">
        <v>42637</v>
      </c>
      <c r="AB90" s="11">
        <v>24</v>
      </c>
      <c r="AC90" s="11">
        <v>9</v>
      </c>
      <c r="AD90" s="11">
        <v>2016</v>
      </c>
      <c r="AE90" s="13" t="s">
        <v>1825</v>
      </c>
      <c r="AF90" t="s">
        <v>28</v>
      </c>
      <c r="AG90" s="1">
        <v>42648</v>
      </c>
      <c r="AH90" s="11">
        <v>5</v>
      </c>
      <c r="AI90" s="11">
        <v>10</v>
      </c>
      <c r="AJ90" s="11">
        <v>2016</v>
      </c>
      <c r="AK90" s="13" t="s">
        <v>1732</v>
      </c>
      <c r="AL90" t="s">
        <v>29</v>
      </c>
      <c r="AM90" t="s">
        <v>20</v>
      </c>
      <c r="AN90" t="s">
        <v>41</v>
      </c>
      <c r="AO90" t="s">
        <v>20</v>
      </c>
      <c r="AP90" t="s">
        <v>588</v>
      </c>
      <c r="AQ90" s="1" t="s">
        <v>588</v>
      </c>
      <c r="AR90" t="s">
        <v>588</v>
      </c>
      <c r="AS90" s="1" t="s">
        <v>588</v>
      </c>
      <c r="AT90" t="s">
        <v>588</v>
      </c>
      <c r="AU90" s="7" t="s">
        <v>588</v>
      </c>
      <c r="AV90" t="s">
        <v>588</v>
      </c>
      <c r="AW90" s="1" t="s">
        <v>588</v>
      </c>
      <c r="AX90" t="s">
        <v>588</v>
      </c>
      <c r="AY90" s="1" t="s">
        <v>588</v>
      </c>
      <c r="AZ90" t="s">
        <v>588</v>
      </c>
      <c r="BA90" s="7" t="s">
        <v>588</v>
      </c>
      <c r="BB90" t="s">
        <v>588</v>
      </c>
      <c r="BC90" s="1" t="s">
        <v>588</v>
      </c>
      <c r="BD90" t="s">
        <v>588</v>
      </c>
      <c r="BE90" s="1" t="s">
        <v>588</v>
      </c>
      <c r="BF90" t="s">
        <v>588</v>
      </c>
      <c r="BG90" s="7" t="s">
        <v>588</v>
      </c>
      <c r="BH90" t="s">
        <v>588</v>
      </c>
      <c r="BI90" s="1" t="s">
        <v>588</v>
      </c>
      <c r="BJ90" t="s">
        <v>588</v>
      </c>
      <c r="BK90" s="1" t="s">
        <v>588</v>
      </c>
      <c r="BL90" t="s">
        <v>588</v>
      </c>
      <c r="BM90" s="1" t="s">
        <v>588</v>
      </c>
      <c r="BN90" t="s">
        <v>588</v>
      </c>
      <c r="BO90" s="1" t="s">
        <v>588</v>
      </c>
      <c r="BP90" t="s">
        <v>588</v>
      </c>
      <c r="BQ90" s="1" t="s">
        <v>588</v>
      </c>
      <c r="BR90" t="s">
        <v>588</v>
      </c>
      <c r="BS90" t="s">
        <v>8</v>
      </c>
      <c r="BT90" t="s">
        <v>9</v>
      </c>
      <c r="BU90" t="s">
        <v>9</v>
      </c>
      <c r="BV90" t="s">
        <v>588</v>
      </c>
      <c r="BW90" t="s">
        <v>588</v>
      </c>
      <c r="BX90" t="s">
        <v>588</v>
      </c>
      <c r="BY90" t="s">
        <v>588</v>
      </c>
      <c r="BZ90" t="s">
        <v>588</v>
      </c>
    </row>
    <row r="91" spans="1:78" x14ac:dyDescent="0.25">
      <c r="A91">
        <v>201617</v>
      </c>
      <c r="B91" t="s">
        <v>69</v>
      </c>
      <c r="C91" t="s">
        <v>39</v>
      </c>
      <c r="D91" t="s">
        <v>40</v>
      </c>
      <c r="E91" t="s">
        <v>16</v>
      </c>
      <c r="F91">
        <v>3</v>
      </c>
      <c r="G91" t="s">
        <v>1716</v>
      </c>
      <c r="H91" s="11" t="s">
        <v>1827</v>
      </c>
      <c r="I91" s="1">
        <v>42723</v>
      </c>
      <c r="J91" s="11">
        <v>19</v>
      </c>
      <c r="K91" s="11">
        <v>12</v>
      </c>
      <c r="L91" s="11">
        <v>2016</v>
      </c>
      <c r="M91" s="11" t="s">
        <v>1769</v>
      </c>
      <c r="N91" t="s">
        <v>7</v>
      </c>
      <c r="O91" t="s">
        <v>51</v>
      </c>
      <c r="P91">
        <v>-38.669110000000003</v>
      </c>
      <c r="Q91">
        <v>145.59273999999999</v>
      </c>
      <c r="R91" t="s">
        <v>588</v>
      </c>
      <c r="S91" t="s">
        <v>588</v>
      </c>
      <c r="T91">
        <v>1</v>
      </c>
      <c r="U91">
        <v>3</v>
      </c>
      <c r="V91" t="s">
        <v>588</v>
      </c>
      <c r="W91" t="s">
        <v>588</v>
      </c>
      <c r="X91">
        <v>2</v>
      </c>
      <c r="Y91">
        <v>2</v>
      </c>
      <c r="Z91" t="s">
        <v>41</v>
      </c>
      <c r="AA91" s="1">
        <v>42723</v>
      </c>
      <c r="AB91" s="11">
        <v>19</v>
      </c>
      <c r="AC91" s="11">
        <v>12</v>
      </c>
      <c r="AD91" s="11">
        <v>2016</v>
      </c>
      <c r="AE91" s="13" t="s">
        <v>1769</v>
      </c>
      <c r="AF91" t="s">
        <v>7</v>
      </c>
      <c r="AG91" s="1">
        <v>42734</v>
      </c>
      <c r="AH91" s="11">
        <v>30</v>
      </c>
      <c r="AI91" s="11">
        <v>12</v>
      </c>
      <c r="AJ91" s="11">
        <v>2016</v>
      </c>
      <c r="AK91" s="13" t="s">
        <v>1723</v>
      </c>
      <c r="AL91" t="s">
        <v>7</v>
      </c>
      <c r="AM91" t="s">
        <v>20</v>
      </c>
      <c r="AN91" t="s">
        <v>41</v>
      </c>
      <c r="AO91" t="s">
        <v>20</v>
      </c>
      <c r="AP91" t="s">
        <v>588</v>
      </c>
      <c r="AQ91" s="1" t="s">
        <v>588</v>
      </c>
      <c r="AR91" t="s">
        <v>588</v>
      </c>
      <c r="AS91" s="1" t="s">
        <v>588</v>
      </c>
      <c r="AT91" t="s">
        <v>588</v>
      </c>
      <c r="AU91" s="7" t="s">
        <v>588</v>
      </c>
      <c r="AV91" t="s">
        <v>588</v>
      </c>
      <c r="AW91" s="1" t="s">
        <v>588</v>
      </c>
      <c r="AX91" t="s">
        <v>588</v>
      </c>
      <c r="AY91" s="1" t="s">
        <v>588</v>
      </c>
      <c r="AZ91" t="s">
        <v>588</v>
      </c>
      <c r="BA91" s="7" t="s">
        <v>588</v>
      </c>
      <c r="BB91" t="s">
        <v>588</v>
      </c>
      <c r="BC91" s="1" t="s">
        <v>588</v>
      </c>
      <c r="BD91" t="s">
        <v>588</v>
      </c>
      <c r="BE91" s="1" t="s">
        <v>588</v>
      </c>
      <c r="BF91" t="s">
        <v>588</v>
      </c>
      <c r="BG91" s="7" t="s">
        <v>588</v>
      </c>
      <c r="BH91" t="s">
        <v>588</v>
      </c>
      <c r="BI91" s="1" t="s">
        <v>588</v>
      </c>
      <c r="BJ91" t="s">
        <v>588</v>
      </c>
      <c r="BK91" s="1" t="s">
        <v>588</v>
      </c>
      <c r="BL91" t="s">
        <v>588</v>
      </c>
      <c r="BM91" s="1" t="s">
        <v>588</v>
      </c>
      <c r="BN91" t="s">
        <v>588</v>
      </c>
      <c r="BO91" s="1" t="s">
        <v>588</v>
      </c>
      <c r="BP91" t="s">
        <v>588</v>
      </c>
      <c r="BQ91" s="1" t="s">
        <v>588</v>
      </c>
      <c r="BR91" t="s">
        <v>588</v>
      </c>
      <c r="BS91" t="s">
        <v>8</v>
      </c>
      <c r="BT91" t="s">
        <v>18</v>
      </c>
      <c r="BU91" t="s">
        <v>18</v>
      </c>
      <c r="BV91" t="s">
        <v>588</v>
      </c>
      <c r="BW91" t="s">
        <v>588</v>
      </c>
      <c r="BX91" t="s">
        <v>588</v>
      </c>
      <c r="BY91" t="s">
        <v>588</v>
      </c>
      <c r="BZ91" t="s">
        <v>588</v>
      </c>
    </row>
    <row r="92" spans="1:78" x14ac:dyDescent="0.25">
      <c r="A92">
        <v>201617</v>
      </c>
      <c r="B92" t="s">
        <v>69</v>
      </c>
      <c r="C92" t="s">
        <v>39</v>
      </c>
      <c r="D92" t="s">
        <v>40</v>
      </c>
      <c r="E92" t="s">
        <v>16</v>
      </c>
      <c r="F92">
        <v>4</v>
      </c>
      <c r="G92" t="s">
        <v>1717</v>
      </c>
      <c r="H92" s="11" t="s">
        <v>1828</v>
      </c>
      <c r="I92" s="1">
        <v>42744</v>
      </c>
      <c r="J92" s="11">
        <v>9</v>
      </c>
      <c r="K92" s="11">
        <v>1</v>
      </c>
      <c r="L92" s="11">
        <v>2017</v>
      </c>
      <c r="M92" s="11" t="s">
        <v>1786</v>
      </c>
      <c r="N92" t="s">
        <v>12</v>
      </c>
      <c r="O92" t="s">
        <v>10</v>
      </c>
      <c r="P92" s="4" t="s">
        <v>588</v>
      </c>
      <c r="Q92" s="4" t="s">
        <v>588</v>
      </c>
      <c r="R92">
        <v>-38.670349000000002</v>
      </c>
      <c r="S92">
        <v>145.596588</v>
      </c>
      <c r="T92">
        <v>1</v>
      </c>
      <c r="U92">
        <v>3</v>
      </c>
      <c r="V92" t="s">
        <v>588</v>
      </c>
      <c r="W92" t="s">
        <v>588</v>
      </c>
      <c r="X92">
        <v>2</v>
      </c>
      <c r="Y92">
        <v>2</v>
      </c>
      <c r="Z92" t="s">
        <v>41</v>
      </c>
      <c r="AA92" s="1">
        <v>42744</v>
      </c>
      <c r="AB92" s="11">
        <v>9</v>
      </c>
      <c r="AC92" s="11">
        <v>1</v>
      </c>
      <c r="AD92" s="11">
        <v>2017</v>
      </c>
      <c r="AE92" s="13" t="s">
        <v>1786</v>
      </c>
      <c r="AF92" t="s">
        <v>12</v>
      </c>
      <c r="AG92" s="1">
        <v>42751</v>
      </c>
      <c r="AH92" s="11">
        <v>16</v>
      </c>
      <c r="AI92" s="11">
        <v>1</v>
      </c>
      <c r="AJ92" s="11">
        <v>2017</v>
      </c>
      <c r="AK92" s="13" t="s">
        <v>1750</v>
      </c>
      <c r="AL92" t="s">
        <v>12</v>
      </c>
      <c r="AM92" t="s">
        <v>20</v>
      </c>
      <c r="AN92" t="s">
        <v>8</v>
      </c>
      <c r="AO92" t="s">
        <v>11</v>
      </c>
      <c r="AP92" t="s">
        <v>588</v>
      </c>
      <c r="AQ92" s="1" t="s">
        <v>588</v>
      </c>
      <c r="AR92" t="s">
        <v>588</v>
      </c>
      <c r="AS92" s="1" t="s">
        <v>588</v>
      </c>
      <c r="AT92" t="s">
        <v>588</v>
      </c>
      <c r="AU92" s="7" t="s">
        <v>588</v>
      </c>
      <c r="AV92" t="s">
        <v>588</v>
      </c>
      <c r="AW92" s="1" t="s">
        <v>588</v>
      </c>
      <c r="AX92" t="s">
        <v>588</v>
      </c>
      <c r="AY92" s="1" t="s">
        <v>588</v>
      </c>
      <c r="AZ92" t="s">
        <v>588</v>
      </c>
      <c r="BA92" s="7" t="s">
        <v>588</v>
      </c>
      <c r="BB92" t="s">
        <v>588</v>
      </c>
      <c r="BC92" s="1" t="s">
        <v>588</v>
      </c>
      <c r="BD92" t="s">
        <v>588</v>
      </c>
      <c r="BE92" s="1" t="s">
        <v>588</v>
      </c>
      <c r="BF92" t="s">
        <v>588</v>
      </c>
      <c r="BG92" s="7" t="s">
        <v>588</v>
      </c>
      <c r="BH92" t="s">
        <v>588</v>
      </c>
      <c r="BI92" s="1" t="s">
        <v>588</v>
      </c>
      <c r="BJ92" t="s">
        <v>588</v>
      </c>
      <c r="BK92" s="1" t="s">
        <v>588</v>
      </c>
      <c r="BL92" t="s">
        <v>588</v>
      </c>
      <c r="BM92" s="1" t="s">
        <v>588</v>
      </c>
      <c r="BN92" t="s">
        <v>588</v>
      </c>
      <c r="BO92" s="1" t="s">
        <v>588</v>
      </c>
      <c r="BP92" t="s">
        <v>588</v>
      </c>
      <c r="BQ92" s="1" t="s">
        <v>588</v>
      </c>
      <c r="BR92" t="s">
        <v>588</v>
      </c>
      <c r="BS92" t="s">
        <v>8</v>
      </c>
      <c r="BT92" t="s">
        <v>9</v>
      </c>
      <c r="BU92" t="s">
        <v>9</v>
      </c>
      <c r="BV92" t="s">
        <v>588</v>
      </c>
      <c r="BW92" t="s">
        <v>588</v>
      </c>
      <c r="BX92" t="s">
        <v>588</v>
      </c>
      <c r="BY92" t="s">
        <v>588</v>
      </c>
      <c r="BZ92" t="s">
        <v>588</v>
      </c>
    </row>
    <row r="93" spans="1:78" x14ac:dyDescent="0.25">
      <c r="A93">
        <v>201617</v>
      </c>
      <c r="B93" t="s">
        <v>43</v>
      </c>
      <c r="C93" t="s">
        <v>43</v>
      </c>
      <c r="D93" t="s">
        <v>53</v>
      </c>
      <c r="E93" t="s">
        <v>16</v>
      </c>
      <c r="F93">
        <v>1</v>
      </c>
      <c r="G93" t="s">
        <v>1720</v>
      </c>
      <c r="H93" s="11" t="s">
        <v>1720</v>
      </c>
      <c r="I93" s="1">
        <v>42734</v>
      </c>
      <c r="J93" s="11">
        <v>30</v>
      </c>
      <c r="K93" s="11">
        <v>12</v>
      </c>
      <c r="L93" s="11">
        <v>2016</v>
      </c>
      <c r="M93" s="11" t="s">
        <v>1723</v>
      </c>
      <c r="N93" t="s">
        <v>7</v>
      </c>
      <c r="O93" t="s">
        <v>51</v>
      </c>
      <c r="P93">
        <v>-38.668089999999999</v>
      </c>
      <c r="Q93">
        <v>145.58906999999999</v>
      </c>
      <c r="R93" t="s">
        <v>588</v>
      </c>
      <c r="S93" t="s">
        <v>588</v>
      </c>
      <c r="T93">
        <v>2</v>
      </c>
      <c r="U93">
        <v>2</v>
      </c>
      <c r="V93" t="s">
        <v>588</v>
      </c>
      <c r="W93" t="s">
        <v>588</v>
      </c>
      <c r="X93">
        <v>4</v>
      </c>
      <c r="Y93">
        <v>4</v>
      </c>
      <c r="Z93" t="s">
        <v>41</v>
      </c>
      <c r="AA93" s="1">
        <v>42744</v>
      </c>
      <c r="AB93" s="11">
        <v>9</v>
      </c>
      <c r="AC93" s="11">
        <v>1</v>
      </c>
      <c r="AD93" s="11">
        <v>2017</v>
      </c>
      <c r="AE93" s="13" t="s">
        <v>1786</v>
      </c>
      <c r="AF93" t="s">
        <v>12</v>
      </c>
      <c r="AG93" s="1">
        <v>42751</v>
      </c>
      <c r="AH93" s="11">
        <v>16</v>
      </c>
      <c r="AI93" s="11">
        <v>1</v>
      </c>
      <c r="AJ93" s="11">
        <v>2017</v>
      </c>
      <c r="AK93" s="13" t="s">
        <v>1750</v>
      </c>
      <c r="AL93" t="s">
        <v>12</v>
      </c>
      <c r="AM93" t="s">
        <v>20</v>
      </c>
      <c r="AN93" t="s">
        <v>8</v>
      </c>
      <c r="AO93" t="s">
        <v>11</v>
      </c>
      <c r="AP93" t="s">
        <v>588</v>
      </c>
      <c r="AQ93" s="1" t="s">
        <v>588</v>
      </c>
      <c r="AR93" t="s">
        <v>588</v>
      </c>
      <c r="AS93" s="1" t="s">
        <v>588</v>
      </c>
      <c r="AT93" t="s">
        <v>588</v>
      </c>
      <c r="AU93" s="7" t="s">
        <v>588</v>
      </c>
      <c r="AV93" t="s">
        <v>588</v>
      </c>
      <c r="AW93" s="1" t="s">
        <v>588</v>
      </c>
      <c r="AX93" t="s">
        <v>588</v>
      </c>
      <c r="AY93" s="1" t="s">
        <v>588</v>
      </c>
      <c r="AZ93" t="s">
        <v>588</v>
      </c>
      <c r="BA93" s="7" t="s">
        <v>588</v>
      </c>
      <c r="BB93" t="s">
        <v>588</v>
      </c>
      <c r="BC93" s="1" t="s">
        <v>588</v>
      </c>
      <c r="BD93" t="s">
        <v>588</v>
      </c>
      <c r="BE93" s="1" t="s">
        <v>588</v>
      </c>
      <c r="BF93" t="s">
        <v>588</v>
      </c>
      <c r="BG93" s="7" t="s">
        <v>588</v>
      </c>
      <c r="BH93" t="s">
        <v>588</v>
      </c>
      <c r="BI93" s="1" t="s">
        <v>588</v>
      </c>
      <c r="BJ93" t="s">
        <v>588</v>
      </c>
      <c r="BK93" s="1" t="s">
        <v>588</v>
      </c>
      <c r="BL93" t="s">
        <v>588</v>
      </c>
      <c r="BM93" s="1" t="s">
        <v>588</v>
      </c>
      <c r="BN93" t="s">
        <v>588</v>
      </c>
      <c r="BO93" s="1" t="s">
        <v>588</v>
      </c>
      <c r="BP93" t="s">
        <v>588</v>
      </c>
      <c r="BQ93" s="1" t="s">
        <v>588</v>
      </c>
      <c r="BR93" t="s">
        <v>588</v>
      </c>
      <c r="BS93" t="s">
        <v>8</v>
      </c>
      <c r="BT93" t="s">
        <v>9</v>
      </c>
      <c r="BU93" t="s">
        <v>9</v>
      </c>
      <c r="BV93" t="s">
        <v>588</v>
      </c>
      <c r="BW93" t="s">
        <v>588</v>
      </c>
      <c r="BX93" t="s">
        <v>588</v>
      </c>
      <c r="BY93" t="s">
        <v>588</v>
      </c>
      <c r="BZ93" t="s">
        <v>588</v>
      </c>
    </row>
    <row r="94" spans="1:78" x14ac:dyDescent="0.25">
      <c r="A94">
        <v>201617</v>
      </c>
      <c r="B94" t="s">
        <v>43</v>
      </c>
      <c r="C94" t="s">
        <v>43</v>
      </c>
      <c r="D94" t="s">
        <v>53</v>
      </c>
      <c r="E94" t="s">
        <v>16</v>
      </c>
      <c r="F94">
        <v>2</v>
      </c>
      <c r="G94" t="s">
        <v>1721</v>
      </c>
      <c r="H94" s="11" t="s">
        <v>1721</v>
      </c>
      <c r="I94" s="1">
        <v>42762</v>
      </c>
      <c r="J94" s="11">
        <v>27</v>
      </c>
      <c r="K94" s="11">
        <v>1</v>
      </c>
      <c r="L94" s="11">
        <v>2017</v>
      </c>
      <c r="M94" s="11" t="s">
        <v>1736</v>
      </c>
      <c r="N94" t="s">
        <v>12</v>
      </c>
      <c r="O94" t="s">
        <v>10</v>
      </c>
      <c r="P94">
        <v>-38.668219999999998</v>
      </c>
      <c r="Q94">
        <v>145.58922000000001</v>
      </c>
      <c r="R94" t="s">
        <v>588</v>
      </c>
      <c r="S94" t="s">
        <v>588</v>
      </c>
      <c r="T94">
        <v>3</v>
      </c>
      <c r="U94">
        <v>3</v>
      </c>
      <c r="V94" t="s">
        <v>588</v>
      </c>
      <c r="W94" t="s">
        <v>588</v>
      </c>
      <c r="X94">
        <v>3</v>
      </c>
      <c r="Y94">
        <v>3</v>
      </c>
      <c r="Z94" t="s">
        <v>8</v>
      </c>
      <c r="AA94" s="1">
        <v>42790</v>
      </c>
      <c r="AB94" s="11">
        <v>24</v>
      </c>
      <c r="AC94" s="11">
        <v>2</v>
      </c>
      <c r="AD94" s="11">
        <v>2017</v>
      </c>
      <c r="AE94" s="13" t="s">
        <v>1730</v>
      </c>
      <c r="AF94" t="s">
        <v>21</v>
      </c>
      <c r="AG94" s="1" t="s">
        <v>588</v>
      </c>
      <c r="AH94" s="11" t="s">
        <v>588</v>
      </c>
      <c r="AI94" s="11" t="s">
        <v>588</v>
      </c>
      <c r="AJ94" s="11" t="s">
        <v>588</v>
      </c>
      <c r="AK94" s="13" t="s">
        <v>588</v>
      </c>
      <c r="AL94" t="s">
        <v>588</v>
      </c>
      <c r="AM94" s="1" t="s">
        <v>588</v>
      </c>
      <c r="AN94" t="s">
        <v>588</v>
      </c>
      <c r="AO94" s="1" t="s">
        <v>588</v>
      </c>
      <c r="AP94" s="1">
        <v>42793</v>
      </c>
      <c r="AQ94" t="s">
        <v>21</v>
      </c>
      <c r="AR94" t="s">
        <v>195</v>
      </c>
      <c r="AS94">
        <v>1</v>
      </c>
      <c r="AT94">
        <v>2</v>
      </c>
      <c r="AU94" s="7" t="s">
        <v>588</v>
      </c>
      <c r="AV94" t="s">
        <v>588</v>
      </c>
      <c r="AW94" s="1" t="s">
        <v>588</v>
      </c>
      <c r="AX94" t="s">
        <v>588</v>
      </c>
      <c r="AY94" s="1" t="s">
        <v>588</v>
      </c>
      <c r="AZ94" t="s">
        <v>588</v>
      </c>
      <c r="BA94" s="7" t="s">
        <v>588</v>
      </c>
      <c r="BB94" t="s">
        <v>588</v>
      </c>
      <c r="BC94" s="1" t="s">
        <v>588</v>
      </c>
      <c r="BD94" t="s">
        <v>588</v>
      </c>
      <c r="BE94" s="1" t="s">
        <v>588</v>
      </c>
      <c r="BF94" t="s">
        <v>588</v>
      </c>
      <c r="BG94" s="7" t="s">
        <v>588</v>
      </c>
      <c r="BH94" t="s">
        <v>588</v>
      </c>
      <c r="BI94" s="1" t="s">
        <v>588</v>
      </c>
      <c r="BJ94" t="s">
        <v>588</v>
      </c>
      <c r="BK94" s="1" t="s">
        <v>588</v>
      </c>
      <c r="BL94" t="s">
        <v>588</v>
      </c>
      <c r="BM94">
        <v>5</v>
      </c>
      <c r="BN94">
        <v>5</v>
      </c>
      <c r="BO94" t="s">
        <v>8</v>
      </c>
      <c r="BP94">
        <v>1</v>
      </c>
      <c r="BQ94" s="1">
        <v>42823</v>
      </c>
      <c r="BR94" t="s">
        <v>22</v>
      </c>
      <c r="BS94" t="s">
        <v>8</v>
      </c>
      <c r="BT94" t="s">
        <v>9</v>
      </c>
      <c r="BU94" t="s">
        <v>9</v>
      </c>
      <c r="BV94" t="s">
        <v>8</v>
      </c>
      <c r="BW94" t="s">
        <v>9</v>
      </c>
      <c r="BX94" t="s">
        <v>9</v>
      </c>
      <c r="BY94" t="s">
        <v>202</v>
      </c>
      <c r="BZ94" t="s">
        <v>588</v>
      </c>
    </row>
    <row r="95" spans="1:78" x14ac:dyDescent="0.25">
      <c r="A95">
        <v>201617</v>
      </c>
      <c r="B95" t="s">
        <v>68</v>
      </c>
      <c r="C95" t="s">
        <v>79</v>
      </c>
      <c r="D95" t="s">
        <v>40</v>
      </c>
      <c r="E95" t="s">
        <v>16</v>
      </c>
      <c r="F95">
        <v>2</v>
      </c>
      <c r="G95" t="s">
        <v>1715</v>
      </c>
      <c r="H95" s="11" t="s">
        <v>1826</v>
      </c>
      <c r="I95" s="1">
        <v>42710</v>
      </c>
      <c r="J95" s="11">
        <v>6</v>
      </c>
      <c r="K95" s="11">
        <v>12</v>
      </c>
      <c r="L95" s="11">
        <v>2016</v>
      </c>
      <c r="M95" s="11" t="s">
        <v>1733</v>
      </c>
      <c r="N95" t="s">
        <v>7</v>
      </c>
      <c r="O95" t="s">
        <v>10</v>
      </c>
      <c r="P95" t="s">
        <v>588</v>
      </c>
      <c r="Q95" t="s">
        <v>588</v>
      </c>
      <c r="R95">
        <v>-38.672058</v>
      </c>
      <c r="S95">
        <v>145.59828200000001</v>
      </c>
      <c r="T95">
        <v>1</v>
      </c>
      <c r="U95">
        <v>3</v>
      </c>
      <c r="V95" t="s">
        <v>588</v>
      </c>
      <c r="W95" t="s">
        <v>588</v>
      </c>
      <c r="X95">
        <v>2</v>
      </c>
      <c r="Y95">
        <v>2</v>
      </c>
      <c r="Z95" t="s">
        <v>41</v>
      </c>
      <c r="AA95" s="1">
        <v>42710</v>
      </c>
      <c r="AB95" s="11">
        <v>6</v>
      </c>
      <c r="AC95" s="11">
        <v>12</v>
      </c>
      <c r="AD95" s="11">
        <v>2016</v>
      </c>
      <c r="AE95" s="13" t="s">
        <v>1733</v>
      </c>
      <c r="AF95" t="s">
        <v>7</v>
      </c>
      <c r="AG95" s="1">
        <v>42716</v>
      </c>
      <c r="AH95" s="11">
        <v>12</v>
      </c>
      <c r="AI95" s="11">
        <v>12</v>
      </c>
      <c r="AJ95" s="11">
        <v>2016</v>
      </c>
      <c r="AK95" s="13" t="s">
        <v>1748</v>
      </c>
      <c r="AL95" t="s">
        <v>7</v>
      </c>
      <c r="AM95" t="s">
        <v>20</v>
      </c>
      <c r="AN95" t="s">
        <v>41</v>
      </c>
      <c r="AO95" t="s">
        <v>20</v>
      </c>
      <c r="AP95" t="s">
        <v>588</v>
      </c>
      <c r="AQ95" s="1" t="s">
        <v>588</v>
      </c>
      <c r="AR95" t="s">
        <v>588</v>
      </c>
      <c r="AS95" s="1" t="s">
        <v>588</v>
      </c>
      <c r="AT95" t="s">
        <v>588</v>
      </c>
      <c r="AU95" s="7" t="s">
        <v>588</v>
      </c>
      <c r="AV95" t="s">
        <v>588</v>
      </c>
      <c r="AW95" s="1" t="s">
        <v>588</v>
      </c>
      <c r="AX95" t="s">
        <v>588</v>
      </c>
      <c r="AY95" s="1" t="s">
        <v>588</v>
      </c>
      <c r="AZ95" t="s">
        <v>588</v>
      </c>
      <c r="BA95" s="7" t="s">
        <v>588</v>
      </c>
      <c r="BB95" t="s">
        <v>588</v>
      </c>
      <c r="BC95" s="1" t="s">
        <v>588</v>
      </c>
      <c r="BD95" t="s">
        <v>588</v>
      </c>
      <c r="BE95" s="1" t="s">
        <v>588</v>
      </c>
      <c r="BF95" t="s">
        <v>588</v>
      </c>
      <c r="BG95" s="7" t="s">
        <v>588</v>
      </c>
      <c r="BH95" t="s">
        <v>588</v>
      </c>
      <c r="BI95" s="1" t="s">
        <v>588</v>
      </c>
      <c r="BJ95" t="s">
        <v>588</v>
      </c>
      <c r="BK95" s="1" t="s">
        <v>588</v>
      </c>
      <c r="BL95" t="s">
        <v>588</v>
      </c>
      <c r="BM95" s="1" t="s">
        <v>588</v>
      </c>
      <c r="BN95" t="s">
        <v>588</v>
      </c>
      <c r="BO95" s="1" t="s">
        <v>588</v>
      </c>
      <c r="BP95" t="s">
        <v>588</v>
      </c>
      <c r="BQ95" s="1" t="s">
        <v>588</v>
      </c>
      <c r="BR95" t="s">
        <v>588</v>
      </c>
      <c r="BS95" t="s">
        <v>8</v>
      </c>
      <c r="BT95" t="s">
        <v>9</v>
      </c>
      <c r="BU95" t="s">
        <v>9</v>
      </c>
      <c r="BV95" t="s">
        <v>588</v>
      </c>
      <c r="BW95" t="s">
        <v>588</v>
      </c>
      <c r="BX95" t="s">
        <v>588</v>
      </c>
      <c r="BY95" t="s">
        <v>588</v>
      </c>
      <c r="BZ95" t="s">
        <v>588</v>
      </c>
    </row>
    <row r="96" spans="1:78" x14ac:dyDescent="0.25">
      <c r="A96">
        <v>201617</v>
      </c>
      <c r="B96" t="s">
        <v>70</v>
      </c>
      <c r="C96" t="s">
        <v>54</v>
      </c>
      <c r="D96" t="s">
        <v>40</v>
      </c>
      <c r="E96" t="s">
        <v>16</v>
      </c>
      <c r="F96">
        <v>5</v>
      </c>
      <c r="G96" t="s">
        <v>1718</v>
      </c>
      <c r="H96" s="11" t="s">
        <v>1829</v>
      </c>
      <c r="I96" s="1">
        <v>42762</v>
      </c>
      <c r="J96" s="11">
        <v>27</v>
      </c>
      <c r="K96" s="11">
        <v>1</v>
      </c>
      <c r="L96" s="11">
        <v>2017</v>
      </c>
      <c r="M96" s="11" t="s">
        <v>1736</v>
      </c>
      <c r="N96" t="s">
        <v>12</v>
      </c>
      <c r="O96" t="s">
        <v>10</v>
      </c>
      <c r="P96">
        <v>-38.672580000000004</v>
      </c>
      <c r="Q96">
        <v>145.59890999999999</v>
      </c>
      <c r="R96" t="s">
        <v>588</v>
      </c>
      <c r="S96" t="s">
        <v>588</v>
      </c>
      <c r="T96">
        <v>3</v>
      </c>
      <c r="U96">
        <v>3</v>
      </c>
      <c r="V96" t="s">
        <v>588</v>
      </c>
      <c r="W96" t="s">
        <v>588</v>
      </c>
      <c r="X96">
        <v>2</v>
      </c>
      <c r="Y96">
        <v>2</v>
      </c>
      <c r="Z96" t="s">
        <v>41</v>
      </c>
      <c r="AA96" s="1">
        <v>42762</v>
      </c>
      <c r="AB96" s="11">
        <v>27</v>
      </c>
      <c r="AC96" s="11">
        <v>1</v>
      </c>
      <c r="AD96" s="11">
        <v>2017</v>
      </c>
      <c r="AE96" s="13" t="s">
        <v>1736</v>
      </c>
      <c r="AF96" t="s">
        <v>12</v>
      </c>
      <c r="AG96" s="1">
        <v>42780</v>
      </c>
      <c r="AH96" s="11">
        <v>14</v>
      </c>
      <c r="AI96" s="11">
        <v>2</v>
      </c>
      <c r="AJ96" s="11">
        <v>2017</v>
      </c>
      <c r="AK96" s="13" t="s">
        <v>1744</v>
      </c>
      <c r="AL96" t="s">
        <v>21</v>
      </c>
      <c r="AM96" t="s">
        <v>20</v>
      </c>
      <c r="AN96" t="s">
        <v>8</v>
      </c>
      <c r="AO96" t="s">
        <v>11</v>
      </c>
      <c r="AP96" t="s">
        <v>588</v>
      </c>
      <c r="AQ96" s="1" t="s">
        <v>588</v>
      </c>
      <c r="AR96" t="s">
        <v>588</v>
      </c>
      <c r="AS96" s="1" t="s">
        <v>588</v>
      </c>
      <c r="AT96" t="s">
        <v>588</v>
      </c>
      <c r="AU96" s="7" t="s">
        <v>588</v>
      </c>
      <c r="AV96" t="s">
        <v>588</v>
      </c>
      <c r="AW96" s="1" t="s">
        <v>588</v>
      </c>
      <c r="AX96" t="s">
        <v>588</v>
      </c>
      <c r="AY96" s="1" t="s">
        <v>588</v>
      </c>
      <c r="AZ96" t="s">
        <v>588</v>
      </c>
      <c r="BA96" s="7" t="s">
        <v>588</v>
      </c>
      <c r="BB96" t="s">
        <v>588</v>
      </c>
      <c r="BC96" s="1" t="s">
        <v>588</v>
      </c>
      <c r="BD96" t="s">
        <v>588</v>
      </c>
      <c r="BE96" s="1" t="s">
        <v>588</v>
      </c>
      <c r="BF96" t="s">
        <v>588</v>
      </c>
      <c r="BG96" s="7" t="s">
        <v>588</v>
      </c>
      <c r="BH96" t="s">
        <v>588</v>
      </c>
      <c r="BI96" s="1" t="s">
        <v>588</v>
      </c>
      <c r="BJ96" t="s">
        <v>588</v>
      </c>
      <c r="BK96" s="1" t="s">
        <v>588</v>
      </c>
      <c r="BL96" t="s">
        <v>588</v>
      </c>
      <c r="BM96" s="1" t="s">
        <v>588</v>
      </c>
      <c r="BN96" t="s">
        <v>588</v>
      </c>
      <c r="BO96" s="1" t="s">
        <v>588</v>
      </c>
      <c r="BP96" t="s">
        <v>588</v>
      </c>
      <c r="BQ96" s="1" t="s">
        <v>588</v>
      </c>
      <c r="BR96" t="s">
        <v>588</v>
      </c>
      <c r="BS96" t="s">
        <v>8</v>
      </c>
      <c r="BT96" t="s">
        <v>9</v>
      </c>
      <c r="BU96" t="s">
        <v>9</v>
      </c>
      <c r="BV96" t="s">
        <v>588</v>
      </c>
      <c r="BW96" t="s">
        <v>588</v>
      </c>
      <c r="BX96" t="s">
        <v>588</v>
      </c>
      <c r="BY96" t="s">
        <v>588</v>
      </c>
      <c r="BZ96" t="s">
        <v>588</v>
      </c>
    </row>
    <row r="97" spans="1:78" x14ac:dyDescent="0.25">
      <c r="A97">
        <v>201617</v>
      </c>
      <c r="B97" t="s">
        <v>70</v>
      </c>
      <c r="C97" t="s">
        <v>54</v>
      </c>
      <c r="D97" t="s">
        <v>40</v>
      </c>
      <c r="E97" t="s">
        <v>16</v>
      </c>
      <c r="F97">
        <v>6</v>
      </c>
      <c r="G97" t="s">
        <v>1719</v>
      </c>
      <c r="H97" s="11" t="s">
        <v>1830</v>
      </c>
      <c r="I97" s="1" t="s">
        <v>71</v>
      </c>
      <c r="J97" s="1" t="s">
        <v>71</v>
      </c>
      <c r="K97" s="1" t="s">
        <v>71</v>
      </c>
      <c r="L97" s="1" t="s">
        <v>71</v>
      </c>
      <c r="M97" s="1" t="s">
        <v>71</v>
      </c>
      <c r="N97" t="s">
        <v>22</v>
      </c>
      <c r="O97" t="s">
        <v>71</v>
      </c>
      <c r="P97" t="s">
        <v>588</v>
      </c>
      <c r="Q97" t="s">
        <v>588</v>
      </c>
      <c r="R97">
        <v>-38.672440000000002</v>
      </c>
      <c r="S97">
        <v>145.59873999999999</v>
      </c>
      <c r="T97">
        <v>1</v>
      </c>
      <c r="U97">
        <v>1</v>
      </c>
      <c r="V97" t="s">
        <v>588</v>
      </c>
      <c r="W97" t="s">
        <v>588</v>
      </c>
      <c r="X97">
        <v>0</v>
      </c>
      <c r="Y97">
        <v>0</v>
      </c>
      <c r="Z97" t="s">
        <v>8</v>
      </c>
      <c r="AA97" s="1" t="s">
        <v>71</v>
      </c>
      <c r="AB97" s="1" t="s">
        <v>71</v>
      </c>
      <c r="AC97" s="1" t="s">
        <v>71</v>
      </c>
      <c r="AD97" s="1" t="s">
        <v>71</v>
      </c>
      <c r="AE97" s="1" t="s">
        <v>71</v>
      </c>
      <c r="AF97" t="s">
        <v>588</v>
      </c>
      <c r="AG97" s="1" t="s">
        <v>588</v>
      </c>
      <c r="AH97" s="11" t="s">
        <v>588</v>
      </c>
      <c r="AI97" s="11" t="s">
        <v>588</v>
      </c>
      <c r="AJ97" s="11" t="s">
        <v>588</v>
      </c>
      <c r="AK97" s="13" t="s">
        <v>588</v>
      </c>
      <c r="AL97" t="s">
        <v>588</v>
      </c>
      <c r="AM97" s="1" t="s">
        <v>588</v>
      </c>
      <c r="AN97" t="s">
        <v>588</v>
      </c>
      <c r="AO97" s="1" t="s">
        <v>588</v>
      </c>
      <c r="AP97" s="1">
        <v>42844</v>
      </c>
      <c r="AQ97" t="s">
        <v>72</v>
      </c>
      <c r="AR97" t="s">
        <v>199</v>
      </c>
      <c r="AS97">
        <v>1</v>
      </c>
      <c r="AT97">
        <v>1</v>
      </c>
      <c r="AU97" s="7">
        <v>42852</v>
      </c>
      <c r="AV97" s="1">
        <v>42858</v>
      </c>
      <c r="AW97" t="s">
        <v>200</v>
      </c>
      <c r="AX97" t="s">
        <v>20</v>
      </c>
      <c r="AY97" s="1" t="s">
        <v>588</v>
      </c>
      <c r="AZ97" t="s">
        <v>20</v>
      </c>
      <c r="BA97" s="7" t="s">
        <v>588</v>
      </c>
      <c r="BB97" t="s">
        <v>588</v>
      </c>
      <c r="BC97" s="1" t="s">
        <v>588</v>
      </c>
      <c r="BD97" t="s">
        <v>588</v>
      </c>
      <c r="BE97" s="1" t="s">
        <v>588</v>
      </c>
      <c r="BF97" t="s">
        <v>588</v>
      </c>
      <c r="BG97" s="7" t="s">
        <v>588</v>
      </c>
      <c r="BH97" t="s">
        <v>588</v>
      </c>
      <c r="BI97" s="1" t="s">
        <v>588</v>
      </c>
      <c r="BJ97" t="s">
        <v>588</v>
      </c>
      <c r="BK97" s="1" t="s">
        <v>588</v>
      </c>
      <c r="BL97" t="s">
        <v>588</v>
      </c>
      <c r="BM97">
        <v>3</v>
      </c>
      <c r="BN97">
        <v>3</v>
      </c>
      <c r="BO97" t="s">
        <v>41</v>
      </c>
      <c r="BP97" t="s">
        <v>588</v>
      </c>
      <c r="BQ97" s="1" t="s">
        <v>588</v>
      </c>
      <c r="BR97" t="s">
        <v>588</v>
      </c>
      <c r="BS97" t="s">
        <v>41</v>
      </c>
      <c r="BT97" t="s">
        <v>42</v>
      </c>
      <c r="BU97" t="s">
        <v>42</v>
      </c>
      <c r="BV97" t="s">
        <v>41</v>
      </c>
      <c r="BW97" t="s">
        <v>42</v>
      </c>
      <c r="BX97" t="s">
        <v>42</v>
      </c>
      <c r="BY97" t="s">
        <v>201</v>
      </c>
      <c r="BZ97" t="s">
        <v>588</v>
      </c>
    </row>
  </sheetData>
  <autoFilter ref="A1:BZ102" xr:uid="{C1844BF5-3902-4CA8-AB58-B1AB184461B6}">
    <sortState xmlns:xlrd2="http://schemas.microsoft.com/office/spreadsheetml/2017/richdata2" ref="A2:BZ99">
      <sortCondition ref="C1:C102"/>
    </sortState>
  </autoFilter>
  <phoneticPr fontId="2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02B9-760F-454D-B606-63FC647D4F49}">
  <dimension ref="A1:BZ68"/>
  <sheetViews>
    <sheetView zoomScale="80" zoomScaleNormal="80" workbookViewId="0">
      <pane xSplit="8" ySplit="1" topLeftCell="I2" activePane="bottomRight" state="frozen"/>
      <selection pane="topRight" activeCell="I1" sqref="I1"/>
      <selection pane="bottomLeft" activeCell="A2" sqref="A2"/>
      <selection pane="bottomRight" activeCell="C16" sqref="C16"/>
    </sheetView>
  </sheetViews>
  <sheetFormatPr defaultRowHeight="15" x14ac:dyDescent="0.25"/>
  <cols>
    <col min="1" max="1" width="7.7109375" style="11" bestFit="1" customWidth="1"/>
    <col min="2" max="2" width="51.7109375" style="11" bestFit="1" customWidth="1"/>
    <col min="3" max="3" width="68.42578125" style="11" bestFit="1" customWidth="1"/>
    <col min="4" max="5" width="8.5703125" style="11" customWidth="1"/>
    <col min="6" max="6" width="4.42578125" style="11" customWidth="1"/>
    <col min="7" max="7" width="12.42578125" style="11" customWidth="1"/>
    <col min="8" max="8" width="46.7109375" style="11" customWidth="1"/>
    <col min="9" max="9" width="15.7109375" style="11" customWidth="1"/>
    <col min="10" max="10" width="7.42578125" style="11" bestFit="1" customWidth="1"/>
    <col min="11" max="11" width="9.5703125" style="11" bestFit="1" customWidth="1"/>
    <col min="12" max="12" width="8" style="11" bestFit="1" customWidth="1"/>
    <col min="13" max="13" width="23.5703125" style="11" bestFit="1" customWidth="1"/>
    <col min="14" max="14" width="12.5703125" style="11" customWidth="1"/>
    <col min="15" max="15" width="12.140625" style="11" bestFit="1" customWidth="1"/>
    <col min="16" max="16" width="12.28515625" style="11" customWidth="1"/>
    <col min="17" max="17" width="12.85546875" style="11" customWidth="1"/>
    <col min="18" max="19" width="10.5703125" style="11" customWidth="1"/>
    <col min="20" max="21" width="10.85546875" style="11" customWidth="1"/>
    <col min="22" max="23" width="20" style="11" customWidth="1"/>
    <col min="24" max="24" width="11.7109375" style="11" customWidth="1"/>
    <col min="25" max="26" width="9.140625" style="11"/>
    <col min="27" max="27" width="23.28515625" style="11" bestFit="1" customWidth="1"/>
    <col min="28" max="28" width="8.42578125" style="11" bestFit="1" customWidth="1"/>
    <col min="29" max="29" width="9.5703125" style="11" bestFit="1" customWidth="1"/>
    <col min="30" max="30" width="8.42578125" style="11" bestFit="1" customWidth="1"/>
    <col min="31" max="31" width="27" style="11" bestFit="1" customWidth="1"/>
    <col min="32" max="32" width="13.85546875" style="11" customWidth="1"/>
    <col min="33" max="33" width="24.42578125" style="11" bestFit="1" customWidth="1"/>
    <col min="34" max="34" width="8.42578125" style="11" bestFit="1" customWidth="1"/>
    <col min="35" max="35" width="9.5703125" style="11" bestFit="1" customWidth="1"/>
    <col min="36" max="36" width="8.42578125" style="11" bestFit="1" customWidth="1"/>
    <col min="37" max="37" width="25.5703125" style="11" bestFit="1" customWidth="1"/>
    <col min="38" max="38" width="10.7109375" style="11" bestFit="1" customWidth="1"/>
    <col min="39" max="39" width="13.28515625" style="11" customWidth="1"/>
    <col min="40" max="40" width="13.7109375" style="11" customWidth="1"/>
    <col min="41" max="41" width="17.7109375" style="11" customWidth="1"/>
    <col min="42" max="42" width="17.28515625" style="11" customWidth="1"/>
    <col min="43" max="46" width="9.140625" style="11"/>
    <col min="47" max="47" width="25.42578125" style="11" bestFit="1" customWidth="1"/>
    <col min="48" max="48" width="17" style="11" bestFit="1" customWidth="1"/>
    <col min="49" max="49" width="18.85546875" style="11" bestFit="1" customWidth="1"/>
    <col min="50" max="50" width="24.85546875" style="11" bestFit="1" customWidth="1"/>
    <col min="51" max="51" width="20.85546875" style="11" bestFit="1" customWidth="1"/>
    <col min="52" max="52" width="23.7109375" style="11" bestFit="1" customWidth="1"/>
    <col min="53" max="53" width="23.7109375" style="11" customWidth="1"/>
    <col min="54" max="54" width="17" style="11" bestFit="1" customWidth="1"/>
    <col min="55" max="55" width="18.85546875" style="11" bestFit="1" customWidth="1"/>
    <col min="56" max="56" width="24.42578125" style="11" customWidth="1"/>
    <col min="57" max="57" width="20.85546875" style="11" bestFit="1" customWidth="1"/>
    <col min="58" max="60" width="17.85546875" style="11" customWidth="1"/>
    <col min="61" max="61" width="18.85546875" style="11" bestFit="1" customWidth="1"/>
    <col min="62" max="62" width="24.85546875" style="11" bestFit="1" customWidth="1"/>
    <col min="63" max="63" width="20.85546875" style="11" bestFit="1" customWidth="1"/>
    <col min="64" max="64" width="25.5703125" style="11" bestFit="1" customWidth="1"/>
    <col min="65" max="65" width="17.7109375" style="11" bestFit="1" customWidth="1"/>
    <col min="66" max="66" width="15" style="11" bestFit="1" customWidth="1"/>
    <col min="67" max="67" width="9.28515625" style="11" bestFit="1" customWidth="1"/>
    <col min="68" max="68" width="9.42578125" style="11" bestFit="1" customWidth="1"/>
    <col min="69" max="69" width="12.7109375" style="11" bestFit="1" customWidth="1"/>
    <col min="70" max="70" width="14.5703125" style="11" bestFit="1" customWidth="1"/>
    <col min="71" max="71" width="15.28515625" style="11" bestFit="1" customWidth="1"/>
    <col min="72" max="72" width="5.5703125" style="11" customWidth="1"/>
    <col min="73" max="73" width="31.7109375" style="11" bestFit="1" customWidth="1"/>
    <col min="74" max="74" width="14.85546875" style="11" bestFit="1" customWidth="1"/>
    <col min="75" max="75" width="5.28515625" style="11" customWidth="1"/>
    <col min="76" max="76" width="40" style="11" bestFit="1" customWidth="1"/>
    <col min="77" max="77" width="6.42578125" style="11" bestFit="1" customWidth="1"/>
    <col min="78" max="78" width="8" style="11" bestFit="1" customWidth="1"/>
    <col min="79" max="79" width="18.5703125" style="11" customWidth="1"/>
    <col min="80" max="16384" width="9.140625" style="11"/>
  </cols>
  <sheetData>
    <row r="1" spans="1:78" s="15" customFormat="1" x14ac:dyDescent="0.25">
      <c r="A1" s="12" t="s">
        <v>0</v>
      </c>
      <c r="B1" s="12" t="s">
        <v>139</v>
      </c>
      <c r="C1" s="9" t="s">
        <v>231</v>
      </c>
      <c r="D1" s="12" t="s">
        <v>1</v>
      </c>
      <c r="E1" s="12" t="s">
        <v>2</v>
      </c>
      <c r="F1" s="12" t="s">
        <v>140</v>
      </c>
      <c r="G1" s="12" t="s">
        <v>141</v>
      </c>
      <c r="H1" s="9" t="s">
        <v>593</v>
      </c>
      <c r="I1" s="12" t="s">
        <v>142</v>
      </c>
      <c r="J1" s="12" t="s">
        <v>589</v>
      </c>
      <c r="K1" s="12" t="s">
        <v>590</v>
      </c>
      <c r="L1" s="12" t="s">
        <v>591</v>
      </c>
      <c r="M1" s="9" t="s">
        <v>592</v>
      </c>
      <c r="N1" s="12" t="s">
        <v>143</v>
      </c>
      <c r="O1" s="12" t="s">
        <v>3</v>
      </c>
      <c r="P1" s="2" t="s">
        <v>212</v>
      </c>
      <c r="Q1" s="2"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189</v>
      </c>
      <c r="BU1" s="14" t="s">
        <v>596</v>
      </c>
      <c r="BV1" s="12" t="s">
        <v>190</v>
      </c>
      <c r="BW1" s="12" t="s">
        <v>191</v>
      </c>
      <c r="BX1" s="14" t="s">
        <v>597</v>
      </c>
      <c r="BY1" s="12" t="s">
        <v>192</v>
      </c>
      <c r="BZ1" s="12" t="s">
        <v>193</v>
      </c>
    </row>
    <row r="2" spans="1:78" x14ac:dyDescent="0.25">
      <c r="A2" s="11">
        <v>201516</v>
      </c>
      <c r="B2" s="11" t="s">
        <v>576</v>
      </c>
      <c r="C2" t="s">
        <v>509</v>
      </c>
      <c r="D2" s="11" t="s">
        <v>377</v>
      </c>
      <c r="E2" s="11" t="s">
        <v>16</v>
      </c>
      <c r="F2" s="11">
        <v>1</v>
      </c>
      <c r="G2" s="11" t="str">
        <f t="shared" ref="G2:G33" si="0">CONCATENATE(A2,"_",B2,"_",F2)</f>
        <v>201516_Baxters 1 Sth_1</v>
      </c>
      <c r="H2" s="11" t="s">
        <v>2086</v>
      </c>
      <c r="I2" s="13">
        <v>42323</v>
      </c>
      <c r="J2" s="11">
        <f t="shared" ref="J2:J37" si="1">DAY(I2)</f>
        <v>15</v>
      </c>
      <c r="K2" s="11">
        <f t="shared" ref="K2:K37" si="2">MONTH(I2)</f>
        <v>11</v>
      </c>
      <c r="L2" s="11">
        <f t="shared" ref="L2:L37" si="3">YEAR(I2)</f>
        <v>2015</v>
      </c>
      <c r="M2" s="11" t="str">
        <f t="shared" ref="M2:M37" si="4">CONCATENATE(TEXT(J2,"00"),TEXT(K2,"00"),TEXT(L2,"0000"))</f>
        <v>15112015</v>
      </c>
      <c r="N2" s="11" t="s">
        <v>17</v>
      </c>
      <c r="O2" s="11" t="s">
        <v>10</v>
      </c>
      <c r="P2" s="11" t="s">
        <v>588</v>
      </c>
      <c r="Q2" s="11" t="s">
        <v>588</v>
      </c>
      <c r="R2" s="11" t="s">
        <v>588</v>
      </c>
      <c r="S2" s="11" t="s">
        <v>588</v>
      </c>
      <c r="T2" s="11">
        <v>3</v>
      </c>
      <c r="U2" s="11">
        <v>3</v>
      </c>
      <c r="V2" s="11" t="s">
        <v>588</v>
      </c>
      <c r="W2" s="11" t="s">
        <v>588</v>
      </c>
      <c r="X2" s="11">
        <v>2</v>
      </c>
      <c r="Y2" s="11">
        <v>2</v>
      </c>
      <c r="Z2" s="11" t="s">
        <v>41</v>
      </c>
      <c r="AA2" s="13">
        <v>42323</v>
      </c>
      <c r="AB2" s="11">
        <f t="shared" ref="AB2:AB37" si="5">DAY(AA2)</f>
        <v>15</v>
      </c>
      <c r="AC2" s="11">
        <f t="shared" ref="AC2:AC37" si="6">MONTH(AA2)</f>
        <v>11</v>
      </c>
      <c r="AD2" s="11">
        <f t="shared" ref="AD2:AD37" si="7">YEAR(AA2)</f>
        <v>2015</v>
      </c>
      <c r="AE2" s="13" t="str">
        <f t="shared" ref="AE2:AE37" si="8">CONCATENATE(TEXT(AB2,"00"),TEXT(AC2,"00"),TEXT(AD2,"0000"))</f>
        <v>15112015</v>
      </c>
      <c r="AF2" s="11" t="s">
        <v>17</v>
      </c>
      <c r="AG2" s="13">
        <v>42366</v>
      </c>
      <c r="AH2" s="11">
        <v>28</v>
      </c>
      <c r="AI2" s="11">
        <v>12</v>
      </c>
      <c r="AJ2" s="11">
        <v>2015</v>
      </c>
      <c r="AK2" s="13" t="s">
        <v>2008</v>
      </c>
      <c r="AL2" s="11" t="s">
        <v>7</v>
      </c>
      <c r="AM2" s="13" t="s">
        <v>20</v>
      </c>
      <c r="AN2" s="11" t="s">
        <v>41</v>
      </c>
      <c r="AO2" s="13" t="s">
        <v>41</v>
      </c>
      <c r="AP2" s="11" t="s">
        <v>588</v>
      </c>
      <c r="AQ2" s="13" t="s">
        <v>588</v>
      </c>
      <c r="AR2" s="11" t="s">
        <v>588</v>
      </c>
      <c r="AS2" s="13" t="s">
        <v>588</v>
      </c>
      <c r="AT2" s="11" t="s">
        <v>588</v>
      </c>
      <c r="AU2" s="13" t="s">
        <v>588</v>
      </c>
      <c r="AV2" s="11" t="s">
        <v>588</v>
      </c>
      <c r="AW2" s="13" t="s">
        <v>588</v>
      </c>
      <c r="AX2" s="11" t="s">
        <v>588</v>
      </c>
      <c r="AY2" s="13" t="s">
        <v>588</v>
      </c>
      <c r="AZ2" s="11" t="s">
        <v>588</v>
      </c>
      <c r="BA2" s="13" t="s">
        <v>588</v>
      </c>
      <c r="BB2" s="11" t="s">
        <v>588</v>
      </c>
      <c r="BC2" s="13" t="s">
        <v>588</v>
      </c>
      <c r="BD2" s="11" t="s">
        <v>588</v>
      </c>
      <c r="BE2" s="13" t="s">
        <v>588</v>
      </c>
      <c r="BF2" s="11" t="s">
        <v>588</v>
      </c>
      <c r="BG2" s="13" t="s">
        <v>588</v>
      </c>
      <c r="BH2" s="11" t="s">
        <v>588</v>
      </c>
      <c r="BI2" s="13" t="s">
        <v>588</v>
      </c>
      <c r="BJ2" s="11" t="s">
        <v>588</v>
      </c>
      <c r="BK2" s="13" t="s">
        <v>588</v>
      </c>
      <c r="BL2" s="11" t="s">
        <v>588</v>
      </c>
      <c r="BM2" s="13" t="s">
        <v>588</v>
      </c>
      <c r="BN2" s="11" t="s">
        <v>588</v>
      </c>
      <c r="BO2" s="13" t="s">
        <v>588</v>
      </c>
      <c r="BP2" s="11" t="s">
        <v>588</v>
      </c>
      <c r="BQ2" s="13" t="s">
        <v>588</v>
      </c>
      <c r="BR2" s="11" t="s">
        <v>588</v>
      </c>
      <c r="BS2" s="11" t="s">
        <v>41</v>
      </c>
      <c r="BT2" s="11" t="s">
        <v>42</v>
      </c>
      <c r="BU2" s="11" t="s">
        <v>42</v>
      </c>
      <c r="BV2" s="11" t="s">
        <v>588</v>
      </c>
      <c r="BW2" s="11" t="s">
        <v>588</v>
      </c>
      <c r="BX2" s="11" t="s">
        <v>588</v>
      </c>
      <c r="BY2" s="11" t="s">
        <v>588</v>
      </c>
      <c r="BZ2" s="11" t="s">
        <v>588</v>
      </c>
    </row>
    <row r="3" spans="1:78" x14ac:dyDescent="0.25">
      <c r="A3" s="11">
        <v>201516</v>
      </c>
      <c r="B3" s="11" t="s">
        <v>576</v>
      </c>
      <c r="C3" t="s">
        <v>509</v>
      </c>
      <c r="D3" s="11" t="s">
        <v>377</v>
      </c>
      <c r="E3" s="11" t="s">
        <v>16</v>
      </c>
      <c r="F3" s="11">
        <v>2</v>
      </c>
      <c r="G3" s="11" t="str">
        <f t="shared" si="0"/>
        <v>201516_Baxters 1 Sth_2</v>
      </c>
      <c r="H3" s="11" t="s">
        <v>2087</v>
      </c>
      <c r="I3" s="13">
        <v>42366</v>
      </c>
      <c r="J3" s="11">
        <f t="shared" si="1"/>
        <v>28</v>
      </c>
      <c r="K3" s="11">
        <f t="shared" si="2"/>
        <v>12</v>
      </c>
      <c r="L3" s="11">
        <f t="shared" si="3"/>
        <v>2015</v>
      </c>
      <c r="M3" s="11" t="str">
        <f t="shared" si="4"/>
        <v>28122015</v>
      </c>
      <c r="N3" s="11" t="s">
        <v>7</v>
      </c>
      <c r="O3" s="11" t="s">
        <v>10</v>
      </c>
      <c r="P3" s="11">
        <v>-38.613365000000002</v>
      </c>
      <c r="Q3" s="11">
        <v>145.54006999999999</v>
      </c>
      <c r="R3" s="11" t="s">
        <v>588</v>
      </c>
      <c r="S3" s="11" t="s">
        <v>588</v>
      </c>
      <c r="T3" s="11">
        <v>3</v>
      </c>
      <c r="U3" s="11">
        <v>3</v>
      </c>
      <c r="V3" s="13">
        <v>42370</v>
      </c>
      <c r="W3" s="11" t="s">
        <v>223</v>
      </c>
      <c r="X3" s="11">
        <v>3</v>
      </c>
      <c r="Y3" s="11">
        <v>3</v>
      </c>
      <c r="Z3" s="11" t="s">
        <v>41</v>
      </c>
      <c r="AA3" s="13">
        <v>42373</v>
      </c>
      <c r="AB3" s="11">
        <f t="shared" si="5"/>
        <v>4</v>
      </c>
      <c r="AC3" s="11">
        <f t="shared" si="6"/>
        <v>1</v>
      </c>
      <c r="AD3" s="11">
        <f t="shared" si="7"/>
        <v>2016</v>
      </c>
      <c r="AE3" s="13" t="str">
        <f t="shared" si="8"/>
        <v>04012016</v>
      </c>
      <c r="AF3" s="11" t="s">
        <v>12</v>
      </c>
      <c r="AG3" s="13">
        <v>42390</v>
      </c>
      <c r="AH3" s="11">
        <v>21</v>
      </c>
      <c r="AI3" s="11">
        <v>1</v>
      </c>
      <c r="AJ3" s="11">
        <v>2016</v>
      </c>
      <c r="AK3" s="13" t="s">
        <v>2009</v>
      </c>
      <c r="AL3" s="11" t="s">
        <v>12</v>
      </c>
      <c r="AM3" s="13" t="s">
        <v>588</v>
      </c>
      <c r="AN3" s="11" t="s">
        <v>8</v>
      </c>
      <c r="AO3" s="11" t="s">
        <v>32</v>
      </c>
      <c r="AP3" s="11" t="s">
        <v>588</v>
      </c>
      <c r="AQ3" s="11" t="s">
        <v>588</v>
      </c>
      <c r="AR3" s="11" t="s">
        <v>588</v>
      </c>
      <c r="AS3" s="11" t="s">
        <v>588</v>
      </c>
      <c r="AT3" s="11" t="s">
        <v>588</v>
      </c>
      <c r="AU3" s="11" t="s">
        <v>588</v>
      </c>
      <c r="AV3" s="11" t="s">
        <v>588</v>
      </c>
      <c r="AW3" s="11" t="s">
        <v>588</v>
      </c>
      <c r="AX3" s="11" t="s">
        <v>588</v>
      </c>
      <c r="AY3" s="11" t="s">
        <v>588</v>
      </c>
      <c r="AZ3" s="11" t="s">
        <v>588</v>
      </c>
      <c r="BA3" s="11" t="s">
        <v>588</v>
      </c>
      <c r="BB3" s="11" t="s">
        <v>588</v>
      </c>
      <c r="BC3" s="11" t="s">
        <v>588</v>
      </c>
      <c r="BD3" s="11" t="s">
        <v>588</v>
      </c>
      <c r="BE3" s="11" t="s">
        <v>588</v>
      </c>
      <c r="BF3" s="11" t="s">
        <v>588</v>
      </c>
      <c r="BG3" s="11" t="s">
        <v>588</v>
      </c>
      <c r="BH3" s="11" t="s">
        <v>588</v>
      </c>
      <c r="BI3" s="11" t="s">
        <v>588</v>
      </c>
      <c r="BJ3" s="11" t="s">
        <v>588</v>
      </c>
      <c r="BK3" s="11" t="s">
        <v>588</v>
      </c>
      <c r="BL3" s="11" t="s">
        <v>588</v>
      </c>
      <c r="BM3" s="11" t="s">
        <v>588</v>
      </c>
      <c r="BN3" s="11" t="s">
        <v>588</v>
      </c>
      <c r="BO3" s="11" t="s">
        <v>588</v>
      </c>
      <c r="BP3" s="11" t="s">
        <v>588</v>
      </c>
      <c r="BQ3" s="11" t="s">
        <v>588</v>
      </c>
      <c r="BR3" s="11" t="s">
        <v>588</v>
      </c>
      <c r="BS3" s="11" t="s">
        <v>41</v>
      </c>
      <c r="BT3" s="11" t="s">
        <v>42</v>
      </c>
      <c r="BU3" s="11" t="s">
        <v>42</v>
      </c>
      <c r="BV3" s="11" t="s">
        <v>588</v>
      </c>
      <c r="BW3" s="11" t="s">
        <v>588</v>
      </c>
      <c r="BX3" s="11" t="s">
        <v>588</v>
      </c>
      <c r="BY3" s="11" t="s">
        <v>588</v>
      </c>
      <c r="BZ3" s="11" t="s">
        <v>588</v>
      </c>
    </row>
    <row r="4" spans="1:78" x14ac:dyDescent="0.25">
      <c r="A4" s="11">
        <v>201516</v>
      </c>
      <c r="B4" s="11" t="s">
        <v>578</v>
      </c>
      <c r="C4" t="s">
        <v>242</v>
      </c>
      <c r="D4" s="11" t="s">
        <v>1991</v>
      </c>
      <c r="E4" s="11" t="s">
        <v>244</v>
      </c>
      <c r="F4" s="11">
        <v>1</v>
      </c>
      <c r="G4" s="11" t="str">
        <f t="shared" si="0"/>
        <v>201516_Baxters Beach A19_1</v>
      </c>
      <c r="H4" s="11" t="s">
        <v>1968</v>
      </c>
      <c r="I4" s="13">
        <v>42271</v>
      </c>
      <c r="J4" s="11">
        <f t="shared" si="1"/>
        <v>24</v>
      </c>
      <c r="K4" s="11">
        <f t="shared" si="2"/>
        <v>9</v>
      </c>
      <c r="L4" s="11">
        <f t="shared" si="3"/>
        <v>2015</v>
      </c>
      <c r="M4" s="11" t="str">
        <f t="shared" si="4"/>
        <v>24092015</v>
      </c>
      <c r="N4" s="11" t="s">
        <v>28</v>
      </c>
      <c r="O4" s="11" t="s">
        <v>10</v>
      </c>
      <c r="P4" s="11" t="s">
        <v>588</v>
      </c>
      <c r="Q4" s="11" t="s">
        <v>588</v>
      </c>
      <c r="R4" s="11" t="s">
        <v>588</v>
      </c>
      <c r="S4" s="11" t="s">
        <v>588</v>
      </c>
      <c r="T4" s="11">
        <v>2</v>
      </c>
      <c r="U4" s="11">
        <v>3</v>
      </c>
      <c r="V4" s="11" t="s">
        <v>588</v>
      </c>
      <c r="W4" s="11" t="s">
        <v>588</v>
      </c>
      <c r="X4" s="11">
        <v>2</v>
      </c>
      <c r="Y4" s="11">
        <v>2</v>
      </c>
      <c r="Z4" s="11" t="s">
        <v>41</v>
      </c>
      <c r="AA4" s="13">
        <v>42271</v>
      </c>
      <c r="AB4" s="11">
        <f t="shared" si="5"/>
        <v>24</v>
      </c>
      <c r="AC4" s="11">
        <f t="shared" si="6"/>
        <v>9</v>
      </c>
      <c r="AD4" s="11">
        <f t="shared" si="7"/>
        <v>2015</v>
      </c>
      <c r="AE4" s="13" t="str">
        <f t="shared" si="8"/>
        <v>24092015</v>
      </c>
      <c r="AF4" s="11" t="s">
        <v>28</v>
      </c>
      <c r="AG4" s="13">
        <v>42287</v>
      </c>
      <c r="AH4" s="11">
        <v>10</v>
      </c>
      <c r="AI4" s="11">
        <v>10</v>
      </c>
      <c r="AJ4" s="11">
        <v>2015</v>
      </c>
      <c r="AK4" s="13" t="s">
        <v>2010</v>
      </c>
      <c r="AL4" s="11" t="s">
        <v>29</v>
      </c>
      <c r="AM4" s="11" t="s">
        <v>11</v>
      </c>
      <c r="AN4" s="11" t="s">
        <v>8</v>
      </c>
      <c r="AO4" s="11" t="s">
        <v>41</v>
      </c>
      <c r="AP4" s="11" t="s">
        <v>588</v>
      </c>
      <c r="AQ4" s="11" t="s">
        <v>588</v>
      </c>
      <c r="AR4" s="11" t="s">
        <v>588</v>
      </c>
      <c r="AS4" s="11" t="s">
        <v>588</v>
      </c>
      <c r="AT4" s="11" t="s">
        <v>588</v>
      </c>
      <c r="AU4" s="11" t="s">
        <v>588</v>
      </c>
      <c r="AV4" s="11" t="s">
        <v>588</v>
      </c>
      <c r="AW4" s="11" t="s">
        <v>588</v>
      </c>
      <c r="AX4" s="11" t="s">
        <v>588</v>
      </c>
      <c r="AY4" s="11" t="s">
        <v>588</v>
      </c>
      <c r="AZ4" s="11" t="s">
        <v>588</v>
      </c>
      <c r="BA4" s="11" t="s">
        <v>588</v>
      </c>
      <c r="BB4" s="11" t="s">
        <v>588</v>
      </c>
      <c r="BC4" s="11" t="s">
        <v>588</v>
      </c>
      <c r="BD4" s="11" t="s">
        <v>588</v>
      </c>
      <c r="BE4" s="11" t="s">
        <v>588</v>
      </c>
      <c r="BF4" s="11" t="s">
        <v>588</v>
      </c>
      <c r="BG4" s="11" t="s">
        <v>588</v>
      </c>
      <c r="BH4" s="11" t="s">
        <v>588</v>
      </c>
      <c r="BI4" s="11" t="s">
        <v>588</v>
      </c>
      <c r="BJ4" s="11" t="s">
        <v>588</v>
      </c>
      <c r="BK4" s="11" t="s">
        <v>588</v>
      </c>
      <c r="BL4" s="11" t="s">
        <v>588</v>
      </c>
      <c r="BM4" s="11" t="s">
        <v>588</v>
      </c>
      <c r="BN4" s="11" t="s">
        <v>588</v>
      </c>
      <c r="BO4" s="11" t="s">
        <v>588</v>
      </c>
      <c r="BP4" s="11" t="s">
        <v>588</v>
      </c>
      <c r="BQ4" s="11" t="s">
        <v>588</v>
      </c>
      <c r="BR4" s="11" t="s">
        <v>588</v>
      </c>
      <c r="BS4" s="11" t="s">
        <v>41</v>
      </c>
      <c r="BT4" s="11" t="s">
        <v>42</v>
      </c>
      <c r="BU4" s="11" t="s">
        <v>42</v>
      </c>
      <c r="BV4" s="11" t="s">
        <v>588</v>
      </c>
      <c r="BW4" s="11" t="s">
        <v>588</v>
      </c>
      <c r="BX4" s="11" t="s">
        <v>588</v>
      </c>
      <c r="BY4" s="11" t="s">
        <v>588</v>
      </c>
      <c r="BZ4" s="11" t="s">
        <v>588</v>
      </c>
    </row>
    <row r="5" spans="1:78" x14ac:dyDescent="0.25">
      <c r="A5" s="11">
        <v>201516</v>
      </c>
      <c r="B5" s="11" t="s">
        <v>578</v>
      </c>
      <c r="C5" t="s">
        <v>242</v>
      </c>
      <c r="D5" s="11" t="s">
        <v>1991</v>
      </c>
      <c r="E5" s="11" t="s">
        <v>244</v>
      </c>
      <c r="F5" s="11">
        <v>2</v>
      </c>
      <c r="G5" s="11" t="str">
        <f t="shared" si="0"/>
        <v>201516_Baxters Beach A19_2</v>
      </c>
      <c r="H5" s="11" t="s">
        <v>1970</v>
      </c>
      <c r="I5" s="13">
        <v>42321</v>
      </c>
      <c r="J5" s="11">
        <f t="shared" si="1"/>
        <v>13</v>
      </c>
      <c r="K5" s="11">
        <f t="shared" si="2"/>
        <v>11</v>
      </c>
      <c r="L5" s="11">
        <f t="shared" si="3"/>
        <v>2015</v>
      </c>
      <c r="M5" s="11" t="str">
        <f t="shared" si="4"/>
        <v>13112015</v>
      </c>
      <c r="N5" s="11" t="s">
        <v>17</v>
      </c>
      <c r="O5" s="11" t="s">
        <v>10</v>
      </c>
      <c r="P5" s="11">
        <v>-38.611829999999998</v>
      </c>
      <c r="Q5" s="11">
        <v>145.53863000000001</v>
      </c>
      <c r="R5" s="11" t="s">
        <v>588</v>
      </c>
      <c r="S5" s="11" t="s">
        <v>588</v>
      </c>
      <c r="T5" s="11">
        <v>1</v>
      </c>
      <c r="U5" s="11">
        <v>3</v>
      </c>
      <c r="V5" s="11" t="s">
        <v>588</v>
      </c>
      <c r="W5" s="11" t="s">
        <v>588</v>
      </c>
      <c r="X5" s="11">
        <v>3</v>
      </c>
      <c r="Y5" s="11">
        <v>3</v>
      </c>
      <c r="Z5" s="11" t="s">
        <v>41</v>
      </c>
      <c r="AA5" s="13">
        <v>42323</v>
      </c>
      <c r="AB5" s="11">
        <f t="shared" si="5"/>
        <v>15</v>
      </c>
      <c r="AC5" s="11">
        <f t="shared" si="6"/>
        <v>11</v>
      </c>
      <c r="AD5" s="11">
        <f t="shared" si="7"/>
        <v>2015</v>
      </c>
      <c r="AE5" s="13" t="str">
        <f t="shared" si="8"/>
        <v>15112015</v>
      </c>
      <c r="AF5" s="11" t="s">
        <v>17</v>
      </c>
      <c r="AG5" s="13">
        <v>42332</v>
      </c>
      <c r="AH5" s="11">
        <v>24</v>
      </c>
      <c r="AI5" s="11">
        <v>11</v>
      </c>
      <c r="AJ5" s="11">
        <v>2015</v>
      </c>
      <c r="AK5" s="13" t="s">
        <v>2011</v>
      </c>
      <c r="AL5" s="11" t="s">
        <v>17</v>
      </c>
      <c r="AM5" s="11" t="s">
        <v>11</v>
      </c>
      <c r="AN5" s="11" t="s">
        <v>8</v>
      </c>
      <c r="AO5" s="11" t="s">
        <v>41</v>
      </c>
      <c r="AP5" s="11" t="s">
        <v>588</v>
      </c>
      <c r="AQ5" s="11" t="s">
        <v>588</v>
      </c>
      <c r="AR5" s="11" t="s">
        <v>588</v>
      </c>
      <c r="AS5" s="11" t="s">
        <v>588</v>
      </c>
      <c r="AT5" s="11" t="s">
        <v>588</v>
      </c>
      <c r="AU5" s="11" t="s">
        <v>588</v>
      </c>
      <c r="AV5" s="11" t="s">
        <v>588</v>
      </c>
      <c r="AW5" s="11" t="s">
        <v>588</v>
      </c>
      <c r="AX5" s="11" t="s">
        <v>588</v>
      </c>
      <c r="AY5" s="11" t="s">
        <v>588</v>
      </c>
      <c r="AZ5" s="11" t="s">
        <v>588</v>
      </c>
      <c r="BA5" s="11" t="s">
        <v>588</v>
      </c>
      <c r="BB5" s="11" t="s">
        <v>588</v>
      </c>
      <c r="BC5" s="11" t="s">
        <v>588</v>
      </c>
      <c r="BD5" s="11" t="s">
        <v>588</v>
      </c>
      <c r="BE5" s="11" t="s">
        <v>588</v>
      </c>
      <c r="BF5" s="11" t="s">
        <v>588</v>
      </c>
      <c r="BG5" s="11" t="s">
        <v>588</v>
      </c>
      <c r="BH5" s="11" t="s">
        <v>588</v>
      </c>
      <c r="BI5" s="11" t="s">
        <v>588</v>
      </c>
      <c r="BJ5" s="11" t="s">
        <v>588</v>
      </c>
      <c r="BK5" s="11" t="s">
        <v>588</v>
      </c>
      <c r="BL5" s="11" t="s">
        <v>588</v>
      </c>
      <c r="BM5" s="11" t="s">
        <v>588</v>
      </c>
      <c r="BN5" s="11" t="s">
        <v>588</v>
      </c>
      <c r="BO5" s="11" t="s">
        <v>588</v>
      </c>
      <c r="BP5" s="11" t="s">
        <v>588</v>
      </c>
      <c r="BQ5" s="11" t="s">
        <v>588</v>
      </c>
      <c r="BR5" s="11" t="s">
        <v>588</v>
      </c>
      <c r="BS5" s="11" t="s">
        <v>8</v>
      </c>
      <c r="BT5" s="11" t="s">
        <v>120</v>
      </c>
      <c r="BU5" s="11" t="s">
        <v>120</v>
      </c>
      <c r="BV5" s="11" t="s">
        <v>588</v>
      </c>
      <c r="BW5" s="11" t="s">
        <v>588</v>
      </c>
      <c r="BX5" s="11" t="s">
        <v>588</v>
      </c>
      <c r="BY5" s="11" t="s">
        <v>588</v>
      </c>
      <c r="BZ5" s="11" t="s">
        <v>588</v>
      </c>
    </row>
    <row r="6" spans="1:78" x14ac:dyDescent="0.25">
      <c r="A6" s="11">
        <v>201516</v>
      </c>
      <c r="B6" s="11" t="s">
        <v>578</v>
      </c>
      <c r="C6" t="s">
        <v>242</v>
      </c>
      <c r="D6" s="11" t="s">
        <v>1991</v>
      </c>
      <c r="E6" s="11" t="s">
        <v>244</v>
      </c>
      <c r="F6" s="11">
        <v>3</v>
      </c>
      <c r="G6" s="11" t="str">
        <f t="shared" si="0"/>
        <v>201516_Baxters Beach A19_3</v>
      </c>
      <c r="H6" s="11" t="s">
        <v>1971</v>
      </c>
      <c r="I6" s="13">
        <v>42366</v>
      </c>
      <c r="J6" s="11">
        <f t="shared" si="1"/>
        <v>28</v>
      </c>
      <c r="K6" s="11">
        <f t="shared" si="2"/>
        <v>12</v>
      </c>
      <c r="L6" s="11">
        <f t="shared" si="3"/>
        <v>2015</v>
      </c>
      <c r="M6" s="11" t="str">
        <f t="shared" si="4"/>
        <v>28122015</v>
      </c>
      <c r="N6" s="11" t="s">
        <v>7</v>
      </c>
      <c r="O6" s="11" t="s">
        <v>10</v>
      </c>
      <c r="P6" s="11">
        <v>-38.611350999999999</v>
      </c>
      <c r="Q6" s="11">
        <v>145.53840600000001</v>
      </c>
      <c r="R6" s="11" t="s">
        <v>588</v>
      </c>
      <c r="S6" s="11" t="s">
        <v>588</v>
      </c>
      <c r="T6" s="11">
        <v>2</v>
      </c>
      <c r="U6" s="11">
        <v>3</v>
      </c>
      <c r="V6" s="11" t="s">
        <v>588</v>
      </c>
      <c r="W6" s="11" t="s">
        <v>588</v>
      </c>
      <c r="X6" s="11">
        <v>2</v>
      </c>
      <c r="Y6" s="11">
        <v>2</v>
      </c>
      <c r="Z6" s="11" t="s">
        <v>41</v>
      </c>
      <c r="AA6" s="13">
        <v>42366</v>
      </c>
      <c r="AB6" s="11">
        <f t="shared" si="5"/>
        <v>28</v>
      </c>
      <c r="AC6" s="11">
        <f t="shared" si="6"/>
        <v>12</v>
      </c>
      <c r="AD6" s="11">
        <f t="shared" si="7"/>
        <v>2015</v>
      </c>
      <c r="AE6" s="13" t="str">
        <f t="shared" si="8"/>
        <v>28122015</v>
      </c>
      <c r="AF6" s="11" t="s">
        <v>7</v>
      </c>
      <c r="AG6" s="13">
        <v>42373</v>
      </c>
      <c r="AH6" s="11">
        <v>4</v>
      </c>
      <c r="AI6" s="11">
        <v>1</v>
      </c>
      <c r="AJ6" s="11">
        <v>2016</v>
      </c>
      <c r="AK6" s="13" t="s">
        <v>2012</v>
      </c>
      <c r="AL6" s="11" t="s">
        <v>12</v>
      </c>
      <c r="AM6" s="11" t="s">
        <v>20</v>
      </c>
      <c r="AN6" s="11" t="s">
        <v>41</v>
      </c>
      <c r="AO6" s="11" t="s">
        <v>41</v>
      </c>
      <c r="AP6" s="11" t="s">
        <v>588</v>
      </c>
      <c r="AQ6" s="11" t="s">
        <v>588</v>
      </c>
      <c r="AR6" s="11" t="s">
        <v>588</v>
      </c>
      <c r="AS6" s="11" t="s">
        <v>588</v>
      </c>
      <c r="AT6" s="11" t="s">
        <v>588</v>
      </c>
      <c r="AU6" s="11" t="s">
        <v>588</v>
      </c>
      <c r="AV6" s="11" t="s">
        <v>588</v>
      </c>
      <c r="AW6" s="11" t="s">
        <v>588</v>
      </c>
      <c r="AX6" s="11" t="s">
        <v>588</v>
      </c>
      <c r="AY6" s="11" t="s">
        <v>588</v>
      </c>
      <c r="AZ6" s="11" t="s">
        <v>588</v>
      </c>
      <c r="BA6" s="11" t="s">
        <v>588</v>
      </c>
      <c r="BB6" s="11" t="s">
        <v>588</v>
      </c>
      <c r="BC6" s="11" t="s">
        <v>588</v>
      </c>
      <c r="BD6" s="11" t="s">
        <v>588</v>
      </c>
      <c r="BE6" s="11" t="s">
        <v>588</v>
      </c>
      <c r="BF6" s="11" t="s">
        <v>588</v>
      </c>
      <c r="BG6" s="11" t="s">
        <v>588</v>
      </c>
      <c r="BH6" s="11" t="s">
        <v>588</v>
      </c>
      <c r="BI6" s="11" t="s">
        <v>588</v>
      </c>
      <c r="BJ6" s="11" t="s">
        <v>588</v>
      </c>
      <c r="BK6" s="11" t="s">
        <v>588</v>
      </c>
      <c r="BL6" s="11" t="s">
        <v>588</v>
      </c>
      <c r="BM6" s="11" t="s">
        <v>588</v>
      </c>
      <c r="BN6" s="11" t="s">
        <v>588</v>
      </c>
      <c r="BO6" s="11" t="s">
        <v>588</v>
      </c>
      <c r="BP6" s="11" t="s">
        <v>588</v>
      </c>
      <c r="BQ6" s="11" t="s">
        <v>588</v>
      </c>
      <c r="BR6" s="11" t="s">
        <v>588</v>
      </c>
      <c r="BS6" s="11" t="s">
        <v>8</v>
      </c>
      <c r="BT6" s="11" t="s">
        <v>120</v>
      </c>
      <c r="BU6" s="11" t="s">
        <v>120</v>
      </c>
      <c r="BV6" s="11" t="s">
        <v>588</v>
      </c>
      <c r="BW6" s="11" t="s">
        <v>588</v>
      </c>
      <c r="BX6" s="11" t="s">
        <v>588</v>
      </c>
      <c r="BY6" s="11" t="s">
        <v>588</v>
      </c>
      <c r="BZ6" s="11" t="s">
        <v>588</v>
      </c>
    </row>
    <row r="7" spans="1:78" x14ac:dyDescent="0.25">
      <c r="A7" s="11">
        <v>201516</v>
      </c>
      <c r="B7" s="11" t="s">
        <v>578</v>
      </c>
      <c r="C7" t="s">
        <v>242</v>
      </c>
      <c r="D7" s="11" t="s">
        <v>1991</v>
      </c>
      <c r="E7" s="11" t="s">
        <v>244</v>
      </c>
      <c r="F7" s="11">
        <v>4</v>
      </c>
      <c r="G7" s="11" t="str">
        <f t="shared" si="0"/>
        <v>201516_Baxters Beach A19_4</v>
      </c>
      <c r="H7" s="11" t="s">
        <v>1972</v>
      </c>
      <c r="I7" s="13">
        <v>42390</v>
      </c>
      <c r="J7" s="11">
        <f t="shared" si="1"/>
        <v>21</v>
      </c>
      <c r="K7" s="11">
        <f t="shared" si="2"/>
        <v>1</v>
      </c>
      <c r="L7" s="11">
        <f t="shared" si="3"/>
        <v>2016</v>
      </c>
      <c r="M7" s="11" t="str">
        <f t="shared" si="4"/>
        <v>21012016</v>
      </c>
      <c r="N7" s="11" t="s">
        <v>12</v>
      </c>
      <c r="O7" s="11" t="s">
        <v>10</v>
      </c>
      <c r="P7" s="11">
        <v>-38.611550000000001</v>
      </c>
      <c r="Q7" s="11">
        <v>145.53845000000001</v>
      </c>
      <c r="R7" s="11" t="s">
        <v>588</v>
      </c>
      <c r="S7" s="11" t="s">
        <v>588</v>
      </c>
      <c r="T7" s="11">
        <v>1</v>
      </c>
      <c r="U7" s="11">
        <v>3</v>
      </c>
      <c r="V7" s="11" t="s">
        <v>588</v>
      </c>
      <c r="W7" s="11" t="s">
        <v>588</v>
      </c>
      <c r="X7" s="11">
        <v>2</v>
      </c>
      <c r="Y7" s="11">
        <v>2</v>
      </c>
      <c r="Z7" s="11" t="s">
        <v>8</v>
      </c>
      <c r="AA7" s="13">
        <v>42404</v>
      </c>
      <c r="AB7" s="11">
        <f t="shared" si="5"/>
        <v>4</v>
      </c>
      <c r="AC7" s="11">
        <f t="shared" si="6"/>
        <v>2</v>
      </c>
      <c r="AD7" s="11">
        <f t="shared" si="7"/>
        <v>2016</v>
      </c>
      <c r="AE7" s="13" t="str">
        <f t="shared" si="8"/>
        <v>04022016</v>
      </c>
      <c r="AF7" s="11" t="s">
        <v>21</v>
      </c>
      <c r="AG7" s="11" t="s">
        <v>588</v>
      </c>
      <c r="AH7" s="11" t="s">
        <v>588</v>
      </c>
      <c r="AI7" s="11" t="s">
        <v>588</v>
      </c>
      <c r="AJ7" s="11" t="s">
        <v>588</v>
      </c>
      <c r="AK7" s="13" t="s">
        <v>588</v>
      </c>
      <c r="AL7" s="11" t="s">
        <v>588</v>
      </c>
      <c r="AM7" s="11" t="s">
        <v>588</v>
      </c>
      <c r="AN7" s="11" t="s">
        <v>588</v>
      </c>
      <c r="AO7" s="11" t="s">
        <v>588</v>
      </c>
      <c r="AP7" s="13">
        <v>42428</v>
      </c>
      <c r="AQ7" s="11" t="s">
        <v>21</v>
      </c>
      <c r="AR7" s="11" t="s">
        <v>199</v>
      </c>
      <c r="AS7" s="11">
        <v>1</v>
      </c>
      <c r="AT7" s="11">
        <v>1</v>
      </c>
      <c r="AU7" s="11" t="s">
        <v>588</v>
      </c>
      <c r="AV7" s="11" t="s">
        <v>588</v>
      </c>
      <c r="AW7" s="11" t="s">
        <v>588</v>
      </c>
      <c r="AX7" s="11" t="s">
        <v>588</v>
      </c>
      <c r="AY7" s="11" t="s">
        <v>588</v>
      </c>
      <c r="AZ7" s="11" t="s">
        <v>588</v>
      </c>
      <c r="BA7" s="11" t="s">
        <v>588</v>
      </c>
      <c r="BB7" s="11" t="s">
        <v>588</v>
      </c>
      <c r="BC7" s="11" t="s">
        <v>588</v>
      </c>
      <c r="BD7" s="11" t="s">
        <v>588</v>
      </c>
      <c r="BE7" s="11" t="s">
        <v>588</v>
      </c>
      <c r="BF7" s="11" t="s">
        <v>588</v>
      </c>
      <c r="BG7" s="11" t="s">
        <v>588</v>
      </c>
      <c r="BH7" s="11" t="s">
        <v>588</v>
      </c>
      <c r="BI7" s="11" t="s">
        <v>588</v>
      </c>
      <c r="BJ7" s="11" t="s">
        <v>588</v>
      </c>
      <c r="BK7" s="11" t="s">
        <v>588</v>
      </c>
      <c r="BL7" s="11" t="s">
        <v>588</v>
      </c>
      <c r="BM7" s="11">
        <v>2</v>
      </c>
      <c r="BN7" s="11">
        <v>2</v>
      </c>
      <c r="BO7" s="11" t="s">
        <v>8</v>
      </c>
      <c r="BP7" s="11">
        <v>1</v>
      </c>
      <c r="BQ7" s="13">
        <v>42452</v>
      </c>
      <c r="BR7" s="11" t="s">
        <v>22</v>
      </c>
      <c r="BS7" s="11" t="s">
        <v>8</v>
      </c>
      <c r="BT7" s="11" t="s">
        <v>120</v>
      </c>
      <c r="BU7" s="11" t="s">
        <v>120</v>
      </c>
      <c r="BV7" s="11" t="s">
        <v>41</v>
      </c>
      <c r="BW7" s="11" t="s">
        <v>42</v>
      </c>
      <c r="BX7" s="11" t="s">
        <v>42</v>
      </c>
      <c r="BY7" s="11" t="s">
        <v>588</v>
      </c>
      <c r="BZ7" s="11" t="s">
        <v>588</v>
      </c>
    </row>
    <row r="8" spans="1:78" x14ac:dyDescent="0.25">
      <c r="A8" s="11">
        <v>201516</v>
      </c>
      <c r="B8" s="11" t="s">
        <v>133</v>
      </c>
      <c r="C8" t="s">
        <v>46</v>
      </c>
      <c r="D8" s="11" t="s">
        <v>5</v>
      </c>
      <c r="E8" s="11" t="s">
        <v>568</v>
      </c>
      <c r="F8" s="11">
        <v>1</v>
      </c>
      <c r="G8" s="11" t="str">
        <f t="shared" si="0"/>
        <v>201516_Coal Creek Estuary 2nd Bay East_1</v>
      </c>
      <c r="H8" s="11" t="s">
        <v>2088</v>
      </c>
      <c r="I8" s="13">
        <v>42372</v>
      </c>
      <c r="J8" s="11">
        <f t="shared" si="1"/>
        <v>3</v>
      </c>
      <c r="K8" s="11">
        <f t="shared" si="2"/>
        <v>1</v>
      </c>
      <c r="L8" s="11">
        <f t="shared" si="3"/>
        <v>2016</v>
      </c>
      <c r="M8" s="11" t="str">
        <f t="shared" si="4"/>
        <v>03012016</v>
      </c>
      <c r="N8" s="11" t="s">
        <v>12</v>
      </c>
      <c r="O8" s="11" t="s">
        <v>10</v>
      </c>
      <c r="P8" s="11">
        <v>-38.39</v>
      </c>
      <c r="Q8" s="11">
        <v>145.34903</v>
      </c>
      <c r="R8" s="11" t="s">
        <v>588</v>
      </c>
      <c r="S8" s="11" t="s">
        <v>588</v>
      </c>
      <c r="T8" s="11">
        <v>2</v>
      </c>
      <c r="U8" s="11">
        <v>2</v>
      </c>
      <c r="V8" s="11" t="s">
        <v>588</v>
      </c>
      <c r="W8" s="11" t="s">
        <v>588</v>
      </c>
      <c r="X8" s="11">
        <v>4</v>
      </c>
      <c r="Y8" s="11">
        <v>4</v>
      </c>
      <c r="Z8" s="11" t="s">
        <v>41</v>
      </c>
      <c r="AA8" s="13">
        <v>42376</v>
      </c>
      <c r="AB8" s="11">
        <f t="shared" si="5"/>
        <v>7</v>
      </c>
      <c r="AC8" s="11">
        <f t="shared" si="6"/>
        <v>1</v>
      </c>
      <c r="AD8" s="11">
        <f t="shared" si="7"/>
        <v>2016</v>
      </c>
      <c r="AE8" s="13" t="str">
        <f t="shared" si="8"/>
        <v>07012016</v>
      </c>
      <c r="AF8" s="11" t="s">
        <v>12</v>
      </c>
      <c r="AG8" s="13">
        <v>42379</v>
      </c>
      <c r="AH8" s="11">
        <v>10</v>
      </c>
      <c r="AI8" s="11">
        <v>1</v>
      </c>
      <c r="AJ8" s="11">
        <v>2016</v>
      </c>
      <c r="AK8" s="13" t="s">
        <v>2013</v>
      </c>
      <c r="AL8" s="11" t="s">
        <v>12</v>
      </c>
      <c r="AM8" s="13" t="s">
        <v>41</v>
      </c>
      <c r="AN8" s="11" t="s">
        <v>8</v>
      </c>
      <c r="AO8" s="11" t="s">
        <v>48</v>
      </c>
      <c r="AP8" s="11" t="s">
        <v>588</v>
      </c>
      <c r="AQ8" s="11" t="s">
        <v>588</v>
      </c>
      <c r="AR8" s="11" t="s">
        <v>588</v>
      </c>
      <c r="AS8" s="11" t="s">
        <v>588</v>
      </c>
      <c r="AT8" s="11" t="s">
        <v>588</v>
      </c>
      <c r="AU8" s="11" t="s">
        <v>588</v>
      </c>
      <c r="AV8" s="11" t="s">
        <v>588</v>
      </c>
      <c r="AW8" s="11" t="s">
        <v>588</v>
      </c>
      <c r="AX8" s="11" t="s">
        <v>588</v>
      </c>
      <c r="AY8" s="11" t="s">
        <v>588</v>
      </c>
      <c r="AZ8" s="11" t="s">
        <v>588</v>
      </c>
      <c r="BA8" s="11" t="s">
        <v>588</v>
      </c>
      <c r="BB8" s="11" t="s">
        <v>588</v>
      </c>
      <c r="BC8" s="11" t="s">
        <v>588</v>
      </c>
      <c r="BD8" s="11" t="s">
        <v>588</v>
      </c>
      <c r="BE8" s="11" t="s">
        <v>588</v>
      </c>
      <c r="BF8" s="11" t="s">
        <v>588</v>
      </c>
      <c r="BG8" s="11" t="s">
        <v>588</v>
      </c>
      <c r="BH8" s="11" t="s">
        <v>588</v>
      </c>
      <c r="BI8" s="11" t="s">
        <v>588</v>
      </c>
      <c r="BJ8" s="11" t="s">
        <v>588</v>
      </c>
      <c r="BK8" s="11" t="s">
        <v>588</v>
      </c>
      <c r="BL8" s="11" t="s">
        <v>588</v>
      </c>
      <c r="BM8" s="11" t="s">
        <v>588</v>
      </c>
      <c r="BN8" s="11" t="s">
        <v>588</v>
      </c>
      <c r="BO8" s="11" t="s">
        <v>588</v>
      </c>
      <c r="BP8" s="11" t="s">
        <v>588</v>
      </c>
      <c r="BQ8" s="11" t="s">
        <v>588</v>
      </c>
      <c r="BR8" s="11" t="s">
        <v>588</v>
      </c>
      <c r="BS8" s="11" t="s">
        <v>41</v>
      </c>
      <c r="BT8" s="11" t="s">
        <v>42</v>
      </c>
      <c r="BU8" s="11" t="s">
        <v>42</v>
      </c>
      <c r="BV8" s="11" t="s">
        <v>588</v>
      </c>
      <c r="BW8" s="11" t="s">
        <v>588</v>
      </c>
      <c r="BX8" s="11" t="s">
        <v>588</v>
      </c>
      <c r="BY8" s="11" t="s">
        <v>588</v>
      </c>
      <c r="BZ8" s="11" t="s">
        <v>588</v>
      </c>
    </row>
    <row r="9" spans="1:78" x14ac:dyDescent="0.25">
      <c r="A9" s="11">
        <v>201516</v>
      </c>
      <c r="B9" s="11" t="s">
        <v>122</v>
      </c>
      <c r="C9" t="s">
        <v>14</v>
      </c>
      <c r="D9" s="11" t="s">
        <v>15</v>
      </c>
      <c r="E9" s="11" t="s">
        <v>16</v>
      </c>
      <c r="F9" s="11">
        <v>1</v>
      </c>
      <c r="G9" s="11" t="str">
        <f t="shared" si="0"/>
        <v>201516_Coal Creek Estuary Mouth_1</v>
      </c>
      <c r="H9" s="11" t="s">
        <v>1938</v>
      </c>
      <c r="I9" s="13">
        <v>42296</v>
      </c>
      <c r="J9" s="11">
        <f t="shared" si="1"/>
        <v>19</v>
      </c>
      <c r="K9" s="11">
        <f t="shared" si="2"/>
        <v>10</v>
      </c>
      <c r="L9" s="11">
        <f t="shared" si="3"/>
        <v>2015</v>
      </c>
      <c r="M9" s="11" t="str">
        <f t="shared" si="4"/>
        <v>19102015</v>
      </c>
      <c r="N9" s="11" t="s">
        <v>29</v>
      </c>
      <c r="O9" s="11" t="s">
        <v>19</v>
      </c>
      <c r="P9" s="11">
        <v>-38.659520000000001</v>
      </c>
      <c r="Q9" s="11">
        <v>145.58073999999999</v>
      </c>
      <c r="R9" s="11" t="s">
        <v>588</v>
      </c>
      <c r="S9" s="11" t="s">
        <v>588</v>
      </c>
      <c r="T9" s="11">
        <v>3</v>
      </c>
      <c r="U9" s="11">
        <v>3</v>
      </c>
      <c r="V9" s="13">
        <v>42302</v>
      </c>
      <c r="W9" s="11" t="s">
        <v>223</v>
      </c>
      <c r="X9" s="11">
        <v>6</v>
      </c>
      <c r="Y9" s="11">
        <v>5</v>
      </c>
      <c r="Z9" s="11" t="s">
        <v>41</v>
      </c>
      <c r="AA9" s="13">
        <v>42316</v>
      </c>
      <c r="AB9" s="11">
        <f t="shared" si="5"/>
        <v>8</v>
      </c>
      <c r="AC9" s="11">
        <f t="shared" si="6"/>
        <v>11</v>
      </c>
      <c r="AD9" s="11">
        <f t="shared" si="7"/>
        <v>2015</v>
      </c>
      <c r="AE9" s="13" t="str">
        <f t="shared" si="8"/>
        <v>08112015</v>
      </c>
      <c r="AF9" s="11" t="s">
        <v>17</v>
      </c>
      <c r="AG9" s="13">
        <v>42324</v>
      </c>
      <c r="AH9" s="11">
        <v>16</v>
      </c>
      <c r="AI9" s="11">
        <v>11</v>
      </c>
      <c r="AJ9" s="11">
        <v>2015</v>
      </c>
      <c r="AK9" s="13" t="s">
        <v>2014</v>
      </c>
      <c r="AL9" s="11" t="s">
        <v>17</v>
      </c>
      <c r="AM9" s="13" t="s">
        <v>41</v>
      </c>
      <c r="AN9" s="11" t="s">
        <v>8</v>
      </c>
      <c r="AO9" s="11" t="s">
        <v>32</v>
      </c>
      <c r="AP9" s="11" t="s">
        <v>588</v>
      </c>
      <c r="AQ9" s="11" t="s">
        <v>588</v>
      </c>
      <c r="AR9" s="11" t="s">
        <v>588</v>
      </c>
      <c r="AS9" s="11" t="s">
        <v>588</v>
      </c>
      <c r="AT9" s="11" t="s">
        <v>588</v>
      </c>
      <c r="AU9" s="11" t="s">
        <v>588</v>
      </c>
      <c r="AV9" s="11" t="s">
        <v>588</v>
      </c>
      <c r="AW9" s="11" t="s">
        <v>588</v>
      </c>
      <c r="AX9" s="11" t="s">
        <v>588</v>
      </c>
      <c r="AY9" s="11" t="s">
        <v>588</v>
      </c>
      <c r="AZ9" s="11" t="s">
        <v>588</v>
      </c>
      <c r="BA9" s="11" t="s">
        <v>588</v>
      </c>
      <c r="BB9" s="11" t="s">
        <v>588</v>
      </c>
      <c r="BC9" s="11" t="s">
        <v>588</v>
      </c>
      <c r="BD9" s="11" t="s">
        <v>588</v>
      </c>
      <c r="BE9" s="11" t="s">
        <v>588</v>
      </c>
      <c r="BF9" s="11" t="s">
        <v>588</v>
      </c>
      <c r="BG9" s="11" t="s">
        <v>588</v>
      </c>
      <c r="BH9" s="11" t="s">
        <v>588</v>
      </c>
      <c r="BI9" s="11" t="s">
        <v>588</v>
      </c>
      <c r="BJ9" s="11" t="s">
        <v>588</v>
      </c>
      <c r="BK9" s="11" t="s">
        <v>588</v>
      </c>
      <c r="BL9" s="11" t="s">
        <v>588</v>
      </c>
      <c r="BM9" s="11" t="s">
        <v>588</v>
      </c>
      <c r="BN9" s="11" t="s">
        <v>588</v>
      </c>
      <c r="BO9" s="11" t="s">
        <v>588</v>
      </c>
      <c r="BP9" s="11" t="s">
        <v>588</v>
      </c>
      <c r="BQ9" s="11" t="s">
        <v>588</v>
      </c>
      <c r="BR9" s="11" t="s">
        <v>588</v>
      </c>
      <c r="BS9" s="11" t="s">
        <v>8</v>
      </c>
      <c r="BT9" s="11" t="s">
        <v>120</v>
      </c>
      <c r="BU9" s="11" t="s">
        <v>120</v>
      </c>
      <c r="BV9" s="11" t="s">
        <v>588</v>
      </c>
      <c r="BW9" s="11" t="s">
        <v>588</v>
      </c>
      <c r="BX9" s="11" t="s">
        <v>588</v>
      </c>
      <c r="BY9" s="11" t="s">
        <v>588</v>
      </c>
      <c r="BZ9" s="11" t="s">
        <v>588</v>
      </c>
    </row>
    <row r="10" spans="1:78" x14ac:dyDescent="0.25">
      <c r="A10" s="11">
        <v>201516</v>
      </c>
      <c r="B10" s="11" t="s">
        <v>122</v>
      </c>
      <c r="C10" t="s">
        <v>14</v>
      </c>
      <c r="D10" s="11" t="s">
        <v>15</v>
      </c>
      <c r="E10" s="11" t="s">
        <v>16</v>
      </c>
      <c r="F10" s="11">
        <v>2</v>
      </c>
      <c r="G10" s="11" t="str">
        <f t="shared" si="0"/>
        <v>201516_Coal Creek Estuary Mouth_2</v>
      </c>
      <c r="H10" s="11" t="s">
        <v>1939</v>
      </c>
      <c r="I10" s="13">
        <v>42387</v>
      </c>
      <c r="J10" s="11">
        <f t="shared" si="1"/>
        <v>18</v>
      </c>
      <c r="K10" s="11">
        <f t="shared" si="2"/>
        <v>1</v>
      </c>
      <c r="L10" s="11">
        <f t="shared" si="3"/>
        <v>2016</v>
      </c>
      <c r="M10" s="11" t="str">
        <f t="shared" si="4"/>
        <v>18012016</v>
      </c>
      <c r="N10" s="11" t="s">
        <v>12</v>
      </c>
      <c r="O10" s="11" t="s">
        <v>19</v>
      </c>
      <c r="P10" s="11">
        <v>-38.65954</v>
      </c>
      <c r="Q10" s="11">
        <v>145.58079000000001</v>
      </c>
      <c r="R10" s="11" t="s">
        <v>588</v>
      </c>
      <c r="S10" s="11" t="s">
        <v>588</v>
      </c>
      <c r="T10" s="11">
        <v>2</v>
      </c>
      <c r="U10" s="11">
        <v>3</v>
      </c>
      <c r="V10" s="11" t="s">
        <v>588</v>
      </c>
      <c r="W10" s="11" t="s">
        <v>588</v>
      </c>
      <c r="X10" s="11">
        <v>3</v>
      </c>
      <c r="Y10" s="11">
        <v>3</v>
      </c>
      <c r="Z10" s="11" t="s">
        <v>41</v>
      </c>
      <c r="AA10" s="13">
        <v>42399</v>
      </c>
      <c r="AB10" s="11">
        <f t="shared" si="5"/>
        <v>30</v>
      </c>
      <c r="AC10" s="11">
        <f t="shared" si="6"/>
        <v>1</v>
      </c>
      <c r="AD10" s="11">
        <f t="shared" si="7"/>
        <v>2016</v>
      </c>
      <c r="AE10" s="13" t="str">
        <f t="shared" si="8"/>
        <v>30012016</v>
      </c>
      <c r="AF10" s="11" t="s">
        <v>12</v>
      </c>
      <c r="AG10" s="13">
        <v>42412</v>
      </c>
      <c r="AH10" s="11">
        <v>12</v>
      </c>
      <c r="AI10" s="11">
        <v>2</v>
      </c>
      <c r="AJ10" s="11">
        <v>2016</v>
      </c>
      <c r="AK10" s="13" t="s">
        <v>2015</v>
      </c>
      <c r="AL10" s="11" t="s">
        <v>21</v>
      </c>
      <c r="AM10" s="13" t="s">
        <v>41</v>
      </c>
      <c r="AN10" s="11" t="s">
        <v>8</v>
      </c>
      <c r="AO10" s="11" t="s">
        <v>32</v>
      </c>
      <c r="AP10" s="11" t="s">
        <v>588</v>
      </c>
      <c r="AQ10" s="11" t="s">
        <v>588</v>
      </c>
      <c r="AR10" s="11" t="s">
        <v>588</v>
      </c>
      <c r="AS10" s="11" t="s">
        <v>588</v>
      </c>
      <c r="AT10" s="11" t="s">
        <v>588</v>
      </c>
      <c r="AU10" s="11" t="s">
        <v>588</v>
      </c>
      <c r="AV10" s="11" t="s">
        <v>588</v>
      </c>
      <c r="AW10" s="11" t="s">
        <v>588</v>
      </c>
      <c r="AX10" s="11" t="s">
        <v>588</v>
      </c>
      <c r="AY10" s="11" t="s">
        <v>588</v>
      </c>
      <c r="AZ10" s="11" t="s">
        <v>588</v>
      </c>
      <c r="BA10" s="11" t="s">
        <v>588</v>
      </c>
      <c r="BB10" s="11" t="s">
        <v>588</v>
      </c>
      <c r="BC10" s="11" t="s">
        <v>588</v>
      </c>
      <c r="BD10" s="11" t="s">
        <v>588</v>
      </c>
      <c r="BE10" s="11" t="s">
        <v>588</v>
      </c>
      <c r="BF10" s="11" t="s">
        <v>588</v>
      </c>
      <c r="BG10" s="11" t="s">
        <v>588</v>
      </c>
      <c r="BH10" s="11" t="s">
        <v>588</v>
      </c>
      <c r="BI10" s="11" t="s">
        <v>588</v>
      </c>
      <c r="BJ10" s="11" t="s">
        <v>588</v>
      </c>
      <c r="BK10" s="11" t="s">
        <v>588</v>
      </c>
      <c r="BL10" s="11" t="s">
        <v>588</v>
      </c>
      <c r="BM10" s="11" t="s">
        <v>588</v>
      </c>
      <c r="BN10" s="11" t="s">
        <v>588</v>
      </c>
      <c r="BO10" s="11" t="s">
        <v>588</v>
      </c>
      <c r="BP10" s="11" t="s">
        <v>588</v>
      </c>
      <c r="BQ10" s="11" t="s">
        <v>588</v>
      </c>
      <c r="BR10" s="11" t="s">
        <v>588</v>
      </c>
      <c r="BS10" s="11" t="s">
        <v>8</v>
      </c>
      <c r="BT10" s="11" t="s">
        <v>120</v>
      </c>
      <c r="BU10" s="11" t="s">
        <v>120</v>
      </c>
      <c r="BV10" s="11" t="s">
        <v>588</v>
      </c>
      <c r="BW10" s="11" t="s">
        <v>588</v>
      </c>
      <c r="BX10" s="11" t="s">
        <v>588</v>
      </c>
      <c r="BY10" s="11" t="s">
        <v>588</v>
      </c>
      <c r="BZ10" s="11" t="s">
        <v>588</v>
      </c>
    </row>
    <row r="11" spans="1:78" x14ac:dyDescent="0.25">
      <c r="A11" s="11">
        <v>201516</v>
      </c>
      <c r="B11" s="10" t="s">
        <v>1439</v>
      </c>
      <c r="C11" s="11" t="s">
        <v>460</v>
      </c>
      <c r="D11" s="11" t="s">
        <v>1440</v>
      </c>
      <c r="E11" s="11" t="s">
        <v>1992</v>
      </c>
      <c r="F11" s="11">
        <v>1</v>
      </c>
      <c r="G11" s="11" t="str">
        <f t="shared" si="0"/>
        <v>201516_Coal Point 3rd Bay West Pair 1._1</v>
      </c>
      <c r="H11" s="11" t="s">
        <v>2089</v>
      </c>
      <c r="I11" s="13">
        <v>42326</v>
      </c>
      <c r="J11" s="11">
        <f t="shared" si="1"/>
        <v>18</v>
      </c>
      <c r="K11" s="11">
        <f t="shared" si="2"/>
        <v>11</v>
      </c>
      <c r="L11" s="11">
        <f t="shared" si="3"/>
        <v>2015</v>
      </c>
      <c r="M11" s="11" t="str">
        <f t="shared" si="4"/>
        <v>18112015</v>
      </c>
      <c r="N11" s="11" t="s">
        <v>17</v>
      </c>
      <c r="O11" s="11" t="s">
        <v>51</v>
      </c>
      <c r="P11" s="11" t="s">
        <v>588</v>
      </c>
      <c r="Q11" s="11" t="s">
        <v>588</v>
      </c>
      <c r="R11" s="11" t="s">
        <v>588</v>
      </c>
      <c r="S11" s="11" t="s">
        <v>588</v>
      </c>
      <c r="T11" s="11">
        <v>1</v>
      </c>
      <c r="U11" s="11">
        <v>3</v>
      </c>
      <c r="V11" s="11" t="s">
        <v>588</v>
      </c>
      <c r="W11" s="11" t="s">
        <v>588</v>
      </c>
      <c r="X11" s="11">
        <v>2</v>
      </c>
      <c r="Y11" s="11">
        <v>2</v>
      </c>
      <c r="Z11" s="11" t="s">
        <v>41</v>
      </c>
      <c r="AA11" s="13">
        <v>42326</v>
      </c>
      <c r="AB11" s="11">
        <f t="shared" si="5"/>
        <v>18</v>
      </c>
      <c r="AC11" s="11">
        <f t="shared" si="6"/>
        <v>11</v>
      </c>
      <c r="AD11" s="11">
        <f t="shared" si="7"/>
        <v>2015</v>
      </c>
      <c r="AE11" s="13" t="str">
        <f t="shared" si="8"/>
        <v>18112015</v>
      </c>
      <c r="AF11" s="11" t="s">
        <v>17</v>
      </c>
      <c r="AG11" s="13">
        <v>42354</v>
      </c>
      <c r="AH11" s="11">
        <v>16</v>
      </c>
      <c r="AI11" s="11">
        <v>12</v>
      </c>
      <c r="AJ11" s="11">
        <v>2015</v>
      </c>
      <c r="AK11" s="13" t="s">
        <v>2016</v>
      </c>
      <c r="AL11" s="11" t="s">
        <v>7</v>
      </c>
      <c r="AM11" s="13" t="s">
        <v>41</v>
      </c>
      <c r="AN11" s="11" t="s">
        <v>41</v>
      </c>
      <c r="AO11" s="13" t="s">
        <v>20</v>
      </c>
      <c r="AP11" s="13" t="s">
        <v>588</v>
      </c>
      <c r="AQ11" s="13" t="s">
        <v>588</v>
      </c>
      <c r="AR11" s="13" t="s">
        <v>588</v>
      </c>
      <c r="AS11" s="13" t="s">
        <v>588</v>
      </c>
      <c r="AT11" s="13" t="s">
        <v>588</v>
      </c>
      <c r="AU11" s="13" t="s">
        <v>588</v>
      </c>
      <c r="AV11" s="13" t="s">
        <v>588</v>
      </c>
      <c r="AW11" s="13" t="s">
        <v>588</v>
      </c>
      <c r="AX11" s="13" t="s">
        <v>588</v>
      </c>
      <c r="AY11" s="13" t="s">
        <v>588</v>
      </c>
      <c r="AZ11" s="13" t="s">
        <v>588</v>
      </c>
      <c r="BA11" s="13" t="s">
        <v>588</v>
      </c>
      <c r="BB11" s="13" t="s">
        <v>588</v>
      </c>
      <c r="BC11" s="13" t="s">
        <v>588</v>
      </c>
      <c r="BD11" s="13" t="s">
        <v>588</v>
      </c>
      <c r="BE11" s="13" t="s">
        <v>588</v>
      </c>
      <c r="BF11" s="13" t="s">
        <v>588</v>
      </c>
      <c r="BG11" s="13" t="s">
        <v>588</v>
      </c>
      <c r="BH11" s="13" t="s">
        <v>588</v>
      </c>
      <c r="BI11" s="13" t="s">
        <v>588</v>
      </c>
      <c r="BJ11" s="13" t="s">
        <v>588</v>
      </c>
      <c r="BK11" s="13" t="s">
        <v>588</v>
      </c>
      <c r="BL11" s="13" t="s">
        <v>588</v>
      </c>
      <c r="BM11" s="13" t="s">
        <v>588</v>
      </c>
      <c r="BN11" s="13" t="s">
        <v>588</v>
      </c>
      <c r="BO11" s="13" t="s">
        <v>588</v>
      </c>
      <c r="BP11" s="13" t="s">
        <v>588</v>
      </c>
      <c r="BQ11" s="13" t="s">
        <v>588</v>
      </c>
      <c r="BR11" s="13" t="s">
        <v>588</v>
      </c>
      <c r="BS11" s="11" t="s">
        <v>8</v>
      </c>
      <c r="BT11" s="11" t="s">
        <v>13</v>
      </c>
      <c r="BU11" s="11" t="s">
        <v>13</v>
      </c>
      <c r="BV11" s="13" t="s">
        <v>588</v>
      </c>
      <c r="BW11" s="13" t="s">
        <v>588</v>
      </c>
      <c r="BX11" s="13" t="s">
        <v>588</v>
      </c>
      <c r="BY11" s="13" t="s">
        <v>588</v>
      </c>
      <c r="BZ11" s="13" t="s">
        <v>588</v>
      </c>
    </row>
    <row r="12" spans="1:78" x14ac:dyDescent="0.25">
      <c r="A12" s="11">
        <v>201516</v>
      </c>
      <c r="B12" s="10" t="s">
        <v>1993</v>
      </c>
      <c r="C12" s="11" t="s">
        <v>460</v>
      </c>
      <c r="D12" s="11" t="s">
        <v>1440</v>
      </c>
      <c r="E12" s="11" t="s">
        <v>1992</v>
      </c>
      <c r="F12" s="11">
        <v>2</v>
      </c>
      <c r="G12" s="11" t="str">
        <f t="shared" si="0"/>
        <v>201516_Coal Point 3rd Bay West Pair 1. / Coal Point 2nd Bay N/W_2</v>
      </c>
      <c r="H12" s="11" t="s">
        <v>2114</v>
      </c>
      <c r="I12" s="13">
        <v>42384</v>
      </c>
      <c r="J12" s="11">
        <f t="shared" si="1"/>
        <v>15</v>
      </c>
      <c r="K12" s="11">
        <f t="shared" si="2"/>
        <v>1</v>
      </c>
      <c r="L12" s="11">
        <f t="shared" si="3"/>
        <v>2016</v>
      </c>
      <c r="M12" s="11" t="str">
        <f t="shared" si="4"/>
        <v>15012016</v>
      </c>
      <c r="N12" s="11" t="s">
        <v>12</v>
      </c>
      <c r="O12" s="11" t="s">
        <v>10</v>
      </c>
      <c r="P12" s="11">
        <v>-38.39</v>
      </c>
      <c r="Q12" s="11">
        <v>145.34</v>
      </c>
      <c r="R12" s="11" t="s">
        <v>588</v>
      </c>
      <c r="S12" s="11" t="s">
        <v>588</v>
      </c>
      <c r="T12" s="11">
        <v>3</v>
      </c>
      <c r="U12" s="11">
        <v>3</v>
      </c>
      <c r="V12" s="11" t="s">
        <v>588</v>
      </c>
      <c r="W12" s="11" t="s">
        <v>588</v>
      </c>
      <c r="X12" s="11">
        <v>4</v>
      </c>
      <c r="Y12" s="11">
        <v>4</v>
      </c>
      <c r="Z12" s="11" t="s">
        <v>8</v>
      </c>
      <c r="AA12" s="13">
        <v>42399</v>
      </c>
      <c r="AB12" s="11">
        <f t="shared" si="5"/>
        <v>30</v>
      </c>
      <c r="AC12" s="11">
        <f t="shared" si="6"/>
        <v>1</v>
      </c>
      <c r="AD12" s="11">
        <f t="shared" si="7"/>
        <v>2016</v>
      </c>
      <c r="AE12" s="13" t="str">
        <f t="shared" si="8"/>
        <v>30012016</v>
      </c>
      <c r="AF12" s="11" t="s">
        <v>12</v>
      </c>
      <c r="AG12" s="11" t="s">
        <v>588</v>
      </c>
      <c r="AH12" s="11" t="s">
        <v>588</v>
      </c>
      <c r="AI12" s="11" t="s">
        <v>588</v>
      </c>
      <c r="AJ12" s="11" t="s">
        <v>588</v>
      </c>
      <c r="AK12" s="13" t="s">
        <v>588</v>
      </c>
      <c r="AL12" s="11" t="s">
        <v>588</v>
      </c>
      <c r="AM12" s="13" t="s">
        <v>588</v>
      </c>
      <c r="AN12" s="11" t="s">
        <v>588</v>
      </c>
      <c r="AO12" s="11" t="s">
        <v>588</v>
      </c>
      <c r="AP12" s="13">
        <v>42417</v>
      </c>
      <c r="AQ12" s="13" t="s">
        <v>21</v>
      </c>
      <c r="AR12" s="11" t="s">
        <v>195</v>
      </c>
      <c r="AS12" s="11">
        <v>3</v>
      </c>
      <c r="AT12" s="11">
        <v>3</v>
      </c>
      <c r="AU12" s="11" t="s">
        <v>588</v>
      </c>
      <c r="AV12" s="11" t="s">
        <v>588</v>
      </c>
      <c r="AW12" s="11" t="s">
        <v>588</v>
      </c>
      <c r="AX12" s="11" t="s">
        <v>588</v>
      </c>
      <c r="AY12" s="11" t="s">
        <v>588</v>
      </c>
      <c r="AZ12" s="11" t="s">
        <v>588</v>
      </c>
      <c r="BA12" s="11" t="s">
        <v>588</v>
      </c>
      <c r="BB12" s="11" t="s">
        <v>588</v>
      </c>
      <c r="BC12" s="11" t="s">
        <v>588</v>
      </c>
      <c r="BD12" s="11" t="s">
        <v>588</v>
      </c>
      <c r="BE12" s="11" t="s">
        <v>588</v>
      </c>
      <c r="BF12" s="11" t="s">
        <v>588</v>
      </c>
      <c r="BG12" s="11" t="s">
        <v>588</v>
      </c>
      <c r="BH12" s="11" t="s">
        <v>588</v>
      </c>
      <c r="BI12" s="11" t="s">
        <v>588</v>
      </c>
      <c r="BJ12" s="11" t="s">
        <v>588</v>
      </c>
      <c r="BK12" s="11" t="s">
        <v>588</v>
      </c>
      <c r="BL12" s="11" t="s">
        <v>588</v>
      </c>
      <c r="BM12" s="11">
        <v>2</v>
      </c>
      <c r="BN12" s="11">
        <v>2</v>
      </c>
      <c r="BO12" s="11" t="s">
        <v>8</v>
      </c>
      <c r="BP12" s="11">
        <v>3</v>
      </c>
      <c r="BQ12" s="13">
        <v>42446</v>
      </c>
      <c r="BR12" s="11" t="s">
        <v>22</v>
      </c>
      <c r="BS12" s="11" t="s">
        <v>8</v>
      </c>
      <c r="BT12" s="11" t="s">
        <v>120</v>
      </c>
      <c r="BU12" s="11" t="s">
        <v>120</v>
      </c>
      <c r="BV12" s="11" t="s">
        <v>8</v>
      </c>
      <c r="BW12" s="11" t="s">
        <v>120</v>
      </c>
      <c r="BX12" s="11" t="s">
        <v>120</v>
      </c>
      <c r="BY12" s="11" t="s">
        <v>588</v>
      </c>
      <c r="BZ12" s="11" t="s">
        <v>588</v>
      </c>
    </row>
    <row r="13" spans="1:78" x14ac:dyDescent="0.25">
      <c r="A13" s="11">
        <v>201516</v>
      </c>
      <c r="B13" s="11" t="s">
        <v>575</v>
      </c>
      <c r="C13" t="s">
        <v>574</v>
      </c>
      <c r="D13" s="11" t="s">
        <v>1989</v>
      </c>
      <c r="E13" s="11" t="s">
        <v>16</v>
      </c>
      <c r="F13" s="11">
        <v>1</v>
      </c>
      <c r="G13" s="11" t="str">
        <f t="shared" si="0"/>
        <v>201516_2nd Bay N/W of A21 Steps_1</v>
      </c>
      <c r="H13" s="11" t="s">
        <v>2090</v>
      </c>
      <c r="I13" s="13">
        <v>42389</v>
      </c>
      <c r="J13" s="11">
        <f t="shared" si="1"/>
        <v>20</v>
      </c>
      <c r="K13" s="11">
        <f t="shared" si="2"/>
        <v>1</v>
      </c>
      <c r="L13" s="11">
        <f t="shared" si="3"/>
        <v>2016</v>
      </c>
      <c r="M13" s="11" t="str">
        <f t="shared" si="4"/>
        <v>20012016</v>
      </c>
      <c r="N13" s="11" t="s">
        <v>12</v>
      </c>
      <c r="O13" s="11" t="s">
        <v>10</v>
      </c>
      <c r="P13" s="11">
        <v>-38.386200000000002</v>
      </c>
      <c r="Q13" s="11">
        <v>145.33465000000001</v>
      </c>
      <c r="R13" s="11" t="s">
        <v>588</v>
      </c>
      <c r="S13" s="11" t="s">
        <v>588</v>
      </c>
      <c r="T13" s="11">
        <v>3</v>
      </c>
      <c r="U13" s="11">
        <v>3</v>
      </c>
      <c r="V13" s="13">
        <v>42390</v>
      </c>
      <c r="W13" s="11" t="s">
        <v>223</v>
      </c>
      <c r="X13" s="11">
        <v>4</v>
      </c>
      <c r="Y13" s="11">
        <v>4</v>
      </c>
      <c r="Z13" s="11" t="s">
        <v>8</v>
      </c>
      <c r="AA13" s="13">
        <v>42399</v>
      </c>
      <c r="AB13" s="11">
        <f t="shared" si="5"/>
        <v>30</v>
      </c>
      <c r="AC13" s="11">
        <f t="shared" si="6"/>
        <v>1</v>
      </c>
      <c r="AD13" s="11">
        <f t="shared" si="7"/>
        <v>2016</v>
      </c>
      <c r="AE13" s="13" t="str">
        <f t="shared" si="8"/>
        <v>30012016</v>
      </c>
      <c r="AF13" s="11" t="s">
        <v>12</v>
      </c>
      <c r="AG13" s="11" t="s">
        <v>588</v>
      </c>
      <c r="AH13" s="11" t="s">
        <v>588</v>
      </c>
      <c r="AI13" s="11" t="s">
        <v>588</v>
      </c>
      <c r="AJ13" s="11" t="s">
        <v>588</v>
      </c>
      <c r="AK13" s="13" t="s">
        <v>588</v>
      </c>
      <c r="AL13" s="11" t="s">
        <v>588</v>
      </c>
      <c r="AM13" s="11" t="s">
        <v>588</v>
      </c>
      <c r="AN13" s="11" t="s">
        <v>588</v>
      </c>
      <c r="AO13" s="11" t="s">
        <v>588</v>
      </c>
      <c r="AP13" s="13">
        <v>42419</v>
      </c>
      <c r="AQ13" s="11" t="s">
        <v>21</v>
      </c>
      <c r="AR13" s="11" t="s">
        <v>195</v>
      </c>
      <c r="AS13" s="11">
        <v>1</v>
      </c>
      <c r="AT13" s="11">
        <v>2</v>
      </c>
      <c r="AU13" s="11" t="s">
        <v>588</v>
      </c>
      <c r="AV13" s="11" t="s">
        <v>588</v>
      </c>
      <c r="AW13" s="11" t="s">
        <v>588</v>
      </c>
      <c r="AX13" s="11" t="s">
        <v>588</v>
      </c>
      <c r="AY13" s="11" t="s">
        <v>588</v>
      </c>
      <c r="AZ13" s="11" t="s">
        <v>588</v>
      </c>
      <c r="BA13" s="11" t="s">
        <v>588</v>
      </c>
      <c r="BB13" s="11" t="s">
        <v>588</v>
      </c>
      <c r="BC13" s="11" t="s">
        <v>588</v>
      </c>
      <c r="BD13" s="11" t="s">
        <v>588</v>
      </c>
      <c r="BE13" s="11" t="s">
        <v>588</v>
      </c>
      <c r="BF13" s="11" t="s">
        <v>588</v>
      </c>
      <c r="BG13" s="11" t="s">
        <v>588</v>
      </c>
      <c r="BH13" s="11" t="s">
        <v>588</v>
      </c>
      <c r="BI13" s="11" t="s">
        <v>588</v>
      </c>
      <c r="BJ13" s="11" t="s">
        <v>588</v>
      </c>
      <c r="BK13" s="11" t="s">
        <v>588</v>
      </c>
      <c r="BL13" s="11" t="s">
        <v>588</v>
      </c>
      <c r="BM13" s="11">
        <v>4</v>
      </c>
      <c r="BN13" s="11">
        <v>4</v>
      </c>
      <c r="BO13" s="11" t="s">
        <v>8</v>
      </c>
      <c r="BP13" s="11">
        <v>1</v>
      </c>
      <c r="BQ13" s="13">
        <v>42456</v>
      </c>
      <c r="BR13" s="11" t="s">
        <v>22</v>
      </c>
      <c r="BS13" s="11" t="s">
        <v>8</v>
      </c>
      <c r="BT13" s="11" t="s">
        <v>120</v>
      </c>
      <c r="BU13" s="11" t="s">
        <v>120</v>
      </c>
      <c r="BV13" s="11" t="s">
        <v>8</v>
      </c>
      <c r="BW13" s="11" t="s">
        <v>120</v>
      </c>
      <c r="BX13" s="11" t="s">
        <v>120</v>
      </c>
      <c r="BY13" s="11" t="s">
        <v>1990</v>
      </c>
      <c r="BZ13" s="11" t="s">
        <v>588</v>
      </c>
    </row>
    <row r="14" spans="1:78" x14ac:dyDescent="0.25">
      <c r="A14" s="11">
        <v>201516</v>
      </c>
      <c r="B14" s="11" t="s">
        <v>581</v>
      </c>
      <c r="C14" t="s">
        <v>284</v>
      </c>
      <c r="D14" s="11" t="s">
        <v>569</v>
      </c>
      <c r="E14" s="11" t="s">
        <v>16</v>
      </c>
      <c r="F14" s="11">
        <v>1</v>
      </c>
      <c r="G14" s="11" t="str">
        <f t="shared" si="0"/>
        <v>201516_Desal Beach_1</v>
      </c>
      <c r="H14" s="11" t="s">
        <v>1975</v>
      </c>
      <c r="I14" s="13">
        <v>42328</v>
      </c>
      <c r="J14" s="11">
        <f t="shared" si="1"/>
        <v>20</v>
      </c>
      <c r="K14" s="11">
        <f t="shared" si="2"/>
        <v>11</v>
      </c>
      <c r="L14" s="11">
        <f t="shared" si="3"/>
        <v>2015</v>
      </c>
      <c r="M14" s="11" t="str">
        <f t="shared" si="4"/>
        <v>20112015</v>
      </c>
      <c r="N14" s="11" t="s">
        <v>17</v>
      </c>
      <c r="O14" s="11" t="s">
        <v>10</v>
      </c>
      <c r="P14" s="11" t="s">
        <v>588</v>
      </c>
      <c r="Q14" s="11" t="s">
        <v>588</v>
      </c>
      <c r="R14" s="11" t="s">
        <v>588</v>
      </c>
      <c r="S14" s="11" t="s">
        <v>588</v>
      </c>
      <c r="T14" s="11">
        <v>3</v>
      </c>
      <c r="U14" s="11">
        <v>3</v>
      </c>
      <c r="V14" s="13">
        <v>42330</v>
      </c>
      <c r="W14" s="11" t="s">
        <v>223</v>
      </c>
      <c r="X14" s="11">
        <v>3</v>
      </c>
      <c r="Y14" s="11">
        <v>3</v>
      </c>
      <c r="Z14" s="11" t="s">
        <v>41</v>
      </c>
      <c r="AA14" s="13">
        <v>42332</v>
      </c>
      <c r="AB14" s="11">
        <f t="shared" si="5"/>
        <v>24</v>
      </c>
      <c r="AC14" s="11">
        <f t="shared" si="6"/>
        <v>11</v>
      </c>
      <c r="AD14" s="11">
        <f t="shared" si="7"/>
        <v>2015</v>
      </c>
      <c r="AE14" s="13" t="str">
        <f t="shared" si="8"/>
        <v>24112015</v>
      </c>
      <c r="AF14" s="11" t="s">
        <v>17</v>
      </c>
      <c r="AG14" s="13">
        <v>42342</v>
      </c>
      <c r="AH14" s="11">
        <v>4</v>
      </c>
      <c r="AI14" s="11">
        <v>12</v>
      </c>
      <c r="AJ14" s="11">
        <v>2015</v>
      </c>
      <c r="AK14" s="13" t="s">
        <v>2017</v>
      </c>
      <c r="AL14" s="11" t="s">
        <v>7</v>
      </c>
      <c r="AM14" s="13" t="s">
        <v>41</v>
      </c>
      <c r="AN14" s="11" t="s">
        <v>8</v>
      </c>
      <c r="AO14" s="11" t="s">
        <v>11</v>
      </c>
      <c r="AP14" s="11" t="s">
        <v>588</v>
      </c>
      <c r="AQ14" s="11" t="s">
        <v>588</v>
      </c>
      <c r="AR14" s="11" t="s">
        <v>588</v>
      </c>
      <c r="AS14" s="11" t="s">
        <v>588</v>
      </c>
      <c r="AT14" s="11" t="s">
        <v>588</v>
      </c>
      <c r="AU14" s="11" t="s">
        <v>588</v>
      </c>
      <c r="AV14" s="11" t="s">
        <v>588</v>
      </c>
      <c r="AW14" s="11" t="s">
        <v>588</v>
      </c>
      <c r="AX14" s="11" t="s">
        <v>588</v>
      </c>
      <c r="AY14" s="11" t="s">
        <v>588</v>
      </c>
      <c r="AZ14" s="11" t="s">
        <v>588</v>
      </c>
      <c r="BA14" s="11" t="s">
        <v>588</v>
      </c>
      <c r="BB14" s="11" t="s">
        <v>588</v>
      </c>
      <c r="BC14" s="11" t="s">
        <v>588</v>
      </c>
      <c r="BD14" s="11" t="s">
        <v>588</v>
      </c>
      <c r="BE14" s="11" t="s">
        <v>588</v>
      </c>
      <c r="BF14" s="11" t="s">
        <v>588</v>
      </c>
      <c r="BG14" s="11" t="s">
        <v>588</v>
      </c>
      <c r="BH14" s="11" t="s">
        <v>588</v>
      </c>
      <c r="BI14" s="11" t="s">
        <v>588</v>
      </c>
      <c r="BJ14" s="11" t="s">
        <v>588</v>
      </c>
      <c r="BK14" s="11" t="s">
        <v>588</v>
      </c>
      <c r="BL14" s="11" t="s">
        <v>588</v>
      </c>
      <c r="BM14" s="11" t="s">
        <v>588</v>
      </c>
      <c r="BN14" s="11" t="s">
        <v>588</v>
      </c>
      <c r="BO14" s="11" t="s">
        <v>588</v>
      </c>
      <c r="BP14" s="11" t="s">
        <v>588</v>
      </c>
      <c r="BQ14" s="11" t="s">
        <v>588</v>
      </c>
      <c r="BR14" s="11" t="s">
        <v>588</v>
      </c>
      <c r="BS14" s="11" t="s">
        <v>8</v>
      </c>
      <c r="BT14" s="11" t="s">
        <v>120</v>
      </c>
      <c r="BU14" s="11" t="s">
        <v>120</v>
      </c>
      <c r="BV14" s="11" t="s">
        <v>588</v>
      </c>
      <c r="BW14" s="11" t="s">
        <v>588</v>
      </c>
      <c r="BX14" s="11" t="s">
        <v>588</v>
      </c>
      <c r="BY14" s="11" t="s">
        <v>588</v>
      </c>
      <c r="BZ14" s="11" t="s">
        <v>588</v>
      </c>
    </row>
    <row r="15" spans="1:78" x14ac:dyDescent="0.25">
      <c r="A15" s="11">
        <v>201516</v>
      </c>
      <c r="B15" s="15" t="s">
        <v>134</v>
      </c>
      <c r="C15" t="s">
        <v>26</v>
      </c>
      <c r="D15" s="11" t="s">
        <v>27</v>
      </c>
      <c r="E15" s="11" t="s">
        <v>16</v>
      </c>
      <c r="F15" s="11">
        <v>1</v>
      </c>
      <c r="G15" s="11" t="str">
        <f t="shared" si="0"/>
        <v>201516_Point Norman East_1</v>
      </c>
      <c r="H15" s="11" t="s">
        <v>1945</v>
      </c>
      <c r="I15" s="13">
        <v>42250</v>
      </c>
      <c r="J15" s="11">
        <f t="shared" si="1"/>
        <v>3</v>
      </c>
      <c r="K15" s="11">
        <f t="shared" si="2"/>
        <v>9</v>
      </c>
      <c r="L15" s="11">
        <f t="shared" si="3"/>
        <v>2015</v>
      </c>
      <c r="M15" s="11" t="str">
        <f t="shared" si="4"/>
        <v>03092015</v>
      </c>
      <c r="N15" s="11" t="s">
        <v>28</v>
      </c>
      <c r="O15" s="11" t="s">
        <v>10</v>
      </c>
      <c r="P15" s="11">
        <v>-38.645000000000003</v>
      </c>
      <c r="Q15" s="11">
        <v>145.71476999999999</v>
      </c>
      <c r="R15" s="11" t="s">
        <v>588</v>
      </c>
      <c r="S15" s="11" t="s">
        <v>588</v>
      </c>
      <c r="T15" s="11">
        <v>3</v>
      </c>
      <c r="U15" s="11">
        <v>3</v>
      </c>
      <c r="V15" s="13">
        <v>42255</v>
      </c>
      <c r="W15" s="11" t="s">
        <v>219</v>
      </c>
      <c r="X15" s="11">
        <v>15</v>
      </c>
      <c r="Y15" s="11">
        <v>14</v>
      </c>
      <c r="Z15" s="11" t="s">
        <v>8</v>
      </c>
      <c r="AA15" s="13">
        <v>42283</v>
      </c>
      <c r="AB15" s="11">
        <f t="shared" si="5"/>
        <v>6</v>
      </c>
      <c r="AC15" s="11">
        <f t="shared" si="6"/>
        <v>10</v>
      </c>
      <c r="AD15" s="11">
        <f t="shared" si="7"/>
        <v>2015</v>
      </c>
      <c r="AE15" s="13" t="str">
        <f t="shared" si="8"/>
        <v>06102015</v>
      </c>
      <c r="AF15" s="11" t="s">
        <v>29</v>
      </c>
      <c r="AG15" s="11" t="s">
        <v>588</v>
      </c>
      <c r="AH15" s="11" t="s">
        <v>588</v>
      </c>
      <c r="AI15" s="11" t="s">
        <v>588</v>
      </c>
      <c r="AJ15" s="11" t="s">
        <v>588</v>
      </c>
      <c r="AK15" s="13" t="s">
        <v>588</v>
      </c>
      <c r="AL15" s="11" t="s">
        <v>588</v>
      </c>
      <c r="AM15" s="13" t="s">
        <v>588</v>
      </c>
      <c r="AN15" s="11" t="s">
        <v>588</v>
      </c>
      <c r="AO15" s="11" t="s">
        <v>588</v>
      </c>
      <c r="AP15" s="13">
        <v>42284</v>
      </c>
      <c r="AQ15" s="11" t="s">
        <v>29</v>
      </c>
      <c r="AR15" s="11" t="s">
        <v>195</v>
      </c>
      <c r="AS15" s="11">
        <v>3</v>
      </c>
      <c r="AT15" s="11">
        <v>3</v>
      </c>
      <c r="AU15" s="13">
        <v>42286</v>
      </c>
      <c r="AV15" s="13">
        <v>42288</v>
      </c>
      <c r="AW15" s="11" t="s">
        <v>29</v>
      </c>
      <c r="AX15" s="11" t="s">
        <v>41</v>
      </c>
      <c r="AY15" s="11" t="s">
        <v>41</v>
      </c>
      <c r="AZ15" s="11" t="s">
        <v>20</v>
      </c>
      <c r="BA15" s="13">
        <v>42288</v>
      </c>
      <c r="BB15" s="13">
        <v>42289</v>
      </c>
      <c r="BC15" s="11" t="s">
        <v>29</v>
      </c>
      <c r="BD15" s="11" t="s">
        <v>41</v>
      </c>
      <c r="BE15" s="11" t="s">
        <v>41</v>
      </c>
      <c r="BF15" s="11" t="s">
        <v>20</v>
      </c>
      <c r="BG15" s="13">
        <v>42288</v>
      </c>
      <c r="BH15" s="13">
        <v>42289</v>
      </c>
      <c r="BI15" s="11" t="s">
        <v>29</v>
      </c>
      <c r="BJ15" s="11" t="s">
        <v>41</v>
      </c>
      <c r="BK15" s="11" t="s">
        <v>41</v>
      </c>
      <c r="BL15" s="11" t="s">
        <v>20</v>
      </c>
      <c r="BM15" s="11">
        <v>6</v>
      </c>
      <c r="BN15" s="11">
        <v>5</v>
      </c>
      <c r="BO15" s="11" t="s">
        <v>41</v>
      </c>
      <c r="BP15" s="11" t="s">
        <v>588</v>
      </c>
      <c r="BQ15" s="11" t="s">
        <v>588</v>
      </c>
      <c r="BR15" s="11" t="s">
        <v>588</v>
      </c>
      <c r="BS15" s="11" t="s">
        <v>8</v>
      </c>
      <c r="BT15" s="11" t="s">
        <v>120</v>
      </c>
      <c r="BU15" s="11" t="s">
        <v>120</v>
      </c>
      <c r="BV15" s="11" t="s">
        <v>8</v>
      </c>
      <c r="BW15" s="11" t="s">
        <v>120</v>
      </c>
      <c r="BX15" s="11" t="s">
        <v>120</v>
      </c>
      <c r="BY15" s="11" t="s">
        <v>588</v>
      </c>
      <c r="BZ15" s="11" t="s">
        <v>588</v>
      </c>
    </row>
    <row r="16" spans="1:78" x14ac:dyDescent="0.25">
      <c r="A16" s="11">
        <v>201516</v>
      </c>
      <c r="B16" s="11" t="s">
        <v>134</v>
      </c>
      <c r="C16" t="s">
        <v>26</v>
      </c>
      <c r="D16" s="11" t="s">
        <v>16</v>
      </c>
      <c r="E16" s="11" t="s">
        <v>16</v>
      </c>
      <c r="F16" s="11">
        <v>2</v>
      </c>
      <c r="G16" s="11" t="str">
        <f t="shared" si="0"/>
        <v>201516_Point Norman East_2</v>
      </c>
      <c r="H16" s="11" t="s">
        <v>1948</v>
      </c>
      <c r="I16" s="13">
        <v>42323</v>
      </c>
      <c r="J16" s="11">
        <f t="shared" si="1"/>
        <v>15</v>
      </c>
      <c r="K16" s="11">
        <f t="shared" si="2"/>
        <v>11</v>
      </c>
      <c r="L16" s="11">
        <f t="shared" si="3"/>
        <v>2015</v>
      </c>
      <c r="M16" s="11" t="str">
        <f t="shared" si="4"/>
        <v>15112015</v>
      </c>
      <c r="N16" s="11" t="s">
        <v>17</v>
      </c>
      <c r="O16" s="11" t="s">
        <v>10</v>
      </c>
      <c r="P16" s="11">
        <v>-38.645000000000003</v>
      </c>
      <c r="Q16" s="11">
        <v>145.71476699999999</v>
      </c>
      <c r="R16" s="11" t="s">
        <v>588</v>
      </c>
      <c r="S16" s="11" t="s">
        <v>588</v>
      </c>
      <c r="T16" s="11">
        <v>3</v>
      </c>
      <c r="U16" s="11">
        <v>3</v>
      </c>
      <c r="V16" s="11" t="s">
        <v>588</v>
      </c>
      <c r="W16" s="11" t="s">
        <v>588</v>
      </c>
      <c r="X16" s="11">
        <v>5</v>
      </c>
      <c r="Y16" s="11">
        <v>5</v>
      </c>
      <c r="Z16" s="11" t="s">
        <v>41</v>
      </c>
      <c r="AA16" s="13">
        <v>42339</v>
      </c>
      <c r="AB16" s="11">
        <f t="shared" si="5"/>
        <v>1</v>
      </c>
      <c r="AC16" s="11">
        <f t="shared" si="6"/>
        <v>12</v>
      </c>
      <c r="AD16" s="11">
        <f t="shared" si="7"/>
        <v>2015</v>
      </c>
      <c r="AE16" s="13" t="str">
        <f t="shared" si="8"/>
        <v>01122015</v>
      </c>
      <c r="AF16" s="11" t="s">
        <v>7</v>
      </c>
      <c r="AG16" s="13">
        <v>42342</v>
      </c>
      <c r="AH16" s="11">
        <v>4</v>
      </c>
      <c r="AI16" s="11">
        <v>12</v>
      </c>
      <c r="AJ16" s="11">
        <v>2015</v>
      </c>
      <c r="AK16" s="13" t="s">
        <v>2017</v>
      </c>
      <c r="AL16" s="11" t="s">
        <v>7</v>
      </c>
      <c r="AM16" s="13" t="s">
        <v>41</v>
      </c>
      <c r="AN16" s="11" t="s">
        <v>8</v>
      </c>
      <c r="AO16" s="11" t="s">
        <v>32</v>
      </c>
      <c r="AP16" s="13" t="s">
        <v>588</v>
      </c>
      <c r="AQ16" s="11" t="s">
        <v>588</v>
      </c>
      <c r="AR16" s="11" t="s">
        <v>588</v>
      </c>
      <c r="AS16" s="11" t="s">
        <v>588</v>
      </c>
      <c r="AT16" s="11" t="s">
        <v>588</v>
      </c>
      <c r="AU16" s="11" t="s">
        <v>588</v>
      </c>
      <c r="AV16" s="11" t="s">
        <v>588</v>
      </c>
      <c r="AW16" s="11" t="s">
        <v>588</v>
      </c>
      <c r="AX16" s="11" t="s">
        <v>588</v>
      </c>
      <c r="AY16" s="11" t="s">
        <v>588</v>
      </c>
      <c r="AZ16" s="11" t="s">
        <v>588</v>
      </c>
      <c r="BA16" s="11" t="s">
        <v>588</v>
      </c>
      <c r="BB16" s="11" t="s">
        <v>588</v>
      </c>
      <c r="BC16" s="11" t="s">
        <v>588</v>
      </c>
      <c r="BD16" s="11" t="s">
        <v>588</v>
      </c>
      <c r="BE16" s="11" t="s">
        <v>588</v>
      </c>
      <c r="BF16" s="11" t="s">
        <v>588</v>
      </c>
      <c r="BG16" s="11" t="s">
        <v>588</v>
      </c>
      <c r="BH16" s="11" t="s">
        <v>588</v>
      </c>
      <c r="BI16" s="11" t="s">
        <v>588</v>
      </c>
      <c r="BJ16" s="11" t="s">
        <v>588</v>
      </c>
      <c r="BK16" s="11" t="s">
        <v>588</v>
      </c>
      <c r="BL16" s="11" t="s">
        <v>588</v>
      </c>
      <c r="BM16" s="11" t="s">
        <v>588</v>
      </c>
      <c r="BN16" s="11" t="s">
        <v>588</v>
      </c>
      <c r="BO16" s="11" t="s">
        <v>588</v>
      </c>
      <c r="BP16" s="11" t="s">
        <v>588</v>
      </c>
      <c r="BQ16" s="11" t="s">
        <v>588</v>
      </c>
      <c r="BR16" s="11" t="s">
        <v>588</v>
      </c>
      <c r="BS16" s="11" t="s">
        <v>8</v>
      </c>
      <c r="BT16" s="11" t="s">
        <v>120</v>
      </c>
      <c r="BU16" s="11" t="s">
        <v>120</v>
      </c>
      <c r="BV16" s="11" t="s">
        <v>588</v>
      </c>
      <c r="BW16" s="11" t="s">
        <v>588</v>
      </c>
      <c r="BX16" s="11" t="s">
        <v>588</v>
      </c>
      <c r="BY16" s="11" t="s">
        <v>588</v>
      </c>
      <c r="BZ16" s="11" t="s">
        <v>588</v>
      </c>
    </row>
    <row r="17" spans="1:78" x14ac:dyDescent="0.25">
      <c r="A17" s="11">
        <v>201516</v>
      </c>
      <c r="B17" s="11" t="s">
        <v>135</v>
      </c>
      <c r="C17" t="s">
        <v>1906</v>
      </c>
      <c r="D17" s="11" t="s">
        <v>30</v>
      </c>
      <c r="E17" s="11" t="s">
        <v>49</v>
      </c>
      <c r="F17" s="11">
        <v>1</v>
      </c>
      <c r="G17" s="11" t="str">
        <f t="shared" si="0"/>
        <v>201516_Point Norman West_1</v>
      </c>
      <c r="H17" s="11" t="s">
        <v>1950</v>
      </c>
      <c r="I17" s="13">
        <v>42323</v>
      </c>
      <c r="J17" s="11">
        <f t="shared" si="1"/>
        <v>15</v>
      </c>
      <c r="K17" s="11">
        <f t="shared" si="2"/>
        <v>11</v>
      </c>
      <c r="L17" s="11">
        <f t="shared" si="3"/>
        <v>2015</v>
      </c>
      <c r="M17" s="11" t="str">
        <f t="shared" si="4"/>
        <v>15112015</v>
      </c>
      <c r="N17" s="11" t="s">
        <v>17</v>
      </c>
      <c r="O17" s="11" t="s">
        <v>10</v>
      </c>
      <c r="P17" s="11">
        <v>-38.645508</v>
      </c>
      <c r="Q17" s="11">
        <v>145.712952</v>
      </c>
      <c r="R17" s="11" t="s">
        <v>588</v>
      </c>
      <c r="S17" s="11" t="s">
        <v>588</v>
      </c>
      <c r="T17" s="11">
        <v>3</v>
      </c>
      <c r="U17" s="11">
        <v>3</v>
      </c>
      <c r="V17" s="11" t="s">
        <v>588</v>
      </c>
      <c r="W17" s="11" t="s">
        <v>588</v>
      </c>
      <c r="X17" s="11">
        <v>3</v>
      </c>
      <c r="Y17" s="11">
        <v>3</v>
      </c>
      <c r="Z17" s="11" t="s">
        <v>41</v>
      </c>
      <c r="AA17" s="13">
        <v>42324</v>
      </c>
      <c r="AB17" s="11">
        <f t="shared" si="5"/>
        <v>16</v>
      </c>
      <c r="AC17" s="11">
        <f t="shared" si="6"/>
        <v>11</v>
      </c>
      <c r="AD17" s="11">
        <f t="shared" si="7"/>
        <v>2015</v>
      </c>
      <c r="AE17" s="13" t="str">
        <f t="shared" si="8"/>
        <v>16112015</v>
      </c>
      <c r="AF17" s="11" t="s">
        <v>17</v>
      </c>
      <c r="AG17" s="13">
        <v>42331</v>
      </c>
      <c r="AH17" s="11">
        <v>23</v>
      </c>
      <c r="AI17" s="11">
        <v>11</v>
      </c>
      <c r="AJ17" s="11">
        <v>2015</v>
      </c>
      <c r="AK17" s="13" t="s">
        <v>2018</v>
      </c>
      <c r="AL17" s="11" t="s">
        <v>17</v>
      </c>
      <c r="AM17" s="13" t="s">
        <v>41</v>
      </c>
      <c r="AN17" s="11" t="s">
        <v>41</v>
      </c>
      <c r="AO17" s="13" t="s">
        <v>20</v>
      </c>
      <c r="AP17" s="13" t="s">
        <v>588</v>
      </c>
      <c r="AQ17" s="13" t="s">
        <v>588</v>
      </c>
      <c r="AR17" s="13" t="s">
        <v>588</v>
      </c>
      <c r="AS17" s="13" t="s">
        <v>588</v>
      </c>
      <c r="AT17" s="13" t="s">
        <v>588</v>
      </c>
      <c r="AU17" s="13" t="s">
        <v>588</v>
      </c>
      <c r="AV17" s="13" t="s">
        <v>588</v>
      </c>
      <c r="AW17" s="13" t="s">
        <v>588</v>
      </c>
      <c r="AX17" s="13" t="s">
        <v>588</v>
      </c>
      <c r="AY17" s="13" t="s">
        <v>588</v>
      </c>
      <c r="AZ17" s="13" t="s">
        <v>588</v>
      </c>
      <c r="BA17" s="13" t="s">
        <v>588</v>
      </c>
      <c r="BB17" s="13" t="s">
        <v>588</v>
      </c>
      <c r="BC17" s="13" t="s">
        <v>588</v>
      </c>
      <c r="BD17" s="13" t="s">
        <v>588</v>
      </c>
      <c r="BE17" s="13" t="s">
        <v>588</v>
      </c>
      <c r="BF17" s="13" t="s">
        <v>588</v>
      </c>
      <c r="BG17" s="13" t="s">
        <v>588</v>
      </c>
      <c r="BH17" s="13" t="s">
        <v>588</v>
      </c>
      <c r="BI17" s="13" t="s">
        <v>588</v>
      </c>
      <c r="BJ17" s="13" t="s">
        <v>588</v>
      </c>
      <c r="BK17" s="13" t="s">
        <v>588</v>
      </c>
      <c r="BL17" s="13" t="s">
        <v>588</v>
      </c>
      <c r="BM17" s="13" t="s">
        <v>588</v>
      </c>
      <c r="BN17" s="13" t="s">
        <v>588</v>
      </c>
      <c r="BO17" s="13" t="s">
        <v>588</v>
      </c>
      <c r="BP17" s="13" t="s">
        <v>588</v>
      </c>
      <c r="BQ17" s="13" t="s">
        <v>588</v>
      </c>
      <c r="BR17" s="13" t="s">
        <v>588</v>
      </c>
      <c r="BS17" s="11" t="s">
        <v>8</v>
      </c>
      <c r="BT17" s="11" t="s">
        <v>120</v>
      </c>
      <c r="BU17" s="11" t="s">
        <v>120</v>
      </c>
      <c r="BV17" s="13" t="s">
        <v>588</v>
      </c>
      <c r="BW17" s="13" t="s">
        <v>588</v>
      </c>
      <c r="BX17" s="13" t="s">
        <v>588</v>
      </c>
      <c r="BY17" s="13" t="s">
        <v>588</v>
      </c>
      <c r="BZ17" s="13" t="s">
        <v>588</v>
      </c>
    </row>
    <row r="18" spans="1:78" x14ac:dyDescent="0.25">
      <c r="A18" s="11">
        <v>201516</v>
      </c>
      <c r="B18" s="11" t="s">
        <v>135</v>
      </c>
      <c r="C18" t="s">
        <v>1906</v>
      </c>
      <c r="D18" s="11" t="s">
        <v>30</v>
      </c>
      <c r="E18" s="11" t="s">
        <v>49</v>
      </c>
      <c r="F18" s="11">
        <v>2</v>
      </c>
      <c r="G18" s="11" t="str">
        <f t="shared" si="0"/>
        <v>201516_Point Norman West_2</v>
      </c>
      <c r="H18" s="11" t="s">
        <v>1953</v>
      </c>
      <c r="I18" s="13">
        <v>42368</v>
      </c>
      <c r="J18" s="11">
        <f t="shared" si="1"/>
        <v>30</v>
      </c>
      <c r="K18" s="11">
        <f t="shared" si="2"/>
        <v>12</v>
      </c>
      <c r="L18" s="11">
        <f t="shared" si="3"/>
        <v>2015</v>
      </c>
      <c r="M18" s="11" t="str">
        <f t="shared" si="4"/>
        <v>30122015</v>
      </c>
      <c r="N18" s="11" t="s">
        <v>7</v>
      </c>
      <c r="O18" s="11" t="s">
        <v>10</v>
      </c>
      <c r="P18" s="11" t="s">
        <v>588</v>
      </c>
      <c r="Q18" s="11" t="s">
        <v>588</v>
      </c>
      <c r="R18" s="11" t="s">
        <v>588</v>
      </c>
      <c r="S18" s="11" t="s">
        <v>588</v>
      </c>
      <c r="T18" s="11">
        <v>3</v>
      </c>
      <c r="U18" s="11">
        <v>3</v>
      </c>
      <c r="V18" s="11" t="s">
        <v>588</v>
      </c>
      <c r="W18" s="11" t="s">
        <v>588</v>
      </c>
      <c r="X18" s="11">
        <v>2</v>
      </c>
      <c r="Y18" s="11">
        <v>2</v>
      </c>
      <c r="Z18" s="11" t="s">
        <v>8</v>
      </c>
      <c r="AA18" s="13">
        <v>42378</v>
      </c>
      <c r="AB18" s="11">
        <f t="shared" si="5"/>
        <v>9</v>
      </c>
      <c r="AC18" s="11">
        <f t="shared" si="6"/>
        <v>1</v>
      </c>
      <c r="AD18" s="11">
        <f t="shared" si="7"/>
        <v>2016</v>
      </c>
      <c r="AE18" s="13" t="str">
        <f t="shared" si="8"/>
        <v>09012016</v>
      </c>
      <c r="AF18" s="11" t="s">
        <v>12</v>
      </c>
      <c r="AG18" s="11" t="s">
        <v>588</v>
      </c>
      <c r="AH18" s="11" t="s">
        <v>588</v>
      </c>
      <c r="AI18" s="11" t="s">
        <v>588</v>
      </c>
      <c r="AJ18" s="11" t="s">
        <v>588</v>
      </c>
      <c r="AK18" s="13" t="s">
        <v>588</v>
      </c>
      <c r="AL18" s="11" t="s">
        <v>588</v>
      </c>
      <c r="AM18" s="13" t="s">
        <v>588</v>
      </c>
      <c r="AN18" s="11" t="s">
        <v>588</v>
      </c>
      <c r="AO18" s="11" t="s">
        <v>588</v>
      </c>
      <c r="AP18" s="13">
        <v>42380</v>
      </c>
      <c r="AQ18" s="11" t="s">
        <v>12</v>
      </c>
      <c r="AR18" s="11" t="s">
        <v>195</v>
      </c>
      <c r="AS18" s="11">
        <v>1</v>
      </c>
      <c r="AT18" s="11">
        <v>3</v>
      </c>
      <c r="AU18" s="13">
        <v>42380</v>
      </c>
      <c r="AV18" s="13">
        <v>42387</v>
      </c>
      <c r="AW18" s="11" t="s">
        <v>12</v>
      </c>
      <c r="AX18" s="11" t="s">
        <v>41</v>
      </c>
      <c r="AY18" s="11" t="s">
        <v>41</v>
      </c>
      <c r="AZ18" s="11" t="s">
        <v>20</v>
      </c>
      <c r="BA18" s="11" t="s">
        <v>588</v>
      </c>
      <c r="BB18" s="11" t="s">
        <v>588</v>
      </c>
      <c r="BC18" s="11" t="s">
        <v>588</v>
      </c>
      <c r="BD18" s="11" t="s">
        <v>588</v>
      </c>
      <c r="BE18" s="11" t="s">
        <v>588</v>
      </c>
      <c r="BF18" s="11" t="s">
        <v>588</v>
      </c>
      <c r="BG18" s="11" t="s">
        <v>588</v>
      </c>
      <c r="BH18" s="11" t="s">
        <v>588</v>
      </c>
      <c r="BI18" s="11" t="s">
        <v>588</v>
      </c>
      <c r="BJ18" s="11" t="s">
        <v>588</v>
      </c>
      <c r="BK18" s="11" t="s">
        <v>588</v>
      </c>
      <c r="BL18" s="11" t="s">
        <v>588</v>
      </c>
      <c r="BM18" s="11" t="s">
        <v>588</v>
      </c>
      <c r="BN18" s="11" t="s">
        <v>588</v>
      </c>
      <c r="BO18" s="11" t="s">
        <v>588</v>
      </c>
      <c r="BP18" s="11" t="s">
        <v>41</v>
      </c>
      <c r="BQ18" s="11" t="s">
        <v>588</v>
      </c>
      <c r="BR18" s="11" t="s">
        <v>588</v>
      </c>
      <c r="BS18" s="11" t="s">
        <v>8</v>
      </c>
      <c r="BT18" s="11" t="s">
        <v>120</v>
      </c>
      <c r="BU18" s="11" t="s">
        <v>120</v>
      </c>
      <c r="BV18" s="11" t="s">
        <v>8</v>
      </c>
      <c r="BW18" s="11" t="s">
        <v>1994</v>
      </c>
      <c r="BX18" s="11" t="s">
        <v>136</v>
      </c>
      <c r="BY18" s="11" t="s">
        <v>588</v>
      </c>
      <c r="BZ18" s="11" t="s">
        <v>588</v>
      </c>
    </row>
    <row r="19" spans="1:78" x14ac:dyDescent="0.25">
      <c r="A19" s="11">
        <v>201516</v>
      </c>
      <c r="B19" s="11" t="s">
        <v>128</v>
      </c>
      <c r="C19" t="s">
        <v>33</v>
      </c>
      <c r="D19" s="11" t="s">
        <v>34</v>
      </c>
      <c r="E19" s="11" t="s">
        <v>1999</v>
      </c>
      <c r="F19" s="11">
        <v>1</v>
      </c>
      <c r="G19" s="11" t="str">
        <f t="shared" si="0"/>
        <v>201516_Screw Creek West_1</v>
      </c>
      <c r="H19" s="11" t="s">
        <v>1954</v>
      </c>
      <c r="I19" s="13">
        <v>42283</v>
      </c>
      <c r="J19" s="11">
        <f t="shared" si="1"/>
        <v>6</v>
      </c>
      <c r="K19" s="11">
        <f t="shared" si="2"/>
        <v>10</v>
      </c>
      <c r="L19" s="11">
        <f t="shared" si="3"/>
        <v>2015</v>
      </c>
      <c r="M19" s="11" t="str">
        <f t="shared" si="4"/>
        <v>06102015</v>
      </c>
      <c r="N19" s="11" t="s">
        <v>29</v>
      </c>
      <c r="O19" s="11" t="s">
        <v>10</v>
      </c>
      <c r="P19" s="11" t="s">
        <v>588</v>
      </c>
      <c r="Q19" s="11" t="s">
        <v>588</v>
      </c>
      <c r="R19" s="11" t="s">
        <v>588</v>
      </c>
      <c r="S19" s="11" t="s">
        <v>588</v>
      </c>
      <c r="T19" s="11">
        <v>3</v>
      </c>
      <c r="U19" s="11">
        <v>3</v>
      </c>
      <c r="V19" s="13">
        <v>42285</v>
      </c>
      <c r="W19" s="11" t="s">
        <v>223</v>
      </c>
      <c r="X19" s="11">
        <v>9</v>
      </c>
      <c r="Y19" s="11">
        <v>8</v>
      </c>
      <c r="Z19" s="11" t="s">
        <v>8</v>
      </c>
      <c r="AA19" s="13">
        <v>42311</v>
      </c>
      <c r="AB19" s="11">
        <f t="shared" si="5"/>
        <v>3</v>
      </c>
      <c r="AC19" s="11">
        <f t="shared" si="6"/>
        <v>11</v>
      </c>
      <c r="AD19" s="11">
        <f t="shared" si="7"/>
        <v>2015</v>
      </c>
      <c r="AE19" s="13" t="str">
        <f t="shared" si="8"/>
        <v>03112015</v>
      </c>
      <c r="AF19" s="11" t="s">
        <v>17</v>
      </c>
      <c r="AG19" s="11" t="s">
        <v>588</v>
      </c>
      <c r="AH19" s="11" t="s">
        <v>588</v>
      </c>
      <c r="AI19" s="11" t="s">
        <v>588</v>
      </c>
      <c r="AJ19" s="11" t="s">
        <v>588</v>
      </c>
      <c r="AK19" s="13" t="s">
        <v>588</v>
      </c>
      <c r="AL19" s="11" t="s">
        <v>588</v>
      </c>
      <c r="AM19" s="13" t="s">
        <v>588</v>
      </c>
      <c r="AN19" s="11" t="s">
        <v>588</v>
      </c>
      <c r="AO19" s="11" t="s">
        <v>588</v>
      </c>
      <c r="AP19" s="13">
        <v>42312</v>
      </c>
      <c r="AQ19" s="11" t="s">
        <v>17</v>
      </c>
      <c r="AR19" s="11" t="s">
        <v>195</v>
      </c>
      <c r="AS19" s="11">
        <v>3</v>
      </c>
      <c r="AT19" s="11">
        <v>3</v>
      </c>
      <c r="AU19" s="13">
        <v>42320</v>
      </c>
      <c r="AV19" s="13">
        <v>42331</v>
      </c>
      <c r="AW19" s="11" t="s">
        <v>17</v>
      </c>
      <c r="AX19" s="11" t="s">
        <v>41</v>
      </c>
      <c r="AY19" s="11" t="s">
        <v>41</v>
      </c>
      <c r="AZ19" s="11" t="s">
        <v>20</v>
      </c>
      <c r="BA19" s="13">
        <v>42320</v>
      </c>
      <c r="BB19" s="13">
        <v>42331</v>
      </c>
      <c r="BC19" s="11" t="s">
        <v>17</v>
      </c>
      <c r="BD19" s="11" t="s">
        <v>41</v>
      </c>
      <c r="BE19" s="11" t="s">
        <v>41</v>
      </c>
      <c r="BF19" s="11" t="s">
        <v>20</v>
      </c>
      <c r="BG19" s="13" t="s">
        <v>588</v>
      </c>
      <c r="BH19" s="13" t="s">
        <v>588</v>
      </c>
      <c r="BI19" s="11" t="s">
        <v>588</v>
      </c>
      <c r="BJ19" s="11" t="s">
        <v>588</v>
      </c>
      <c r="BK19" s="11" t="s">
        <v>588</v>
      </c>
      <c r="BL19" s="11" t="s">
        <v>588</v>
      </c>
      <c r="BM19" s="11">
        <v>12</v>
      </c>
      <c r="BN19" s="11">
        <v>11</v>
      </c>
      <c r="BO19" s="11" t="s">
        <v>8</v>
      </c>
      <c r="BP19" s="11">
        <v>1</v>
      </c>
      <c r="BQ19" s="13">
        <v>42352</v>
      </c>
      <c r="BR19" s="11" t="s">
        <v>7</v>
      </c>
      <c r="BS19" s="11" t="s">
        <v>8</v>
      </c>
      <c r="BT19" s="11" t="s">
        <v>120</v>
      </c>
      <c r="BU19" s="11" t="s">
        <v>120</v>
      </c>
      <c r="BV19" s="11" t="s">
        <v>8</v>
      </c>
      <c r="BW19" s="11" t="s">
        <v>136</v>
      </c>
      <c r="BX19" s="11" t="s">
        <v>136</v>
      </c>
      <c r="BY19" s="11" t="s">
        <v>588</v>
      </c>
      <c r="BZ19" s="11" t="s">
        <v>588</v>
      </c>
    </row>
    <row r="20" spans="1:78" x14ac:dyDescent="0.25">
      <c r="A20" s="11">
        <v>201516</v>
      </c>
      <c r="B20" s="11" t="s">
        <v>586</v>
      </c>
      <c r="C20" t="s">
        <v>301</v>
      </c>
      <c r="D20" s="11" t="s">
        <v>2000</v>
      </c>
      <c r="E20" s="11" t="s">
        <v>16</v>
      </c>
      <c r="F20" s="11">
        <v>1</v>
      </c>
      <c r="G20" s="11" t="str">
        <f t="shared" si="0"/>
        <v>201516_Trestle Bridge Beach East_1</v>
      </c>
      <c r="H20" s="11" t="s">
        <v>1982</v>
      </c>
      <c r="I20" s="13">
        <v>42287</v>
      </c>
      <c r="J20" s="11">
        <f t="shared" si="1"/>
        <v>10</v>
      </c>
      <c r="K20" s="11">
        <f t="shared" si="2"/>
        <v>10</v>
      </c>
      <c r="L20" s="11">
        <f t="shared" si="3"/>
        <v>2015</v>
      </c>
      <c r="M20" s="11" t="str">
        <f t="shared" si="4"/>
        <v>10102015</v>
      </c>
      <c r="N20" s="11" t="s">
        <v>29</v>
      </c>
      <c r="O20" s="11" t="s">
        <v>36</v>
      </c>
      <c r="P20" s="11">
        <v>-38.55688</v>
      </c>
      <c r="Q20" s="11">
        <v>145.48589999999999</v>
      </c>
      <c r="R20" s="11" t="s">
        <v>588</v>
      </c>
      <c r="S20" s="11" t="s">
        <v>588</v>
      </c>
      <c r="T20" s="11">
        <v>3</v>
      </c>
      <c r="U20" s="11">
        <v>3</v>
      </c>
      <c r="V20" s="11" t="s">
        <v>588</v>
      </c>
      <c r="W20" s="11" t="s">
        <v>588</v>
      </c>
      <c r="X20" s="11">
        <v>2</v>
      </c>
      <c r="Y20" s="11">
        <v>2</v>
      </c>
      <c r="Z20" s="11" t="s">
        <v>41</v>
      </c>
      <c r="AA20" s="13">
        <v>42287</v>
      </c>
      <c r="AB20" s="11">
        <f t="shared" si="5"/>
        <v>10</v>
      </c>
      <c r="AC20" s="11">
        <f t="shared" si="6"/>
        <v>10</v>
      </c>
      <c r="AD20" s="11">
        <f t="shared" si="7"/>
        <v>2015</v>
      </c>
      <c r="AE20" s="13" t="str">
        <f t="shared" si="8"/>
        <v>10102015</v>
      </c>
      <c r="AF20" s="11" t="s">
        <v>29</v>
      </c>
      <c r="AG20" s="13">
        <v>42296</v>
      </c>
      <c r="AH20" s="11">
        <v>19</v>
      </c>
      <c r="AI20" s="11">
        <v>10</v>
      </c>
      <c r="AJ20" s="11">
        <v>2015</v>
      </c>
      <c r="AK20" s="13" t="s">
        <v>2026</v>
      </c>
      <c r="AL20" s="11" t="s">
        <v>29</v>
      </c>
      <c r="AM20" s="13" t="s">
        <v>41</v>
      </c>
      <c r="AN20" s="11" t="s">
        <v>8</v>
      </c>
      <c r="AO20" s="11" t="s">
        <v>32</v>
      </c>
      <c r="AP20" s="11" t="s">
        <v>588</v>
      </c>
      <c r="AQ20" s="11" t="s">
        <v>588</v>
      </c>
      <c r="AR20" s="11" t="s">
        <v>588</v>
      </c>
      <c r="AS20" s="11" t="s">
        <v>588</v>
      </c>
      <c r="AT20" s="11" t="s">
        <v>588</v>
      </c>
      <c r="AU20" s="11" t="s">
        <v>588</v>
      </c>
      <c r="AV20" s="13" t="s">
        <v>588</v>
      </c>
      <c r="AW20" s="11" t="s">
        <v>588</v>
      </c>
      <c r="AX20" s="11" t="s">
        <v>588</v>
      </c>
      <c r="AY20" s="11" t="s">
        <v>588</v>
      </c>
      <c r="AZ20" s="11" t="s">
        <v>588</v>
      </c>
      <c r="BA20" s="11" t="s">
        <v>588</v>
      </c>
      <c r="BB20" s="13" t="s">
        <v>588</v>
      </c>
      <c r="BC20" s="11" t="s">
        <v>588</v>
      </c>
      <c r="BD20" s="11" t="s">
        <v>588</v>
      </c>
      <c r="BE20" s="11" t="s">
        <v>588</v>
      </c>
      <c r="BF20" s="11" t="s">
        <v>588</v>
      </c>
      <c r="BG20" s="13" t="s">
        <v>588</v>
      </c>
      <c r="BH20" s="13" t="s">
        <v>588</v>
      </c>
      <c r="BI20" s="11" t="s">
        <v>588</v>
      </c>
      <c r="BJ20" s="11" t="s">
        <v>588</v>
      </c>
      <c r="BK20" s="11" t="s">
        <v>588</v>
      </c>
      <c r="BL20" s="11" t="s">
        <v>588</v>
      </c>
      <c r="BM20" s="11" t="s">
        <v>588</v>
      </c>
      <c r="BN20" s="11" t="s">
        <v>588</v>
      </c>
      <c r="BO20" s="11" t="s">
        <v>588</v>
      </c>
      <c r="BP20" s="11" t="s">
        <v>588</v>
      </c>
      <c r="BQ20" s="13" t="s">
        <v>588</v>
      </c>
      <c r="BR20" s="11" t="s">
        <v>588</v>
      </c>
      <c r="BS20" s="11" t="s">
        <v>8</v>
      </c>
      <c r="BT20" s="11" t="s">
        <v>123</v>
      </c>
      <c r="BU20" s="11" t="s">
        <v>123</v>
      </c>
      <c r="BV20" s="11" t="s">
        <v>588</v>
      </c>
      <c r="BW20" s="11" t="s">
        <v>588</v>
      </c>
      <c r="BX20" s="11" t="s">
        <v>588</v>
      </c>
      <c r="BY20" s="11" t="s">
        <v>588</v>
      </c>
      <c r="BZ20" s="11" t="s">
        <v>588</v>
      </c>
    </row>
    <row r="21" spans="1:78" x14ac:dyDescent="0.25">
      <c r="A21" s="11">
        <v>201516</v>
      </c>
      <c r="B21" s="11" t="s">
        <v>586</v>
      </c>
      <c r="C21" t="s">
        <v>301</v>
      </c>
      <c r="D21" s="11" t="s">
        <v>2000</v>
      </c>
      <c r="E21" s="11" t="s">
        <v>16</v>
      </c>
      <c r="F21" s="11">
        <v>2</v>
      </c>
      <c r="G21" s="11" t="str">
        <f t="shared" si="0"/>
        <v>201516_Trestle Bridge Beach East_2</v>
      </c>
      <c r="H21" s="11" t="s">
        <v>1984</v>
      </c>
      <c r="I21" s="13">
        <v>42320</v>
      </c>
      <c r="J21" s="11">
        <f t="shared" si="1"/>
        <v>12</v>
      </c>
      <c r="K21" s="11">
        <f t="shared" si="2"/>
        <v>11</v>
      </c>
      <c r="L21" s="11">
        <f t="shared" si="3"/>
        <v>2015</v>
      </c>
      <c r="M21" s="11" t="str">
        <f t="shared" si="4"/>
        <v>12112015</v>
      </c>
      <c r="N21" s="11" t="s">
        <v>17</v>
      </c>
      <c r="O21" s="11" t="s">
        <v>10</v>
      </c>
      <c r="P21" s="11" t="s">
        <v>588</v>
      </c>
      <c r="Q21" s="11" t="s">
        <v>588</v>
      </c>
      <c r="R21" s="11" t="s">
        <v>588</v>
      </c>
      <c r="S21" s="11" t="s">
        <v>588</v>
      </c>
      <c r="T21" s="11">
        <v>3</v>
      </c>
      <c r="U21" s="11">
        <v>3</v>
      </c>
      <c r="V21" s="11" t="s">
        <v>588</v>
      </c>
      <c r="W21" s="11" t="s">
        <v>588</v>
      </c>
      <c r="X21" s="11">
        <v>2</v>
      </c>
      <c r="Y21" s="11">
        <v>2</v>
      </c>
      <c r="Z21" s="11" t="s">
        <v>41</v>
      </c>
      <c r="AA21" s="13">
        <v>42320</v>
      </c>
      <c r="AB21" s="11">
        <f t="shared" si="5"/>
        <v>12</v>
      </c>
      <c r="AC21" s="11">
        <f t="shared" si="6"/>
        <v>11</v>
      </c>
      <c r="AD21" s="11">
        <f t="shared" si="7"/>
        <v>2015</v>
      </c>
      <c r="AE21" s="13" t="str">
        <f t="shared" si="8"/>
        <v>12112015</v>
      </c>
      <c r="AF21" s="11" t="s">
        <v>17</v>
      </c>
      <c r="AG21" s="13">
        <v>42328</v>
      </c>
      <c r="AH21" s="11">
        <v>20</v>
      </c>
      <c r="AI21" s="11">
        <v>11</v>
      </c>
      <c r="AJ21" s="11">
        <v>2015</v>
      </c>
      <c r="AK21" s="13" t="s">
        <v>2022</v>
      </c>
      <c r="AL21" s="11" t="s">
        <v>17</v>
      </c>
      <c r="AM21" s="13" t="s">
        <v>41</v>
      </c>
      <c r="AN21" s="11" t="s">
        <v>8</v>
      </c>
      <c r="AO21" s="11" t="s">
        <v>11</v>
      </c>
      <c r="AP21" s="11" t="s">
        <v>588</v>
      </c>
      <c r="AQ21" s="11" t="s">
        <v>588</v>
      </c>
      <c r="AR21" s="11" t="s">
        <v>588</v>
      </c>
      <c r="AS21" s="11" t="s">
        <v>588</v>
      </c>
      <c r="AT21" s="11" t="s">
        <v>588</v>
      </c>
      <c r="AU21" s="11" t="s">
        <v>588</v>
      </c>
      <c r="AV21" s="13" t="s">
        <v>588</v>
      </c>
      <c r="AW21" s="11" t="s">
        <v>588</v>
      </c>
      <c r="AX21" s="11" t="s">
        <v>588</v>
      </c>
      <c r="AY21" s="11" t="s">
        <v>588</v>
      </c>
      <c r="AZ21" s="11" t="s">
        <v>588</v>
      </c>
      <c r="BA21" s="11" t="s">
        <v>588</v>
      </c>
      <c r="BB21" s="13" t="s">
        <v>588</v>
      </c>
      <c r="BC21" s="11" t="s">
        <v>588</v>
      </c>
      <c r="BD21" s="11" t="s">
        <v>588</v>
      </c>
      <c r="BE21" s="11" t="s">
        <v>588</v>
      </c>
      <c r="BF21" s="11" t="s">
        <v>588</v>
      </c>
      <c r="BG21" s="13" t="s">
        <v>588</v>
      </c>
      <c r="BH21" s="13" t="s">
        <v>588</v>
      </c>
      <c r="BI21" s="11" t="s">
        <v>588</v>
      </c>
      <c r="BJ21" s="11" t="s">
        <v>588</v>
      </c>
      <c r="BK21" s="11" t="s">
        <v>588</v>
      </c>
      <c r="BL21" s="11" t="s">
        <v>588</v>
      </c>
      <c r="BM21" s="11" t="s">
        <v>588</v>
      </c>
      <c r="BN21" s="11" t="s">
        <v>588</v>
      </c>
      <c r="BO21" s="11" t="s">
        <v>588</v>
      </c>
      <c r="BP21" s="11" t="s">
        <v>588</v>
      </c>
      <c r="BQ21" s="13" t="s">
        <v>588</v>
      </c>
      <c r="BR21" s="11" t="s">
        <v>588</v>
      </c>
      <c r="BS21" s="11" t="s">
        <v>8</v>
      </c>
      <c r="BT21" s="11" t="s">
        <v>123</v>
      </c>
      <c r="BU21" s="11" t="s">
        <v>123</v>
      </c>
      <c r="BV21" s="11" t="s">
        <v>588</v>
      </c>
      <c r="BW21" s="11" t="s">
        <v>588</v>
      </c>
      <c r="BX21" s="11" t="s">
        <v>588</v>
      </c>
      <c r="BY21" s="11" t="s">
        <v>588</v>
      </c>
      <c r="BZ21" s="11" t="s">
        <v>588</v>
      </c>
    </row>
    <row r="22" spans="1:78" x14ac:dyDescent="0.25">
      <c r="A22" s="11">
        <v>201516</v>
      </c>
      <c r="B22" s="11" t="s">
        <v>586</v>
      </c>
      <c r="C22" t="s">
        <v>301</v>
      </c>
      <c r="D22" s="11" t="s">
        <v>2000</v>
      </c>
      <c r="E22" s="11" t="s">
        <v>16</v>
      </c>
      <c r="F22" s="11">
        <v>3</v>
      </c>
      <c r="G22" s="11" t="str">
        <f t="shared" si="0"/>
        <v>201516_Trestle Bridge Beach East_3</v>
      </c>
      <c r="H22" s="11" t="s">
        <v>1985</v>
      </c>
      <c r="I22" s="13">
        <v>42356</v>
      </c>
      <c r="J22" s="11">
        <f t="shared" si="1"/>
        <v>18</v>
      </c>
      <c r="K22" s="11">
        <f t="shared" si="2"/>
        <v>12</v>
      </c>
      <c r="L22" s="11">
        <f t="shared" si="3"/>
        <v>2015</v>
      </c>
      <c r="M22" s="11" t="str">
        <f t="shared" si="4"/>
        <v>18122015</v>
      </c>
      <c r="N22" s="11" t="s">
        <v>7</v>
      </c>
      <c r="O22" s="11" t="s">
        <v>10</v>
      </c>
      <c r="P22" s="11" t="s">
        <v>588</v>
      </c>
      <c r="Q22" s="11" t="s">
        <v>588</v>
      </c>
      <c r="R22" s="11" t="s">
        <v>588</v>
      </c>
      <c r="S22" s="11" t="s">
        <v>588</v>
      </c>
      <c r="T22" s="11">
        <v>3</v>
      </c>
      <c r="U22" s="11">
        <v>3</v>
      </c>
      <c r="V22" s="13">
        <v>42358</v>
      </c>
      <c r="W22" s="11" t="s">
        <v>223</v>
      </c>
      <c r="X22" s="11">
        <v>5</v>
      </c>
      <c r="Y22" s="11">
        <v>5</v>
      </c>
      <c r="Z22" s="11" t="s">
        <v>41</v>
      </c>
      <c r="AA22" s="13">
        <v>42381</v>
      </c>
      <c r="AB22" s="11">
        <f t="shared" si="5"/>
        <v>12</v>
      </c>
      <c r="AC22" s="11">
        <f t="shared" si="6"/>
        <v>1</v>
      </c>
      <c r="AD22" s="11">
        <f t="shared" si="7"/>
        <v>2016</v>
      </c>
      <c r="AE22" s="13" t="str">
        <f t="shared" si="8"/>
        <v>12012016</v>
      </c>
      <c r="AF22" s="11" t="s">
        <v>12</v>
      </c>
      <c r="AG22" s="13">
        <v>42384</v>
      </c>
      <c r="AH22" s="11">
        <v>15</v>
      </c>
      <c r="AI22" s="11">
        <v>1</v>
      </c>
      <c r="AJ22" s="11">
        <v>2016</v>
      </c>
      <c r="AK22" s="13" t="s">
        <v>2020</v>
      </c>
      <c r="AL22" s="11" t="s">
        <v>12</v>
      </c>
      <c r="AM22" s="13" t="s">
        <v>41</v>
      </c>
      <c r="AN22" s="11" t="s">
        <v>8</v>
      </c>
      <c r="AO22" s="11" t="s">
        <v>11</v>
      </c>
      <c r="AP22" s="11" t="s">
        <v>588</v>
      </c>
      <c r="AQ22" s="11" t="s">
        <v>588</v>
      </c>
      <c r="AR22" s="11" t="s">
        <v>588</v>
      </c>
      <c r="AS22" s="11" t="s">
        <v>588</v>
      </c>
      <c r="AT22" s="11" t="s">
        <v>588</v>
      </c>
      <c r="AU22" s="11" t="s">
        <v>588</v>
      </c>
      <c r="AV22" s="13" t="s">
        <v>588</v>
      </c>
      <c r="AW22" s="11" t="s">
        <v>588</v>
      </c>
      <c r="AX22" s="11" t="s">
        <v>588</v>
      </c>
      <c r="AY22" s="11" t="s">
        <v>588</v>
      </c>
      <c r="AZ22" s="11" t="s">
        <v>588</v>
      </c>
      <c r="BA22" s="11" t="s">
        <v>588</v>
      </c>
      <c r="BB22" s="13" t="s">
        <v>588</v>
      </c>
      <c r="BC22" s="11" t="s">
        <v>588</v>
      </c>
      <c r="BD22" s="11" t="s">
        <v>588</v>
      </c>
      <c r="BE22" s="11" t="s">
        <v>588</v>
      </c>
      <c r="BF22" s="11" t="s">
        <v>588</v>
      </c>
      <c r="BG22" s="13" t="s">
        <v>588</v>
      </c>
      <c r="BH22" s="13" t="s">
        <v>588</v>
      </c>
      <c r="BI22" s="11" t="s">
        <v>588</v>
      </c>
      <c r="BJ22" s="11" t="s">
        <v>588</v>
      </c>
      <c r="BK22" s="11" t="s">
        <v>588</v>
      </c>
      <c r="BL22" s="11" t="s">
        <v>588</v>
      </c>
      <c r="BM22" s="11" t="s">
        <v>588</v>
      </c>
      <c r="BN22" s="11" t="s">
        <v>588</v>
      </c>
      <c r="BO22" s="11" t="s">
        <v>588</v>
      </c>
      <c r="BP22" s="11" t="s">
        <v>588</v>
      </c>
      <c r="BQ22" s="13" t="s">
        <v>588</v>
      </c>
      <c r="BR22" s="11" t="s">
        <v>588</v>
      </c>
      <c r="BS22" s="11" t="s">
        <v>8</v>
      </c>
      <c r="BT22" s="11" t="s">
        <v>120</v>
      </c>
      <c r="BU22" s="11" t="s">
        <v>120</v>
      </c>
      <c r="BV22" s="11" t="s">
        <v>588</v>
      </c>
      <c r="BW22" s="11" t="s">
        <v>588</v>
      </c>
      <c r="BX22" s="11" t="s">
        <v>588</v>
      </c>
      <c r="BY22" s="11" t="s">
        <v>588</v>
      </c>
      <c r="BZ22" s="11" t="s">
        <v>588</v>
      </c>
    </row>
    <row r="23" spans="1:78" x14ac:dyDescent="0.25">
      <c r="A23" s="11">
        <v>201516</v>
      </c>
      <c r="B23" s="11" t="s">
        <v>586</v>
      </c>
      <c r="C23" t="s">
        <v>301</v>
      </c>
      <c r="D23" s="11" t="s">
        <v>2000</v>
      </c>
      <c r="E23" s="11" t="s">
        <v>16</v>
      </c>
      <c r="F23" s="11">
        <v>4</v>
      </c>
      <c r="G23" s="11" t="str">
        <f t="shared" si="0"/>
        <v>201516_Trestle Bridge Beach East_4</v>
      </c>
      <c r="H23" s="11" t="s">
        <v>2091</v>
      </c>
      <c r="I23" s="13">
        <v>42400</v>
      </c>
      <c r="J23" s="11">
        <f t="shared" si="1"/>
        <v>31</v>
      </c>
      <c r="K23" s="11">
        <f t="shared" si="2"/>
        <v>1</v>
      </c>
      <c r="L23" s="11">
        <f t="shared" si="3"/>
        <v>2016</v>
      </c>
      <c r="M23" s="11" t="str">
        <f t="shared" si="4"/>
        <v>31012016</v>
      </c>
      <c r="N23" s="11" t="s">
        <v>12</v>
      </c>
      <c r="O23" s="11" t="s">
        <v>10</v>
      </c>
      <c r="P23" s="11">
        <v>-38.557873000000001</v>
      </c>
      <c r="Q23" s="11">
        <v>145.48667900000001</v>
      </c>
      <c r="R23" s="11" t="s">
        <v>588</v>
      </c>
      <c r="S23" s="11" t="s">
        <v>588</v>
      </c>
      <c r="T23" s="11">
        <v>3</v>
      </c>
      <c r="U23" s="11">
        <v>3</v>
      </c>
      <c r="V23" s="11" t="s">
        <v>588</v>
      </c>
      <c r="W23" s="11" t="s">
        <v>588</v>
      </c>
      <c r="X23" s="11">
        <v>3</v>
      </c>
      <c r="Y23" s="11">
        <v>3</v>
      </c>
      <c r="Z23" s="11" t="s">
        <v>41</v>
      </c>
      <c r="AA23" s="13">
        <v>42405</v>
      </c>
      <c r="AB23" s="11">
        <f t="shared" si="5"/>
        <v>5</v>
      </c>
      <c r="AC23" s="11">
        <f t="shared" si="6"/>
        <v>2</v>
      </c>
      <c r="AD23" s="11">
        <f t="shared" si="7"/>
        <v>2016</v>
      </c>
      <c r="AE23" s="13" t="str">
        <f t="shared" si="8"/>
        <v>05022016</v>
      </c>
      <c r="AF23" s="11" t="s">
        <v>21</v>
      </c>
      <c r="AG23" s="13">
        <v>42418</v>
      </c>
      <c r="AH23" s="11">
        <v>18</v>
      </c>
      <c r="AI23" s="11">
        <v>2</v>
      </c>
      <c r="AJ23" s="11">
        <v>2016</v>
      </c>
      <c r="AK23" s="13" t="s">
        <v>2027</v>
      </c>
      <c r="AL23" s="11" t="s">
        <v>21</v>
      </c>
      <c r="AM23" s="13" t="s">
        <v>41</v>
      </c>
      <c r="AN23" s="11" t="s">
        <v>8</v>
      </c>
      <c r="AO23" s="11" t="s">
        <v>32</v>
      </c>
      <c r="AP23" s="11" t="s">
        <v>588</v>
      </c>
      <c r="AQ23" s="11" t="s">
        <v>588</v>
      </c>
      <c r="AR23" s="11" t="s">
        <v>588</v>
      </c>
      <c r="AS23" s="11" t="s">
        <v>588</v>
      </c>
      <c r="AT23" s="11" t="s">
        <v>588</v>
      </c>
      <c r="AU23" s="11" t="s">
        <v>588</v>
      </c>
      <c r="AV23" s="13" t="s">
        <v>588</v>
      </c>
      <c r="AW23" s="11" t="s">
        <v>588</v>
      </c>
      <c r="AX23" s="11" t="s">
        <v>588</v>
      </c>
      <c r="AY23" s="11" t="s">
        <v>588</v>
      </c>
      <c r="AZ23" s="11" t="s">
        <v>588</v>
      </c>
      <c r="BA23" s="11" t="s">
        <v>588</v>
      </c>
      <c r="BB23" s="13" t="s">
        <v>588</v>
      </c>
      <c r="BC23" s="11" t="s">
        <v>588</v>
      </c>
      <c r="BD23" s="11" t="s">
        <v>588</v>
      </c>
      <c r="BE23" s="11" t="s">
        <v>588</v>
      </c>
      <c r="BF23" s="11" t="s">
        <v>588</v>
      </c>
      <c r="BG23" s="13" t="s">
        <v>588</v>
      </c>
      <c r="BH23" s="13" t="s">
        <v>588</v>
      </c>
      <c r="BI23" s="11" t="s">
        <v>588</v>
      </c>
      <c r="BJ23" s="11" t="s">
        <v>588</v>
      </c>
      <c r="BK23" s="11" t="s">
        <v>588</v>
      </c>
      <c r="BL23" s="11" t="s">
        <v>588</v>
      </c>
      <c r="BM23" s="11" t="s">
        <v>588</v>
      </c>
      <c r="BN23" s="11" t="s">
        <v>588</v>
      </c>
      <c r="BO23" s="11" t="s">
        <v>588</v>
      </c>
      <c r="BP23" s="11" t="s">
        <v>588</v>
      </c>
      <c r="BQ23" s="13" t="s">
        <v>588</v>
      </c>
      <c r="BR23" s="11" t="s">
        <v>588</v>
      </c>
      <c r="BS23" s="11" t="s">
        <v>8</v>
      </c>
      <c r="BT23" s="11" t="s">
        <v>120</v>
      </c>
      <c r="BU23" s="11" t="s">
        <v>120</v>
      </c>
      <c r="BV23" s="11" t="s">
        <v>588</v>
      </c>
      <c r="BW23" s="11" t="s">
        <v>588</v>
      </c>
      <c r="BX23" s="11" t="s">
        <v>588</v>
      </c>
      <c r="BY23" s="11" t="s">
        <v>588</v>
      </c>
      <c r="BZ23" s="11" t="s">
        <v>588</v>
      </c>
    </row>
    <row r="24" spans="1:78" x14ac:dyDescent="0.25">
      <c r="A24" s="11">
        <v>201516</v>
      </c>
      <c r="B24" s="11" t="s">
        <v>561</v>
      </c>
      <c r="C24" t="s">
        <v>561</v>
      </c>
      <c r="D24" s="11" t="s">
        <v>404</v>
      </c>
      <c r="E24" s="11" t="s">
        <v>248</v>
      </c>
      <c r="F24" s="11">
        <v>1</v>
      </c>
      <c r="G24" s="11" t="str">
        <f t="shared" si="0"/>
        <v>201516_Powlett River Mouth East Bank_1</v>
      </c>
      <c r="H24" s="11" t="s">
        <v>1890</v>
      </c>
      <c r="I24" s="13">
        <v>42328</v>
      </c>
      <c r="J24" s="11">
        <f t="shared" si="1"/>
        <v>20</v>
      </c>
      <c r="K24" s="11">
        <f t="shared" si="2"/>
        <v>11</v>
      </c>
      <c r="L24" s="11">
        <f t="shared" si="3"/>
        <v>2015</v>
      </c>
      <c r="M24" s="11" t="str">
        <f t="shared" si="4"/>
        <v>20112015</v>
      </c>
      <c r="N24" s="11" t="s">
        <v>17</v>
      </c>
      <c r="O24" s="11" t="s">
        <v>10</v>
      </c>
      <c r="P24" s="11" t="s">
        <v>588</v>
      </c>
      <c r="Q24" s="11" t="s">
        <v>588</v>
      </c>
      <c r="R24" s="11" t="s">
        <v>588</v>
      </c>
      <c r="S24" s="11" t="s">
        <v>588</v>
      </c>
      <c r="T24" s="11">
        <v>2</v>
      </c>
      <c r="U24" s="11">
        <v>3</v>
      </c>
      <c r="V24" s="13">
        <v>42334</v>
      </c>
      <c r="W24" s="11" t="s">
        <v>223</v>
      </c>
      <c r="X24" s="11">
        <v>3</v>
      </c>
      <c r="Y24" s="11">
        <v>3</v>
      </c>
      <c r="Z24" s="11" t="s">
        <v>41</v>
      </c>
      <c r="AA24" s="13">
        <v>42332</v>
      </c>
      <c r="AB24" s="11">
        <f t="shared" si="5"/>
        <v>24</v>
      </c>
      <c r="AC24" s="11">
        <f t="shared" si="6"/>
        <v>11</v>
      </c>
      <c r="AD24" s="11">
        <f t="shared" si="7"/>
        <v>2015</v>
      </c>
      <c r="AE24" s="13" t="str">
        <f t="shared" si="8"/>
        <v>24112015</v>
      </c>
      <c r="AF24" s="11" t="s">
        <v>17</v>
      </c>
      <c r="AG24" s="13">
        <v>42342</v>
      </c>
      <c r="AH24" s="11">
        <v>4</v>
      </c>
      <c r="AI24" s="11">
        <v>12</v>
      </c>
      <c r="AJ24" s="11">
        <v>2015</v>
      </c>
      <c r="AK24" s="13" t="s">
        <v>2017</v>
      </c>
      <c r="AL24" s="11" t="s">
        <v>7</v>
      </c>
      <c r="AM24" s="13" t="s">
        <v>41</v>
      </c>
      <c r="AN24" s="11" t="s">
        <v>8</v>
      </c>
      <c r="AO24" s="11" t="s">
        <v>11</v>
      </c>
      <c r="AP24" s="13" t="s">
        <v>588</v>
      </c>
      <c r="AQ24" s="11" t="s">
        <v>588</v>
      </c>
      <c r="AR24" s="11" t="s">
        <v>588</v>
      </c>
      <c r="AS24" s="11" t="s">
        <v>588</v>
      </c>
      <c r="AT24" s="11" t="s">
        <v>588</v>
      </c>
      <c r="AU24" s="13" t="s">
        <v>588</v>
      </c>
      <c r="AV24" s="13" t="s">
        <v>588</v>
      </c>
      <c r="AW24" s="11" t="s">
        <v>588</v>
      </c>
      <c r="AX24" s="11" t="s">
        <v>588</v>
      </c>
      <c r="AY24" s="11" t="s">
        <v>588</v>
      </c>
      <c r="AZ24" s="11" t="s">
        <v>588</v>
      </c>
      <c r="BA24" s="13" t="s">
        <v>588</v>
      </c>
      <c r="BB24" s="13" t="s">
        <v>588</v>
      </c>
      <c r="BC24" s="11" t="s">
        <v>588</v>
      </c>
      <c r="BD24" s="11" t="s">
        <v>588</v>
      </c>
      <c r="BE24" s="11" t="s">
        <v>588</v>
      </c>
      <c r="BF24" s="11" t="s">
        <v>588</v>
      </c>
      <c r="BG24" s="13" t="s">
        <v>588</v>
      </c>
      <c r="BH24" s="13" t="s">
        <v>588</v>
      </c>
      <c r="BI24" s="11" t="s">
        <v>588</v>
      </c>
      <c r="BJ24" s="11" t="s">
        <v>588</v>
      </c>
      <c r="BK24" s="11" t="s">
        <v>588</v>
      </c>
      <c r="BL24" s="11" t="s">
        <v>588</v>
      </c>
      <c r="BM24" s="11" t="s">
        <v>588</v>
      </c>
      <c r="BN24" s="11" t="s">
        <v>588</v>
      </c>
      <c r="BO24" s="11" t="s">
        <v>588</v>
      </c>
      <c r="BP24" s="11" t="s">
        <v>588</v>
      </c>
      <c r="BQ24" s="11" t="s">
        <v>588</v>
      </c>
      <c r="BR24" s="11" t="s">
        <v>588</v>
      </c>
      <c r="BS24" s="11" t="s">
        <v>8</v>
      </c>
      <c r="BT24" s="11" t="s">
        <v>120</v>
      </c>
      <c r="BU24" s="11" t="s">
        <v>120</v>
      </c>
      <c r="BV24" s="11" t="s">
        <v>588</v>
      </c>
      <c r="BW24" s="11" t="s">
        <v>588</v>
      </c>
      <c r="BX24" s="11" t="s">
        <v>588</v>
      </c>
      <c r="BY24" s="11" t="s">
        <v>588</v>
      </c>
      <c r="BZ24" s="11" t="s">
        <v>588</v>
      </c>
    </row>
    <row r="25" spans="1:78" x14ac:dyDescent="0.25">
      <c r="A25" s="11">
        <v>201516</v>
      </c>
      <c r="B25" s="11" t="s">
        <v>561</v>
      </c>
      <c r="C25" t="s">
        <v>561</v>
      </c>
      <c r="D25" s="11" t="s">
        <v>404</v>
      </c>
      <c r="E25" s="11" t="s">
        <v>248</v>
      </c>
      <c r="F25" s="11">
        <v>2</v>
      </c>
      <c r="G25" s="11" t="str">
        <f t="shared" si="0"/>
        <v>201516_Powlett River Mouth East Bank_2</v>
      </c>
      <c r="H25" s="11" t="s">
        <v>1891</v>
      </c>
      <c r="I25" s="13">
        <v>42352</v>
      </c>
      <c r="J25" s="11">
        <f t="shared" si="1"/>
        <v>14</v>
      </c>
      <c r="K25" s="11">
        <f t="shared" si="2"/>
        <v>12</v>
      </c>
      <c r="L25" s="11">
        <f t="shared" si="3"/>
        <v>2015</v>
      </c>
      <c r="M25" s="11" t="str">
        <f t="shared" si="4"/>
        <v>14122015</v>
      </c>
      <c r="N25" s="11" t="s">
        <v>7</v>
      </c>
      <c r="O25" s="11" t="s">
        <v>51</v>
      </c>
      <c r="P25" s="11">
        <v>-38.585909999999998</v>
      </c>
      <c r="Q25" s="11">
        <v>145.51398</v>
      </c>
      <c r="R25" s="11" t="s">
        <v>588</v>
      </c>
      <c r="S25" s="11" t="s">
        <v>588</v>
      </c>
      <c r="T25" s="11">
        <v>2</v>
      </c>
      <c r="U25" s="11">
        <v>2</v>
      </c>
      <c r="V25" s="13">
        <v>42354</v>
      </c>
      <c r="W25" s="11" t="s">
        <v>223</v>
      </c>
      <c r="X25" s="11">
        <v>3</v>
      </c>
      <c r="Y25" s="11">
        <v>3</v>
      </c>
      <c r="Z25" s="11" t="s">
        <v>41</v>
      </c>
      <c r="AA25" s="13">
        <v>42361</v>
      </c>
      <c r="AB25" s="11">
        <f t="shared" si="5"/>
        <v>23</v>
      </c>
      <c r="AC25" s="11">
        <f t="shared" si="6"/>
        <v>12</v>
      </c>
      <c r="AD25" s="11">
        <f t="shared" si="7"/>
        <v>2015</v>
      </c>
      <c r="AE25" s="13" t="str">
        <f t="shared" si="8"/>
        <v>23122015</v>
      </c>
      <c r="AF25" s="11" t="s">
        <v>7</v>
      </c>
      <c r="AG25" s="13">
        <v>42374</v>
      </c>
      <c r="AH25" s="11">
        <v>5</v>
      </c>
      <c r="AI25" s="11">
        <v>1</v>
      </c>
      <c r="AJ25" s="11">
        <v>2016</v>
      </c>
      <c r="AK25" s="13" t="s">
        <v>2019</v>
      </c>
      <c r="AL25" s="11" t="s">
        <v>12</v>
      </c>
      <c r="AM25" s="13" t="s">
        <v>41</v>
      </c>
      <c r="AN25" s="11" t="s">
        <v>41</v>
      </c>
      <c r="AO25" s="11" t="s">
        <v>20</v>
      </c>
      <c r="AP25" s="13" t="s">
        <v>588</v>
      </c>
      <c r="AQ25" s="11" t="s">
        <v>588</v>
      </c>
      <c r="AR25" s="11" t="s">
        <v>588</v>
      </c>
      <c r="AS25" s="11" t="s">
        <v>588</v>
      </c>
      <c r="AT25" s="11" t="s">
        <v>588</v>
      </c>
      <c r="AU25" s="13" t="s">
        <v>588</v>
      </c>
      <c r="AV25" s="13" t="s">
        <v>588</v>
      </c>
      <c r="AW25" s="11" t="s">
        <v>588</v>
      </c>
      <c r="AX25" s="11" t="s">
        <v>588</v>
      </c>
      <c r="AY25" s="11" t="s">
        <v>588</v>
      </c>
      <c r="AZ25" s="11" t="s">
        <v>588</v>
      </c>
      <c r="BA25" s="11" t="s">
        <v>588</v>
      </c>
      <c r="BB25" s="11" t="s">
        <v>588</v>
      </c>
      <c r="BC25" s="11" t="s">
        <v>588</v>
      </c>
      <c r="BD25" s="11" t="s">
        <v>588</v>
      </c>
      <c r="BE25" s="11" t="s">
        <v>588</v>
      </c>
      <c r="BF25" s="11" t="s">
        <v>588</v>
      </c>
      <c r="BG25" s="11" t="s">
        <v>588</v>
      </c>
      <c r="BH25" s="11" t="s">
        <v>588</v>
      </c>
      <c r="BI25" s="11" t="s">
        <v>588</v>
      </c>
      <c r="BJ25" s="11" t="s">
        <v>588</v>
      </c>
      <c r="BK25" s="11" t="s">
        <v>588</v>
      </c>
      <c r="BL25" s="11" t="s">
        <v>588</v>
      </c>
      <c r="BM25" s="11" t="s">
        <v>588</v>
      </c>
      <c r="BN25" s="11" t="s">
        <v>588</v>
      </c>
      <c r="BO25" s="11" t="s">
        <v>588</v>
      </c>
      <c r="BP25" s="11" t="s">
        <v>588</v>
      </c>
      <c r="BQ25" s="11" t="s">
        <v>588</v>
      </c>
      <c r="BR25" s="11" t="s">
        <v>588</v>
      </c>
      <c r="BS25" s="11" t="s">
        <v>8</v>
      </c>
      <c r="BT25" s="11" t="s">
        <v>120</v>
      </c>
      <c r="BU25" s="11" t="s">
        <v>120</v>
      </c>
      <c r="BV25" s="11" t="s">
        <v>588</v>
      </c>
      <c r="BW25" s="11" t="s">
        <v>588</v>
      </c>
      <c r="BX25" s="11" t="s">
        <v>588</v>
      </c>
      <c r="BY25" s="11" t="s">
        <v>588</v>
      </c>
      <c r="BZ25" s="11" t="s">
        <v>588</v>
      </c>
    </row>
    <row r="26" spans="1:78" x14ac:dyDescent="0.25">
      <c r="A26" s="11">
        <v>201516</v>
      </c>
      <c r="B26" s="11" t="s">
        <v>561</v>
      </c>
      <c r="C26" t="s">
        <v>561</v>
      </c>
      <c r="D26" s="11" t="s">
        <v>404</v>
      </c>
      <c r="E26" s="11" t="s">
        <v>248</v>
      </c>
      <c r="F26" s="11">
        <v>3</v>
      </c>
      <c r="G26" s="11" t="str">
        <f t="shared" si="0"/>
        <v>201516_Powlett River Mouth East Bank_3</v>
      </c>
      <c r="H26" s="11" t="s">
        <v>2092</v>
      </c>
      <c r="I26" s="13">
        <v>42380</v>
      </c>
      <c r="J26" s="11">
        <f t="shared" si="1"/>
        <v>11</v>
      </c>
      <c r="K26" s="11">
        <f t="shared" si="2"/>
        <v>1</v>
      </c>
      <c r="L26" s="11">
        <f t="shared" si="3"/>
        <v>2016</v>
      </c>
      <c r="M26" s="11" t="str">
        <f t="shared" si="4"/>
        <v>11012016</v>
      </c>
      <c r="N26" s="11" t="s">
        <v>12</v>
      </c>
      <c r="O26" s="11" t="s">
        <v>10</v>
      </c>
      <c r="P26" s="11">
        <v>-38.58764</v>
      </c>
      <c r="Q26" s="11">
        <v>145.51564999999999</v>
      </c>
      <c r="R26" s="11" t="s">
        <v>588</v>
      </c>
      <c r="S26" s="11" t="s">
        <v>588</v>
      </c>
      <c r="T26" s="11">
        <v>1</v>
      </c>
      <c r="U26" s="11">
        <v>3</v>
      </c>
      <c r="V26" s="11" t="s">
        <v>588</v>
      </c>
      <c r="W26" s="11" t="s">
        <v>588</v>
      </c>
      <c r="X26" s="11">
        <v>2</v>
      </c>
      <c r="Y26" s="11">
        <v>2</v>
      </c>
      <c r="Z26" s="11" t="s">
        <v>41</v>
      </c>
      <c r="AA26" s="13">
        <v>42380</v>
      </c>
      <c r="AB26" s="11">
        <f t="shared" si="5"/>
        <v>11</v>
      </c>
      <c r="AC26" s="11">
        <f t="shared" si="6"/>
        <v>1</v>
      </c>
      <c r="AD26" s="11">
        <f t="shared" si="7"/>
        <v>2016</v>
      </c>
      <c r="AE26" s="13" t="str">
        <f t="shared" si="8"/>
        <v>11012016</v>
      </c>
      <c r="AF26" s="11" t="s">
        <v>12</v>
      </c>
      <c r="AG26" s="13">
        <v>42384</v>
      </c>
      <c r="AH26" s="11">
        <v>15</v>
      </c>
      <c r="AI26" s="11">
        <v>1</v>
      </c>
      <c r="AJ26" s="11">
        <v>2016</v>
      </c>
      <c r="AK26" s="13" t="s">
        <v>2020</v>
      </c>
      <c r="AL26" s="11" t="s">
        <v>12</v>
      </c>
      <c r="AM26" s="13" t="s">
        <v>41</v>
      </c>
      <c r="AN26" s="11" t="s">
        <v>8</v>
      </c>
      <c r="AO26" s="11" t="s">
        <v>11</v>
      </c>
      <c r="AP26" s="13" t="s">
        <v>588</v>
      </c>
      <c r="AQ26" s="11" t="s">
        <v>588</v>
      </c>
      <c r="AR26" s="11" t="s">
        <v>588</v>
      </c>
      <c r="AS26" s="11" t="s">
        <v>588</v>
      </c>
      <c r="AT26" s="11" t="s">
        <v>588</v>
      </c>
      <c r="AU26" s="13" t="s">
        <v>588</v>
      </c>
      <c r="AV26" s="13" t="s">
        <v>588</v>
      </c>
      <c r="AW26" s="11" t="s">
        <v>588</v>
      </c>
      <c r="AX26" s="11" t="s">
        <v>588</v>
      </c>
      <c r="AY26" s="11" t="s">
        <v>588</v>
      </c>
      <c r="AZ26" s="11" t="s">
        <v>588</v>
      </c>
      <c r="BA26" s="13" t="s">
        <v>588</v>
      </c>
      <c r="BB26" s="13" t="s">
        <v>588</v>
      </c>
      <c r="BC26" s="11" t="s">
        <v>588</v>
      </c>
      <c r="BD26" s="11" t="s">
        <v>588</v>
      </c>
      <c r="BE26" s="11" t="s">
        <v>588</v>
      </c>
      <c r="BF26" s="11" t="s">
        <v>588</v>
      </c>
      <c r="BG26" s="13" t="s">
        <v>588</v>
      </c>
      <c r="BH26" s="13" t="s">
        <v>588</v>
      </c>
      <c r="BI26" s="11" t="s">
        <v>588</v>
      </c>
      <c r="BJ26" s="11" t="s">
        <v>588</v>
      </c>
      <c r="BK26" s="11" t="s">
        <v>588</v>
      </c>
      <c r="BL26" s="11" t="s">
        <v>588</v>
      </c>
      <c r="BM26" s="11" t="s">
        <v>588</v>
      </c>
      <c r="BN26" s="11" t="s">
        <v>588</v>
      </c>
      <c r="BO26" s="11" t="s">
        <v>588</v>
      </c>
      <c r="BP26" s="11" t="s">
        <v>588</v>
      </c>
      <c r="BQ26" s="11" t="s">
        <v>588</v>
      </c>
      <c r="BR26" s="11" t="s">
        <v>588</v>
      </c>
      <c r="BS26" s="11" t="s">
        <v>8</v>
      </c>
      <c r="BT26" s="11" t="s">
        <v>120</v>
      </c>
      <c r="BU26" s="11" t="s">
        <v>120</v>
      </c>
      <c r="BV26" s="11" t="s">
        <v>588</v>
      </c>
      <c r="BW26" s="11" t="s">
        <v>588</v>
      </c>
      <c r="BX26" s="11" t="s">
        <v>588</v>
      </c>
      <c r="BY26" s="11" t="s">
        <v>588</v>
      </c>
      <c r="BZ26" s="11" t="s">
        <v>588</v>
      </c>
    </row>
    <row r="27" spans="1:78" x14ac:dyDescent="0.25">
      <c r="A27" s="11">
        <v>201516</v>
      </c>
      <c r="B27" s="11" t="s">
        <v>308</v>
      </c>
      <c r="C27" t="s">
        <v>308</v>
      </c>
      <c r="D27" s="11" t="s">
        <v>1995</v>
      </c>
      <c r="E27" s="11" t="s">
        <v>16</v>
      </c>
      <c r="F27" s="11">
        <v>1</v>
      </c>
      <c r="G27" s="11" t="str">
        <f t="shared" si="0"/>
        <v>201516_Powlett River Mouth West Bank_1</v>
      </c>
      <c r="H27" s="11" t="s">
        <v>1892</v>
      </c>
      <c r="I27" s="13">
        <v>42258</v>
      </c>
      <c r="J27" s="11">
        <f t="shared" si="1"/>
        <v>11</v>
      </c>
      <c r="K27" s="11">
        <f t="shared" si="2"/>
        <v>9</v>
      </c>
      <c r="L27" s="11">
        <f t="shared" si="3"/>
        <v>2015</v>
      </c>
      <c r="M27" s="11" t="str">
        <f t="shared" si="4"/>
        <v>11092015</v>
      </c>
      <c r="N27" s="11" t="s">
        <v>28</v>
      </c>
      <c r="O27" s="11" t="s">
        <v>19</v>
      </c>
      <c r="P27" s="11">
        <v>-38.584350000000001</v>
      </c>
      <c r="Q27" s="11">
        <v>145.51047</v>
      </c>
      <c r="R27" s="11" t="s">
        <v>588</v>
      </c>
      <c r="S27" s="11" t="s">
        <v>588</v>
      </c>
      <c r="T27" s="11">
        <v>3</v>
      </c>
      <c r="U27" s="11">
        <v>3</v>
      </c>
      <c r="V27" s="11" t="s">
        <v>588</v>
      </c>
      <c r="W27" s="11" t="s">
        <v>588</v>
      </c>
      <c r="X27" s="11">
        <v>3</v>
      </c>
      <c r="Y27" s="11">
        <v>3</v>
      </c>
      <c r="Z27" s="11" t="s">
        <v>8</v>
      </c>
      <c r="AA27" s="13">
        <v>42272</v>
      </c>
      <c r="AB27" s="11">
        <f t="shared" si="5"/>
        <v>25</v>
      </c>
      <c r="AC27" s="11">
        <f t="shared" si="6"/>
        <v>9</v>
      </c>
      <c r="AD27" s="11">
        <f t="shared" si="7"/>
        <v>2015</v>
      </c>
      <c r="AE27" s="13" t="str">
        <f t="shared" si="8"/>
        <v>25092015</v>
      </c>
      <c r="AF27" s="11" t="s">
        <v>28</v>
      </c>
      <c r="AG27" s="11" t="s">
        <v>588</v>
      </c>
      <c r="AH27" s="11" t="s">
        <v>588</v>
      </c>
      <c r="AI27" s="11" t="s">
        <v>588</v>
      </c>
      <c r="AJ27" s="11" t="s">
        <v>588</v>
      </c>
      <c r="AK27" s="13" t="s">
        <v>588</v>
      </c>
      <c r="AL27" s="11" t="s">
        <v>588</v>
      </c>
      <c r="AM27" s="13" t="s">
        <v>588</v>
      </c>
      <c r="AN27" s="11" t="s">
        <v>588</v>
      </c>
      <c r="AO27" s="11" t="s">
        <v>588</v>
      </c>
      <c r="AP27" s="13">
        <v>42286</v>
      </c>
      <c r="AQ27" s="11" t="s">
        <v>29</v>
      </c>
      <c r="AR27" s="11" t="s">
        <v>194</v>
      </c>
      <c r="AS27" s="11">
        <v>3</v>
      </c>
      <c r="AT27" s="11">
        <v>3</v>
      </c>
      <c r="AU27" s="13">
        <v>42291</v>
      </c>
      <c r="AV27" s="13">
        <v>42293</v>
      </c>
      <c r="AW27" s="11" t="s">
        <v>29</v>
      </c>
      <c r="AX27" s="11" t="s">
        <v>41</v>
      </c>
      <c r="AY27" s="11" t="s">
        <v>41</v>
      </c>
      <c r="AZ27" s="11" t="s">
        <v>20</v>
      </c>
      <c r="BA27" s="13">
        <v>42300</v>
      </c>
      <c r="BB27" s="13">
        <v>42310</v>
      </c>
      <c r="BC27" s="11" t="s">
        <v>17</v>
      </c>
      <c r="BD27" s="11" t="s">
        <v>41</v>
      </c>
      <c r="BE27" s="11" t="s">
        <v>41</v>
      </c>
      <c r="BF27" s="11" t="s">
        <v>20</v>
      </c>
      <c r="BG27" s="11" t="s">
        <v>588</v>
      </c>
      <c r="BH27" s="11" t="s">
        <v>588</v>
      </c>
      <c r="BI27" s="11" t="s">
        <v>588</v>
      </c>
      <c r="BJ27" s="11" t="s">
        <v>588</v>
      </c>
      <c r="BK27" s="11" t="s">
        <v>588</v>
      </c>
      <c r="BL27" s="11" t="s">
        <v>588</v>
      </c>
      <c r="BM27" s="11">
        <v>8</v>
      </c>
      <c r="BN27" s="11">
        <v>8</v>
      </c>
      <c r="BO27" s="11" t="s">
        <v>8</v>
      </c>
      <c r="BP27" s="11">
        <v>1</v>
      </c>
      <c r="BQ27" s="13">
        <v>42324</v>
      </c>
      <c r="BR27" s="11" t="s">
        <v>17</v>
      </c>
      <c r="BS27" s="11" t="s">
        <v>8</v>
      </c>
      <c r="BT27" s="11" t="s">
        <v>120</v>
      </c>
      <c r="BU27" s="11" t="s">
        <v>120</v>
      </c>
      <c r="BV27" s="11" t="s">
        <v>8</v>
      </c>
      <c r="BW27" s="11" t="s">
        <v>120</v>
      </c>
      <c r="BX27" s="11" t="s">
        <v>120</v>
      </c>
      <c r="BY27" s="11" t="s">
        <v>588</v>
      </c>
      <c r="BZ27" s="11" t="s">
        <v>588</v>
      </c>
    </row>
    <row r="28" spans="1:78" x14ac:dyDescent="0.25">
      <c r="A28" s="11">
        <v>201516</v>
      </c>
      <c r="B28" s="11" t="s">
        <v>553</v>
      </c>
      <c r="C28" t="s">
        <v>553</v>
      </c>
      <c r="D28" s="11" t="s">
        <v>482</v>
      </c>
      <c r="E28" s="11" t="s">
        <v>16</v>
      </c>
      <c r="F28" s="11">
        <v>1</v>
      </c>
      <c r="G28" s="11" t="str">
        <f t="shared" si="0"/>
        <v>201516_Powlett River West A16 Eastward_1</v>
      </c>
      <c r="H28" s="11" t="s">
        <v>2093</v>
      </c>
      <c r="I28" s="13">
        <v>42289</v>
      </c>
      <c r="J28" s="11">
        <f t="shared" si="1"/>
        <v>12</v>
      </c>
      <c r="K28" s="11">
        <f t="shared" si="2"/>
        <v>10</v>
      </c>
      <c r="L28" s="11">
        <f t="shared" si="3"/>
        <v>2015</v>
      </c>
      <c r="M28" s="11" t="str">
        <f t="shared" si="4"/>
        <v>12102015</v>
      </c>
      <c r="N28" s="11" t="s">
        <v>29</v>
      </c>
      <c r="O28" s="11" t="s">
        <v>36</v>
      </c>
      <c r="P28" s="11">
        <v>-38.580939999999998</v>
      </c>
      <c r="Q28" s="11">
        <v>145.50982999999999</v>
      </c>
      <c r="R28" s="11" t="s">
        <v>588</v>
      </c>
      <c r="S28" s="11" t="s">
        <v>588</v>
      </c>
      <c r="T28" s="11">
        <v>3</v>
      </c>
      <c r="U28" s="11">
        <v>3</v>
      </c>
      <c r="V28" s="13">
        <v>42291</v>
      </c>
      <c r="W28" s="11" t="s">
        <v>223</v>
      </c>
      <c r="X28" s="11">
        <v>3</v>
      </c>
      <c r="Y28" s="11">
        <v>3</v>
      </c>
      <c r="Z28" s="11" t="s">
        <v>41</v>
      </c>
      <c r="AA28" s="13">
        <v>42293</v>
      </c>
      <c r="AB28" s="11">
        <f t="shared" si="5"/>
        <v>16</v>
      </c>
      <c r="AC28" s="11">
        <f t="shared" si="6"/>
        <v>10</v>
      </c>
      <c r="AD28" s="11">
        <f t="shared" si="7"/>
        <v>2015</v>
      </c>
      <c r="AE28" s="13" t="str">
        <f t="shared" si="8"/>
        <v>16102015</v>
      </c>
      <c r="AF28" s="11" t="s">
        <v>29</v>
      </c>
      <c r="AG28" s="13">
        <v>42300</v>
      </c>
      <c r="AH28" s="11">
        <v>23</v>
      </c>
      <c r="AI28" s="11">
        <v>10</v>
      </c>
      <c r="AJ28" s="11">
        <v>2015</v>
      </c>
      <c r="AK28" s="13" t="s">
        <v>2021</v>
      </c>
      <c r="AL28" s="11" t="s">
        <v>29</v>
      </c>
      <c r="AM28" s="13" t="s">
        <v>41</v>
      </c>
      <c r="AN28" s="11" t="s">
        <v>8</v>
      </c>
      <c r="AO28" s="11" t="s">
        <v>48</v>
      </c>
      <c r="AP28" s="13" t="s">
        <v>588</v>
      </c>
      <c r="AQ28" s="11" t="s">
        <v>588</v>
      </c>
      <c r="AR28" s="11" t="s">
        <v>588</v>
      </c>
      <c r="AS28" s="11" t="s">
        <v>588</v>
      </c>
      <c r="AT28" s="11" t="s">
        <v>588</v>
      </c>
      <c r="AU28" s="13" t="s">
        <v>588</v>
      </c>
      <c r="AV28" s="13" t="s">
        <v>588</v>
      </c>
      <c r="AW28" s="11" t="s">
        <v>588</v>
      </c>
      <c r="AX28" s="11" t="s">
        <v>588</v>
      </c>
      <c r="AY28" s="11" t="s">
        <v>588</v>
      </c>
      <c r="AZ28" s="11" t="s">
        <v>588</v>
      </c>
      <c r="BA28" s="13" t="s">
        <v>588</v>
      </c>
      <c r="BB28" s="13" t="s">
        <v>588</v>
      </c>
      <c r="BC28" s="11" t="s">
        <v>588</v>
      </c>
      <c r="BD28" s="11" t="s">
        <v>588</v>
      </c>
      <c r="BE28" s="11" t="s">
        <v>588</v>
      </c>
      <c r="BF28" s="11" t="s">
        <v>588</v>
      </c>
      <c r="BG28" s="13" t="s">
        <v>588</v>
      </c>
      <c r="BH28" s="13" t="s">
        <v>588</v>
      </c>
      <c r="BI28" s="11" t="s">
        <v>588</v>
      </c>
      <c r="BJ28" s="11" t="s">
        <v>588</v>
      </c>
      <c r="BK28" s="11" t="s">
        <v>588</v>
      </c>
      <c r="BL28" s="11" t="s">
        <v>588</v>
      </c>
      <c r="BM28" s="11" t="s">
        <v>588</v>
      </c>
      <c r="BN28" s="11" t="s">
        <v>588</v>
      </c>
      <c r="BO28" s="11" t="s">
        <v>588</v>
      </c>
      <c r="BP28" s="11" t="s">
        <v>588</v>
      </c>
      <c r="BQ28" s="11" t="s">
        <v>588</v>
      </c>
      <c r="BR28" s="11" t="s">
        <v>588</v>
      </c>
      <c r="BS28" s="11" t="s">
        <v>8</v>
      </c>
      <c r="BT28" s="11" t="s">
        <v>120</v>
      </c>
      <c r="BU28" s="11" t="s">
        <v>120</v>
      </c>
      <c r="BV28" s="11" t="s">
        <v>588</v>
      </c>
      <c r="BW28" s="11" t="s">
        <v>588</v>
      </c>
      <c r="BX28" s="11" t="s">
        <v>588</v>
      </c>
      <c r="BY28" s="11" t="s">
        <v>588</v>
      </c>
      <c r="BZ28" s="11" t="s">
        <v>588</v>
      </c>
    </row>
    <row r="29" spans="1:78" x14ac:dyDescent="0.25">
      <c r="A29" s="11">
        <v>201516</v>
      </c>
      <c r="B29" s="11" t="s">
        <v>553</v>
      </c>
      <c r="C29" t="s">
        <v>553</v>
      </c>
      <c r="D29" s="11" t="s">
        <v>482</v>
      </c>
      <c r="E29" s="11" t="s">
        <v>16</v>
      </c>
      <c r="F29" s="11">
        <v>2</v>
      </c>
      <c r="G29" s="11" t="str">
        <f t="shared" si="0"/>
        <v>201516_Powlett River West A16 Eastward_2</v>
      </c>
      <c r="H29" s="11" t="s">
        <v>2094</v>
      </c>
      <c r="I29" s="13">
        <v>42332</v>
      </c>
      <c r="J29" s="11">
        <f t="shared" si="1"/>
        <v>24</v>
      </c>
      <c r="K29" s="11">
        <f t="shared" si="2"/>
        <v>11</v>
      </c>
      <c r="L29" s="11">
        <f t="shared" si="3"/>
        <v>2015</v>
      </c>
      <c r="M29" s="11" t="str">
        <f t="shared" si="4"/>
        <v>24112015</v>
      </c>
      <c r="N29" s="11" t="s">
        <v>17</v>
      </c>
      <c r="O29" s="11" t="s">
        <v>10</v>
      </c>
      <c r="P29" s="11">
        <v>-38.575040000000001</v>
      </c>
      <c r="Q29" s="11">
        <v>145.50431</v>
      </c>
      <c r="R29" s="11" t="s">
        <v>588</v>
      </c>
      <c r="S29" s="11" t="s">
        <v>588</v>
      </c>
      <c r="T29" s="11">
        <v>3</v>
      </c>
      <c r="U29" s="11">
        <v>3</v>
      </c>
      <c r="V29" s="13">
        <v>42336</v>
      </c>
      <c r="W29" s="11" t="s">
        <v>223</v>
      </c>
      <c r="X29" s="11">
        <v>5</v>
      </c>
      <c r="Y29" s="11">
        <v>5</v>
      </c>
      <c r="Z29" s="11" t="s">
        <v>8</v>
      </c>
      <c r="AA29" s="13">
        <v>42362</v>
      </c>
      <c r="AB29" s="11">
        <f t="shared" si="5"/>
        <v>24</v>
      </c>
      <c r="AC29" s="11">
        <f t="shared" si="6"/>
        <v>12</v>
      </c>
      <c r="AD29" s="11">
        <f t="shared" si="7"/>
        <v>2015</v>
      </c>
      <c r="AE29" s="13" t="str">
        <f t="shared" si="8"/>
        <v>24122015</v>
      </c>
      <c r="AF29" s="11" t="s">
        <v>7</v>
      </c>
      <c r="AG29" s="11" t="s">
        <v>588</v>
      </c>
      <c r="AH29" s="11" t="s">
        <v>588</v>
      </c>
      <c r="AI29" s="11" t="s">
        <v>588</v>
      </c>
      <c r="AJ29" s="11" t="s">
        <v>588</v>
      </c>
      <c r="AK29" s="13" t="s">
        <v>588</v>
      </c>
      <c r="AL29" s="11" t="s">
        <v>588</v>
      </c>
      <c r="AM29" s="13" t="s">
        <v>588</v>
      </c>
      <c r="AN29" s="11" t="s">
        <v>588</v>
      </c>
      <c r="AO29" s="11" t="s">
        <v>588</v>
      </c>
      <c r="AP29" s="13">
        <v>42368</v>
      </c>
      <c r="AQ29" s="11" t="s">
        <v>7</v>
      </c>
      <c r="AR29" s="11" t="s">
        <v>195</v>
      </c>
      <c r="AS29" s="11">
        <v>3</v>
      </c>
      <c r="AT29" s="11">
        <v>3</v>
      </c>
      <c r="AU29" s="13">
        <v>42368</v>
      </c>
      <c r="AV29" s="13">
        <v>42374</v>
      </c>
      <c r="AW29" s="11" t="s">
        <v>12</v>
      </c>
      <c r="AX29" s="11" t="s">
        <v>41</v>
      </c>
      <c r="AY29" s="11" t="s">
        <v>41</v>
      </c>
      <c r="AZ29" s="11" t="s">
        <v>20</v>
      </c>
      <c r="BA29" s="13">
        <v>42374</v>
      </c>
      <c r="BB29" s="13">
        <v>42384</v>
      </c>
      <c r="BC29" s="11" t="s">
        <v>12</v>
      </c>
      <c r="BD29" s="11" t="s">
        <v>41</v>
      </c>
      <c r="BE29" s="11" t="s">
        <v>41</v>
      </c>
      <c r="BF29" s="11" t="s">
        <v>20</v>
      </c>
      <c r="BG29" s="11" t="s">
        <v>588</v>
      </c>
      <c r="BH29" s="11" t="s">
        <v>588</v>
      </c>
      <c r="BI29" s="11" t="s">
        <v>588</v>
      </c>
      <c r="BJ29" s="11" t="s">
        <v>588</v>
      </c>
      <c r="BK29" s="11" t="s">
        <v>588</v>
      </c>
      <c r="BL29" s="11" t="s">
        <v>588</v>
      </c>
      <c r="BM29" s="11">
        <v>6</v>
      </c>
      <c r="BN29" s="11">
        <v>6</v>
      </c>
      <c r="BO29" s="11" t="s">
        <v>8</v>
      </c>
      <c r="BP29" s="11">
        <v>1</v>
      </c>
      <c r="BQ29" s="13">
        <v>42401</v>
      </c>
      <c r="BR29" s="11" t="s">
        <v>21</v>
      </c>
      <c r="BS29" s="11" t="s">
        <v>8</v>
      </c>
      <c r="BT29" s="11" t="s">
        <v>120</v>
      </c>
      <c r="BU29" s="11" t="s">
        <v>120</v>
      </c>
      <c r="BV29" s="11" t="s">
        <v>8</v>
      </c>
      <c r="BW29" s="11" t="s">
        <v>120</v>
      </c>
      <c r="BX29" s="11" t="s">
        <v>120</v>
      </c>
      <c r="BY29" s="11" t="s">
        <v>588</v>
      </c>
      <c r="BZ29" s="11" t="s">
        <v>588</v>
      </c>
    </row>
    <row r="30" spans="1:78" x14ac:dyDescent="0.25">
      <c r="A30" s="11">
        <v>201516</v>
      </c>
      <c r="B30" s="11" t="s">
        <v>320</v>
      </c>
      <c r="C30" s="11" t="s">
        <v>320</v>
      </c>
      <c r="D30" s="11" t="s">
        <v>321</v>
      </c>
      <c r="E30" s="11" t="s">
        <v>16</v>
      </c>
      <c r="F30" s="11">
        <v>1</v>
      </c>
      <c r="G30" s="11" t="str">
        <f t="shared" si="0"/>
        <v>201516_Powlett River West A16 Further West_1</v>
      </c>
      <c r="H30" s="11" t="s">
        <v>1894</v>
      </c>
      <c r="I30" s="13">
        <v>42267</v>
      </c>
      <c r="J30" s="11">
        <f t="shared" si="1"/>
        <v>20</v>
      </c>
      <c r="K30" s="11">
        <f t="shared" si="2"/>
        <v>9</v>
      </c>
      <c r="L30" s="11">
        <f t="shared" si="3"/>
        <v>2015</v>
      </c>
      <c r="M30" s="11" t="str">
        <f t="shared" si="4"/>
        <v>20092015</v>
      </c>
      <c r="N30" s="11" t="s">
        <v>28</v>
      </c>
      <c r="O30" s="11" t="s">
        <v>36</v>
      </c>
      <c r="P30" s="11" t="s">
        <v>588</v>
      </c>
      <c r="Q30" s="11" t="s">
        <v>588</v>
      </c>
      <c r="R30" s="11" t="s">
        <v>588</v>
      </c>
      <c r="S30" s="11" t="s">
        <v>588</v>
      </c>
      <c r="T30" s="11">
        <v>3</v>
      </c>
      <c r="U30" s="11">
        <v>3</v>
      </c>
      <c r="V30" s="13">
        <v>42269</v>
      </c>
      <c r="W30" s="11" t="s">
        <v>223</v>
      </c>
      <c r="X30" s="11">
        <v>5</v>
      </c>
      <c r="Y30" s="11">
        <v>5</v>
      </c>
      <c r="Z30" s="11" t="s">
        <v>41</v>
      </c>
      <c r="AA30" s="13">
        <v>42286</v>
      </c>
      <c r="AB30" s="11">
        <f t="shared" si="5"/>
        <v>9</v>
      </c>
      <c r="AC30" s="11">
        <f t="shared" si="6"/>
        <v>10</v>
      </c>
      <c r="AD30" s="11">
        <f t="shared" si="7"/>
        <v>2015</v>
      </c>
      <c r="AE30" s="13" t="str">
        <f t="shared" si="8"/>
        <v>09102015</v>
      </c>
      <c r="AF30" s="11" t="s">
        <v>29</v>
      </c>
      <c r="AG30" s="13">
        <v>42300</v>
      </c>
      <c r="AH30" s="11">
        <v>23</v>
      </c>
      <c r="AI30" s="11">
        <v>10</v>
      </c>
      <c r="AJ30" s="11">
        <v>2015</v>
      </c>
      <c r="AK30" s="13" t="s">
        <v>2021</v>
      </c>
      <c r="AL30" s="11" t="s">
        <v>29</v>
      </c>
      <c r="AM30" s="13" t="s">
        <v>41</v>
      </c>
      <c r="AN30" s="11" t="s">
        <v>8</v>
      </c>
      <c r="AO30" s="11" t="s">
        <v>32</v>
      </c>
      <c r="AP30" s="13" t="s">
        <v>588</v>
      </c>
      <c r="AQ30" s="11" t="s">
        <v>588</v>
      </c>
      <c r="AR30" s="11" t="s">
        <v>588</v>
      </c>
      <c r="AS30" s="11" t="s">
        <v>588</v>
      </c>
      <c r="AT30" s="11" t="s">
        <v>588</v>
      </c>
      <c r="AU30" s="13" t="s">
        <v>588</v>
      </c>
      <c r="AV30" s="13" t="s">
        <v>588</v>
      </c>
      <c r="AW30" s="11" t="s">
        <v>588</v>
      </c>
      <c r="AX30" s="11" t="s">
        <v>588</v>
      </c>
      <c r="AY30" s="11" t="s">
        <v>588</v>
      </c>
      <c r="AZ30" s="11" t="s">
        <v>588</v>
      </c>
      <c r="BA30" s="13" t="s">
        <v>588</v>
      </c>
      <c r="BB30" s="13" t="s">
        <v>588</v>
      </c>
      <c r="BC30" s="11" t="s">
        <v>588</v>
      </c>
      <c r="BD30" s="11" t="s">
        <v>588</v>
      </c>
      <c r="BE30" s="11" t="s">
        <v>588</v>
      </c>
      <c r="BF30" s="11" t="s">
        <v>588</v>
      </c>
      <c r="BG30" s="13" t="s">
        <v>588</v>
      </c>
      <c r="BH30" s="13" t="s">
        <v>588</v>
      </c>
      <c r="BI30" s="11" t="s">
        <v>588</v>
      </c>
      <c r="BJ30" s="11" t="s">
        <v>588</v>
      </c>
      <c r="BK30" s="11" t="s">
        <v>588</v>
      </c>
      <c r="BL30" s="11" t="s">
        <v>588</v>
      </c>
      <c r="BM30" s="11" t="s">
        <v>588</v>
      </c>
      <c r="BN30" s="11" t="s">
        <v>588</v>
      </c>
      <c r="BO30" s="11" t="s">
        <v>588</v>
      </c>
      <c r="BP30" s="11" t="s">
        <v>588</v>
      </c>
      <c r="BQ30" s="11" t="s">
        <v>588</v>
      </c>
      <c r="BR30" s="11" t="s">
        <v>588</v>
      </c>
      <c r="BS30" s="11" t="s">
        <v>41</v>
      </c>
      <c r="BT30" s="11" t="s">
        <v>42</v>
      </c>
      <c r="BU30" s="11" t="s">
        <v>42</v>
      </c>
      <c r="BV30" s="11" t="s">
        <v>588</v>
      </c>
      <c r="BW30" s="11" t="s">
        <v>588</v>
      </c>
      <c r="BX30" s="11" t="s">
        <v>588</v>
      </c>
      <c r="BY30" s="11" t="s">
        <v>588</v>
      </c>
      <c r="BZ30" s="11" t="s">
        <v>588</v>
      </c>
    </row>
    <row r="31" spans="1:78" x14ac:dyDescent="0.25">
      <c r="A31" s="11">
        <v>201516</v>
      </c>
      <c r="B31" s="11" t="s">
        <v>320</v>
      </c>
      <c r="C31" s="11" t="s">
        <v>320</v>
      </c>
      <c r="D31" s="11" t="s">
        <v>321</v>
      </c>
      <c r="E31" s="11" t="s">
        <v>16</v>
      </c>
      <c r="F31" s="11">
        <v>2</v>
      </c>
      <c r="G31" s="11" t="str">
        <f t="shared" si="0"/>
        <v>201516_Powlett River West A16 Further West_2</v>
      </c>
      <c r="H31" s="11" t="s">
        <v>2095</v>
      </c>
      <c r="I31" s="13">
        <v>42310</v>
      </c>
      <c r="J31" s="11">
        <f t="shared" si="1"/>
        <v>2</v>
      </c>
      <c r="K31" s="11">
        <f t="shared" si="2"/>
        <v>11</v>
      </c>
      <c r="L31" s="11">
        <f t="shared" si="3"/>
        <v>2015</v>
      </c>
      <c r="M31" s="11" t="str">
        <f t="shared" si="4"/>
        <v>02112015</v>
      </c>
      <c r="N31" s="11" t="s">
        <v>17</v>
      </c>
      <c r="O31" s="11" t="s">
        <v>10</v>
      </c>
      <c r="P31" s="11">
        <v>-38.571820000000002</v>
      </c>
      <c r="Q31" s="11">
        <v>145.50147999999999</v>
      </c>
      <c r="R31" s="11" t="s">
        <v>588</v>
      </c>
      <c r="S31" s="11" t="s">
        <v>588</v>
      </c>
      <c r="T31" s="11">
        <v>3</v>
      </c>
      <c r="U31" s="11">
        <v>3</v>
      </c>
      <c r="V31" s="13">
        <v>42312</v>
      </c>
      <c r="W31" s="11" t="s">
        <v>223</v>
      </c>
      <c r="X31" s="11">
        <v>3</v>
      </c>
      <c r="Y31" s="11">
        <v>3</v>
      </c>
      <c r="Z31" s="11" t="s">
        <v>41</v>
      </c>
      <c r="AA31" s="13">
        <v>42316</v>
      </c>
      <c r="AB31" s="11">
        <f t="shared" si="5"/>
        <v>8</v>
      </c>
      <c r="AC31" s="11">
        <f t="shared" si="6"/>
        <v>11</v>
      </c>
      <c r="AD31" s="11">
        <f t="shared" si="7"/>
        <v>2015</v>
      </c>
      <c r="AE31" s="13" t="str">
        <f t="shared" si="8"/>
        <v>08112015</v>
      </c>
      <c r="AF31" s="11" t="s">
        <v>17</v>
      </c>
      <c r="AG31" s="13">
        <v>42324</v>
      </c>
      <c r="AH31" s="11">
        <v>16</v>
      </c>
      <c r="AI31" s="11">
        <v>11</v>
      </c>
      <c r="AJ31" s="11">
        <v>2015</v>
      </c>
      <c r="AK31" s="13" t="s">
        <v>2014</v>
      </c>
      <c r="AL31" s="11" t="s">
        <v>17</v>
      </c>
      <c r="AM31" s="13" t="s">
        <v>41</v>
      </c>
      <c r="AN31" s="11" t="s">
        <v>8</v>
      </c>
      <c r="AO31" s="11" t="s">
        <v>32</v>
      </c>
      <c r="AP31" s="13" t="s">
        <v>588</v>
      </c>
      <c r="AQ31" s="11" t="s">
        <v>588</v>
      </c>
      <c r="AR31" s="11" t="s">
        <v>588</v>
      </c>
      <c r="AS31" s="11" t="s">
        <v>588</v>
      </c>
      <c r="AT31" s="11" t="s">
        <v>588</v>
      </c>
      <c r="AU31" s="13" t="s">
        <v>588</v>
      </c>
      <c r="AV31" s="13" t="s">
        <v>588</v>
      </c>
      <c r="AW31" s="11" t="s">
        <v>588</v>
      </c>
      <c r="AX31" s="11" t="s">
        <v>588</v>
      </c>
      <c r="AY31" s="11" t="s">
        <v>588</v>
      </c>
      <c r="AZ31" s="11" t="s">
        <v>588</v>
      </c>
      <c r="BA31" s="13" t="s">
        <v>588</v>
      </c>
      <c r="BB31" s="13" t="s">
        <v>588</v>
      </c>
      <c r="BC31" s="11" t="s">
        <v>588</v>
      </c>
      <c r="BD31" s="11" t="s">
        <v>588</v>
      </c>
      <c r="BE31" s="11" t="s">
        <v>588</v>
      </c>
      <c r="BF31" s="11" t="s">
        <v>588</v>
      </c>
      <c r="BG31" s="11" t="s">
        <v>588</v>
      </c>
      <c r="BH31" s="11" t="s">
        <v>588</v>
      </c>
      <c r="BI31" s="11" t="s">
        <v>588</v>
      </c>
      <c r="BJ31" s="11" t="s">
        <v>588</v>
      </c>
      <c r="BK31" s="11" t="s">
        <v>588</v>
      </c>
      <c r="BL31" s="11" t="s">
        <v>588</v>
      </c>
      <c r="BM31" s="11" t="s">
        <v>588</v>
      </c>
      <c r="BN31" s="11" t="s">
        <v>588</v>
      </c>
      <c r="BO31" s="11" t="s">
        <v>588</v>
      </c>
      <c r="BP31" s="11" t="s">
        <v>588</v>
      </c>
      <c r="BQ31" s="13" t="s">
        <v>588</v>
      </c>
      <c r="BR31" s="11" t="s">
        <v>588</v>
      </c>
      <c r="BS31" s="11" t="s">
        <v>41</v>
      </c>
      <c r="BT31" s="11" t="s">
        <v>42</v>
      </c>
      <c r="BU31" s="11" t="s">
        <v>42</v>
      </c>
      <c r="BV31" s="11" t="s">
        <v>588</v>
      </c>
      <c r="BW31" s="11" t="s">
        <v>588</v>
      </c>
      <c r="BX31" s="11" t="s">
        <v>588</v>
      </c>
      <c r="BY31" s="11" t="s">
        <v>588</v>
      </c>
      <c r="BZ31" s="11" t="s">
        <v>588</v>
      </c>
    </row>
    <row r="32" spans="1:78" s="28" customFormat="1" x14ac:dyDescent="0.25">
      <c r="A32" s="11">
        <v>201516</v>
      </c>
      <c r="B32" s="11" t="s">
        <v>320</v>
      </c>
      <c r="C32" s="11" t="s">
        <v>320</v>
      </c>
      <c r="D32" s="11" t="s">
        <v>321</v>
      </c>
      <c r="E32" s="11" t="s">
        <v>388</v>
      </c>
      <c r="F32" s="11">
        <v>3</v>
      </c>
      <c r="G32" s="11" t="str">
        <f t="shared" si="0"/>
        <v>201516_Powlett River West A16 Further West_3</v>
      </c>
      <c r="H32" s="11" t="s">
        <v>2096</v>
      </c>
      <c r="I32" s="13">
        <v>42332</v>
      </c>
      <c r="J32" s="11">
        <f t="shared" si="1"/>
        <v>24</v>
      </c>
      <c r="K32" s="11">
        <f t="shared" si="2"/>
        <v>11</v>
      </c>
      <c r="L32" s="11">
        <f t="shared" si="3"/>
        <v>2015</v>
      </c>
      <c r="M32" s="11" t="str">
        <f t="shared" si="4"/>
        <v>24112015</v>
      </c>
      <c r="N32" s="11" t="s">
        <v>17</v>
      </c>
      <c r="O32" s="11" t="s">
        <v>10</v>
      </c>
      <c r="P32" s="11">
        <v>-38.572679999999998</v>
      </c>
      <c r="Q32" s="11">
        <v>145.50237999999999</v>
      </c>
      <c r="R32" s="11" t="s">
        <v>588</v>
      </c>
      <c r="S32" s="11" t="s">
        <v>588</v>
      </c>
      <c r="T32" s="11">
        <v>3</v>
      </c>
      <c r="U32" s="11">
        <v>3</v>
      </c>
      <c r="V32" s="11" t="s">
        <v>588</v>
      </c>
      <c r="W32" s="11" t="s">
        <v>588</v>
      </c>
      <c r="X32" s="11">
        <v>3</v>
      </c>
      <c r="Y32" s="11">
        <v>3</v>
      </c>
      <c r="Z32" s="11" t="s">
        <v>8</v>
      </c>
      <c r="AA32" s="13">
        <v>42349</v>
      </c>
      <c r="AB32" s="11">
        <f t="shared" si="5"/>
        <v>11</v>
      </c>
      <c r="AC32" s="11">
        <f t="shared" si="6"/>
        <v>12</v>
      </c>
      <c r="AD32" s="11">
        <f t="shared" si="7"/>
        <v>2015</v>
      </c>
      <c r="AE32" s="13" t="str">
        <f t="shared" si="8"/>
        <v>11122015</v>
      </c>
      <c r="AF32" s="11" t="s">
        <v>7</v>
      </c>
      <c r="AG32" s="11" t="s">
        <v>588</v>
      </c>
      <c r="AH32" s="11" t="s">
        <v>588</v>
      </c>
      <c r="AI32" s="11" t="s">
        <v>588</v>
      </c>
      <c r="AJ32" s="11" t="s">
        <v>588</v>
      </c>
      <c r="AK32" s="13" t="s">
        <v>588</v>
      </c>
      <c r="AL32" s="11" t="s">
        <v>588</v>
      </c>
      <c r="AM32" s="13" t="s">
        <v>588</v>
      </c>
      <c r="AN32" s="11" t="s">
        <v>588</v>
      </c>
      <c r="AO32" s="11" t="s">
        <v>588</v>
      </c>
      <c r="AP32" s="13">
        <v>42362</v>
      </c>
      <c r="AQ32" s="11" t="s">
        <v>7</v>
      </c>
      <c r="AR32" s="11" t="s">
        <v>195</v>
      </c>
      <c r="AS32" s="11">
        <v>1</v>
      </c>
      <c r="AT32" s="11">
        <v>2</v>
      </c>
      <c r="AU32" s="13" t="s">
        <v>588</v>
      </c>
      <c r="AV32" s="13" t="s">
        <v>588</v>
      </c>
      <c r="AW32" s="11" t="s">
        <v>588</v>
      </c>
      <c r="AX32" s="11" t="s">
        <v>588</v>
      </c>
      <c r="AY32" s="11" t="s">
        <v>588</v>
      </c>
      <c r="AZ32" s="11" t="s">
        <v>588</v>
      </c>
      <c r="BA32" s="13" t="s">
        <v>588</v>
      </c>
      <c r="BB32" s="13" t="s">
        <v>588</v>
      </c>
      <c r="BC32" s="11" t="s">
        <v>588</v>
      </c>
      <c r="BD32" s="11" t="s">
        <v>588</v>
      </c>
      <c r="BE32" s="11" t="s">
        <v>588</v>
      </c>
      <c r="BF32" s="11" t="s">
        <v>588</v>
      </c>
      <c r="BG32" s="13" t="s">
        <v>588</v>
      </c>
      <c r="BH32" s="13" t="s">
        <v>588</v>
      </c>
      <c r="BI32" s="11" t="s">
        <v>588</v>
      </c>
      <c r="BJ32" s="11" t="s">
        <v>588</v>
      </c>
      <c r="BK32" s="11" t="s">
        <v>588</v>
      </c>
      <c r="BL32" s="11" t="s">
        <v>588</v>
      </c>
      <c r="BM32" s="11">
        <v>6</v>
      </c>
      <c r="BN32" s="11">
        <v>6</v>
      </c>
      <c r="BO32" s="11" t="s">
        <v>8</v>
      </c>
      <c r="BP32" s="11">
        <v>1</v>
      </c>
      <c r="BQ32" s="13">
        <v>42401</v>
      </c>
      <c r="BR32" s="11" t="s">
        <v>21</v>
      </c>
      <c r="BS32" s="11" t="s">
        <v>8</v>
      </c>
      <c r="BT32" s="11" t="s">
        <v>120</v>
      </c>
      <c r="BU32" s="11" t="s">
        <v>120</v>
      </c>
      <c r="BV32" s="11" t="s">
        <v>8</v>
      </c>
      <c r="BW32" s="11" t="s">
        <v>120</v>
      </c>
      <c r="BX32" s="11" t="s">
        <v>120</v>
      </c>
      <c r="BY32" s="11" t="s">
        <v>588</v>
      </c>
      <c r="BZ32" s="11" t="s">
        <v>588</v>
      </c>
    </row>
    <row r="33" spans="1:78" x14ac:dyDescent="0.25">
      <c r="A33" s="11">
        <v>201516</v>
      </c>
      <c r="B33" s="11" t="s">
        <v>582</v>
      </c>
      <c r="C33" t="s">
        <v>324</v>
      </c>
      <c r="D33" s="11" t="s">
        <v>1853</v>
      </c>
      <c r="E33" s="11" t="s">
        <v>567</v>
      </c>
      <c r="F33" s="11">
        <v>1</v>
      </c>
      <c r="G33" s="11" t="str">
        <f t="shared" si="0"/>
        <v>201516_Powlett River West A16- Paperbark trk._1</v>
      </c>
      <c r="H33" s="11" t="s">
        <v>1978</v>
      </c>
      <c r="I33" s="13">
        <v>42316</v>
      </c>
      <c r="J33" s="11">
        <f t="shared" si="1"/>
        <v>8</v>
      </c>
      <c r="K33" s="11">
        <f t="shared" si="2"/>
        <v>11</v>
      </c>
      <c r="L33" s="11">
        <f t="shared" si="3"/>
        <v>2015</v>
      </c>
      <c r="M33" s="11" t="str">
        <f t="shared" si="4"/>
        <v>08112015</v>
      </c>
      <c r="N33" s="11" t="s">
        <v>17</v>
      </c>
      <c r="O33" s="11" t="s">
        <v>36</v>
      </c>
      <c r="P33" s="11">
        <v>-38.565939999999998</v>
      </c>
      <c r="Q33" s="11">
        <v>145.4958</v>
      </c>
      <c r="R33" s="11" t="s">
        <v>588</v>
      </c>
      <c r="S33" s="11" t="s">
        <v>588</v>
      </c>
      <c r="T33" s="11">
        <v>2</v>
      </c>
      <c r="U33" s="11">
        <v>3</v>
      </c>
      <c r="V33" s="13">
        <v>42320</v>
      </c>
      <c r="W33" s="11" t="s">
        <v>223</v>
      </c>
      <c r="X33" s="11">
        <v>3</v>
      </c>
      <c r="Y33" s="11">
        <v>3</v>
      </c>
      <c r="Z33" s="11" t="s">
        <v>41</v>
      </c>
      <c r="AA33" s="13">
        <v>42321</v>
      </c>
      <c r="AB33" s="11">
        <f t="shared" si="5"/>
        <v>13</v>
      </c>
      <c r="AC33" s="11">
        <f t="shared" si="6"/>
        <v>11</v>
      </c>
      <c r="AD33" s="11">
        <f t="shared" si="7"/>
        <v>2015</v>
      </c>
      <c r="AE33" s="13" t="str">
        <f t="shared" si="8"/>
        <v>13112015</v>
      </c>
      <c r="AF33" s="11" t="s">
        <v>17</v>
      </c>
      <c r="AG33" s="13">
        <v>42328</v>
      </c>
      <c r="AH33" s="11">
        <v>20</v>
      </c>
      <c r="AI33" s="11">
        <v>11</v>
      </c>
      <c r="AJ33" s="11">
        <v>2015</v>
      </c>
      <c r="AK33" s="13" t="s">
        <v>2022</v>
      </c>
      <c r="AL33" s="11" t="s">
        <v>17</v>
      </c>
      <c r="AM33" s="13" t="s">
        <v>41</v>
      </c>
      <c r="AN33" s="11" t="s">
        <v>8</v>
      </c>
      <c r="AO33" s="11" t="s">
        <v>32</v>
      </c>
      <c r="AP33" s="13" t="s">
        <v>588</v>
      </c>
      <c r="AQ33" s="11" t="s">
        <v>588</v>
      </c>
      <c r="AR33" s="11" t="s">
        <v>588</v>
      </c>
      <c r="AS33" s="11" t="s">
        <v>588</v>
      </c>
      <c r="AT33" s="11" t="s">
        <v>588</v>
      </c>
      <c r="AU33" s="13" t="s">
        <v>588</v>
      </c>
      <c r="AV33" s="13" t="s">
        <v>588</v>
      </c>
      <c r="AW33" s="11" t="s">
        <v>588</v>
      </c>
      <c r="AX33" s="11" t="s">
        <v>588</v>
      </c>
      <c r="AY33" s="11" t="s">
        <v>588</v>
      </c>
      <c r="AZ33" s="11" t="s">
        <v>588</v>
      </c>
      <c r="BA33" s="13" t="s">
        <v>588</v>
      </c>
      <c r="BB33" s="13" t="s">
        <v>588</v>
      </c>
      <c r="BC33" s="11" t="s">
        <v>588</v>
      </c>
      <c r="BD33" s="11" t="s">
        <v>588</v>
      </c>
      <c r="BE33" s="11" t="s">
        <v>588</v>
      </c>
      <c r="BF33" s="11" t="s">
        <v>588</v>
      </c>
      <c r="BG33" s="11" t="s">
        <v>588</v>
      </c>
      <c r="BH33" s="11" t="s">
        <v>588</v>
      </c>
      <c r="BI33" s="11" t="s">
        <v>588</v>
      </c>
      <c r="BJ33" s="11" t="s">
        <v>588</v>
      </c>
      <c r="BK33" s="11" t="s">
        <v>588</v>
      </c>
      <c r="BL33" s="11" t="s">
        <v>588</v>
      </c>
      <c r="BM33" s="11" t="s">
        <v>588</v>
      </c>
      <c r="BN33" s="11" t="s">
        <v>588</v>
      </c>
      <c r="BO33" s="11" t="s">
        <v>588</v>
      </c>
      <c r="BP33" s="11" t="s">
        <v>588</v>
      </c>
      <c r="BQ33" s="13" t="s">
        <v>588</v>
      </c>
      <c r="BR33" s="11" t="s">
        <v>588</v>
      </c>
      <c r="BS33" s="11" t="s">
        <v>41</v>
      </c>
      <c r="BT33" s="11" t="s">
        <v>42</v>
      </c>
      <c r="BU33" s="11" t="s">
        <v>42</v>
      </c>
      <c r="BV33" s="11" t="s">
        <v>588</v>
      </c>
      <c r="BW33" s="11" t="s">
        <v>588</v>
      </c>
      <c r="BX33" s="11" t="s">
        <v>588</v>
      </c>
      <c r="BY33" s="11" t="s">
        <v>588</v>
      </c>
      <c r="BZ33" s="11" t="s">
        <v>588</v>
      </c>
    </row>
    <row r="34" spans="1:78" x14ac:dyDescent="0.25">
      <c r="A34" s="11">
        <v>201516</v>
      </c>
      <c r="B34" s="11" t="s">
        <v>582</v>
      </c>
      <c r="C34" t="s">
        <v>324</v>
      </c>
      <c r="D34" s="11" t="s">
        <v>1853</v>
      </c>
      <c r="E34" s="11" t="s">
        <v>567</v>
      </c>
      <c r="F34" s="11">
        <v>2</v>
      </c>
      <c r="G34" s="11" t="str">
        <f t="shared" ref="G34:G65" si="9">CONCATENATE(A34,"_",B34,"_",F34)</f>
        <v>201516_Powlett River West A16- Paperbark trk._2</v>
      </c>
      <c r="H34" s="11" t="s">
        <v>1979</v>
      </c>
      <c r="I34" s="13">
        <v>42338</v>
      </c>
      <c r="J34" s="11">
        <f t="shared" si="1"/>
        <v>30</v>
      </c>
      <c r="K34" s="11">
        <f t="shared" si="2"/>
        <v>11</v>
      </c>
      <c r="L34" s="11">
        <f t="shared" si="3"/>
        <v>2015</v>
      </c>
      <c r="M34" s="11" t="str">
        <f t="shared" si="4"/>
        <v>30112015</v>
      </c>
      <c r="N34" s="11" t="s">
        <v>17</v>
      </c>
      <c r="O34" s="11" t="s">
        <v>10</v>
      </c>
      <c r="P34" s="11">
        <v>-38.566229999999997</v>
      </c>
      <c r="Q34" s="11">
        <v>145.49588</v>
      </c>
      <c r="R34" s="11" t="s">
        <v>588</v>
      </c>
      <c r="S34" s="11" t="s">
        <v>588</v>
      </c>
      <c r="T34" s="11">
        <v>2</v>
      </c>
      <c r="U34" s="11">
        <v>3</v>
      </c>
      <c r="V34" s="13">
        <v>42342</v>
      </c>
      <c r="W34" s="11" t="str">
        <f>$W$29</f>
        <v>Found during laying</v>
      </c>
      <c r="X34" s="11">
        <v>3</v>
      </c>
      <c r="Y34" s="11">
        <v>3</v>
      </c>
      <c r="Z34" s="11" t="s">
        <v>8</v>
      </c>
      <c r="AA34" s="13">
        <v>42362</v>
      </c>
      <c r="AB34" s="11">
        <f t="shared" si="5"/>
        <v>24</v>
      </c>
      <c r="AC34" s="11">
        <f t="shared" si="6"/>
        <v>12</v>
      </c>
      <c r="AD34" s="11">
        <f t="shared" si="7"/>
        <v>2015</v>
      </c>
      <c r="AE34" s="13" t="str">
        <f t="shared" si="8"/>
        <v>24122015</v>
      </c>
      <c r="AF34" s="11" t="s">
        <v>7</v>
      </c>
      <c r="AG34" s="11" t="s">
        <v>588</v>
      </c>
      <c r="AH34" s="11" t="s">
        <v>588</v>
      </c>
      <c r="AI34" s="11" t="s">
        <v>588</v>
      </c>
      <c r="AJ34" s="11" t="s">
        <v>588</v>
      </c>
      <c r="AK34" s="13" t="s">
        <v>588</v>
      </c>
      <c r="AL34" s="11" t="s">
        <v>588</v>
      </c>
      <c r="AM34" s="13" t="s">
        <v>588</v>
      </c>
      <c r="AN34" s="11" t="s">
        <v>588</v>
      </c>
      <c r="AO34" s="11" t="s">
        <v>588</v>
      </c>
      <c r="AP34" s="13">
        <v>42375</v>
      </c>
      <c r="AQ34" s="11" t="s">
        <v>12</v>
      </c>
      <c r="AR34" s="11" t="s">
        <v>194</v>
      </c>
      <c r="AS34" s="11">
        <v>2</v>
      </c>
      <c r="AT34" s="11">
        <v>2</v>
      </c>
      <c r="AU34" s="13">
        <v>42384</v>
      </c>
      <c r="AV34" s="13">
        <v>42391</v>
      </c>
      <c r="AW34" s="11" t="s">
        <v>12</v>
      </c>
      <c r="AX34" s="11" t="s">
        <v>41</v>
      </c>
      <c r="AY34" s="11" t="s">
        <v>41</v>
      </c>
      <c r="AZ34" s="11" t="s">
        <v>20</v>
      </c>
      <c r="BA34" s="13" t="s">
        <v>588</v>
      </c>
      <c r="BB34" s="13" t="s">
        <v>588</v>
      </c>
      <c r="BC34" s="11" t="s">
        <v>588</v>
      </c>
      <c r="BD34" s="11" t="s">
        <v>588</v>
      </c>
      <c r="BE34" s="11" t="s">
        <v>588</v>
      </c>
      <c r="BF34" s="11" t="s">
        <v>588</v>
      </c>
      <c r="BG34" s="13" t="s">
        <v>588</v>
      </c>
      <c r="BH34" s="13" t="s">
        <v>588</v>
      </c>
      <c r="BI34" s="11" t="s">
        <v>588</v>
      </c>
      <c r="BJ34" s="11" t="s">
        <v>588</v>
      </c>
      <c r="BK34" s="11" t="s">
        <v>588</v>
      </c>
      <c r="BL34" s="11" t="s">
        <v>588</v>
      </c>
      <c r="BM34" s="11">
        <v>5</v>
      </c>
      <c r="BN34" s="11">
        <v>4</v>
      </c>
      <c r="BO34" s="11" t="s">
        <v>8</v>
      </c>
      <c r="BP34" s="11">
        <v>1</v>
      </c>
      <c r="BQ34" s="13">
        <v>42391</v>
      </c>
      <c r="BR34" s="11" t="s">
        <v>12</v>
      </c>
      <c r="BS34" s="11" t="s">
        <v>8</v>
      </c>
      <c r="BT34" s="11" t="s">
        <v>120</v>
      </c>
      <c r="BU34" s="11" t="s">
        <v>120</v>
      </c>
      <c r="BV34" s="11" t="s">
        <v>8</v>
      </c>
      <c r="BW34" s="11" t="s">
        <v>120</v>
      </c>
      <c r="BX34" s="11" t="s">
        <v>120</v>
      </c>
      <c r="BY34" s="11" t="s">
        <v>588</v>
      </c>
      <c r="BZ34" s="11" t="s">
        <v>588</v>
      </c>
    </row>
    <row r="35" spans="1:78" x14ac:dyDescent="0.25">
      <c r="A35" s="11">
        <v>201516</v>
      </c>
      <c r="B35" s="11" t="s">
        <v>579</v>
      </c>
      <c r="C35" t="s">
        <v>559</v>
      </c>
      <c r="D35" s="11" t="s">
        <v>557</v>
      </c>
      <c r="E35" s="11" t="s">
        <v>543</v>
      </c>
      <c r="F35" s="11">
        <v>1</v>
      </c>
      <c r="G35" s="11" t="str">
        <f t="shared" si="9"/>
        <v>201516_Bore Beach_1</v>
      </c>
      <c r="H35" s="11" t="s">
        <v>1973</v>
      </c>
      <c r="I35" s="13">
        <v>42317</v>
      </c>
      <c r="J35" s="11">
        <f t="shared" si="1"/>
        <v>9</v>
      </c>
      <c r="K35" s="11">
        <f t="shared" si="2"/>
        <v>11</v>
      </c>
      <c r="L35" s="11">
        <f t="shared" si="3"/>
        <v>2015</v>
      </c>
      <c r="M35" s="11" t="str">
        <f t="shared" si="4"/>
        <v>09112015</v>
      </c>
      <c r="N35" s="11" t="s">
        <v>17</v>
      </c>
      <c r="O35" s="11" t="s">
        <v>51</v>
      </c>
      <c r="P35" s="11" t="s">
        <v>588</v>
      </c>
      <c r="Q35" s="11" t="s">
        <v>588</v>
      </c>
      <c r="R35" s="11" t="s">
        <v>588</v>
      </c>
      <c r="S35" s="11" t="s">
        <v>588</v>
      </c>
      <c r="T35" s="11">
        <v>2</v>
      </c>
      <c r="U35" s="11">
        <v>3</v>
      </c>
      <c r="V35" s="11" t="s">
        <v>588</v>
      </c>
      <c r="W35" s="11" t="s">
        <v>588</v>
      </c>
      <c r="X35" s="11">
        <v>2</v>
      </c>
      <c r="Y35" s="11">
        <v>2</v>
      </c>
      <c r="Z35" s="11" t="s">
        <v>8</v>
      </c>
      <c r="AA35" s="13">
        <v>42328</v>
      </c>
      <c r="AB35" s="11">
        <f t="shared" si="5"/>
        <v>20</v>
      </c>
      <c r="AC35" s="11">
        <f t="shared" si="6"/>
        <v>11</v>
      </c>
      <c r="AD35" s="11">
        <f t="shared" si="7"/>
        <v>2015</v>
      </c>
      <c r="AE35" s="13" t="str">
        <f t="shared" si="8"/>
        <v>20112015</v>
      </c>
      <c r="AF35" s="11" t="s">
        <v>17</v>
      </c>
      <c r="AG35" s="11" t="s">
        <v>588</v>
      </c>
      <c r="AH35" s="11" t="s">
        <v>588</v>
      </c>
      <c r="AI35" s="11" t="s">
        <v>588</v>
      </c>
      <c r="AJ35" s="11" t="s">
        <v>588</v>
      </c>
      <c r="AK35" s="13" t="s">
        <v>588</v>
      </c>
      <c r="AL35" s="11" t="s">
        <v>588</v>
      </c>
      <c r="AM35" s="11" t="s">
        <v>588</v>
      </c>
      <c r="AN35" s="11" t="s">
        <v>588</v>
      </c>
      <c r="AO35" s="11" t="s">
        <v>588</v>
      </c>
      <c r="AP35" s="13">
        <v>42366</v>
      </c>
      <c r="AQ35" s="11" t="s">
        <v>7</v>
      </c>
      <c r="AR35" s="11" t="s">
        <v>1214</v>
      </c>
      <c r="AS35" s="11">
        <v>1</v>
      </c>
      <c r="AT35" s="11">
        <v>2</v>
      </c>
      <c r="AU35" s="11" t="s">
        <v>588</v>
      </c>
      <c r="AV35" s="11" t="s">
        <v>588</v>
      </c>
      <c r="AW35" s="11" t="s">
        <v>588</v>
      </c>
      <c r="AX35" s="11" t="s">
        <v>588</v>
      </c>
      <c r="AY35" s="11" t="s">
        <v>588</v>
      </c>
      <c r="AZ35" s="11" t="s">
        <v>588</v>
      </c>
      <c r="BA35" s="11" t="s">
        <v>588</v>
      </c>
      <c r="BB35" s="11" t="s">
        <v>588</v>
      </c>
      <c r="BC35" s="11" t="s">
        <v>588</v>
      </c>
      <c r="BD35" s="11" t="s">
        <v>588</v>
      </c>
      <c r="BE35" s="11" t="s">
        <v>588</v>
      </c>
      <c r="BF35" s="11" t="s">
        <v>588</v>
      </c>
      <c r="BG35" s="11" t="s">
        <v>588</v>
      </c>
      <c r="BH35" s="11" t="s">
        <v>588</v>
      </c>
      <c r="BI35" s="11" t="s">
        <v>588</v>
      </c>
      <c r="BJ35" s="11" t="s">
        <v>588</v>
      </c>
      <c r="BK35" s="11" t="s">
        <v>588</v>
      </c>
      <c r="BL35" s="11" t="s">
        <v>588</v>
      </c>
      <c r="BM35" s="11">
        <v>2</v>
      </c>
      <c r="BN35" s="11">
        <v>2</v>
      </c>
      <c r="BO35" s="11" t="s">
        <v>8</v>
      </c>
      <c r="BP35" s="11">
        <v>1</v>
      </c>
      <c r="BQ35" s="13">
        <v>42378</v>
      </c>
      <c r="BR35" s="11" t="s">
        <v>12</v>
      </c>
      <c r="BS35" s="11" t="s">
        <v>8</v>
      </c>
      <c r="BT35" s="11" t="s">
        <v>123</v>
      </c>
      <c r="BU35" s="11" t="s">
        <v>123</v>
      </c>
      <c r="BV35" s="11" t="s">
        <v>8</v>
      </c>
      <c r="BW35" s="11" t="s">
        <v>123</v>
      </c>
      <c r="BX35" s="11" t="s">
        <v>123</v>
      </c>
      <c r="BY35" s="11" t="s">
        <v>588</v>
      </c>
      <c r="BZ35" s="11" t="s">
        <v>588</v>
      </c>
    </row>
    <row r="36" spans="1:78" x14ac:dyDescent="0.25">
      <c r="A36" s="11">
        <v>201516</v>
      </c>
      <c r="B36" s="11" t="s">
        <v>583</v>
      </c>
      <c r="C36" t="s">
        <v>425</v>
      </c>
      <c r="D36" s="11" t="s">
        <v>16</v>
      </c>
      <c r="E36" s="11" t="s">
        <v>16</v>
      </c>
      <c r="F36" s="11">
        <v>1</v>
      </c>
      <c r="G36" s="11" t="str">
        <f t="shared" si="9"/>
        <v>201516_San Remo Back Beach_1</v>
      </c>
      <c r="H36" s="11" t="s">
        <v>2115</v>
      </c>
      <c r="I36" s="13">
        <v>42282</v>
      </c>
      <c r="J36" s="11">
        <f t="shared" si="1"/>
        <v>5</v>
      </c>
      <c r="K36" s="11">
        <f t="shared" si="2"/>
        <v>10</v>
      </c>
      <c r="L36" s="11">
        <f t="shared" si="3"/>
        <v>2015</v>
      </c>
      <c r="M36" s="11" t="str">
        <f t="shared" si="4"/>
        <v>05102015</v>
      </c>
      <c r="N36" s="11" t="s">
        <v>29</v>
      </c>
      <c r="O36" s="11" t="s">
        <v>10</v>
      </c>
      <c r="P36" s="11" t="s">
        <v>588</v>
      </c>
      <c r="Q36" s="11" t="s">
        <v>588</v>
      </c>
      <c r="R36" s="11" t="s">
        <v>588</v>
      </c>
      <c r="S36" s="11" t="s">
        <v>588</v>
      </c>
      <c r="T36" s="11">
        <v>3</v>
      </c>
      <c r="U36" s="11">
        <v>3</v>
      </c>
      <c r="V36" s="11" t="s">
        <v>588</v>
      </c>
      <c r="W36" s="11" t="s">
        <v>588</v>
      </c>
      <c r="X36" s="11">
        <v>4</v>
      </c>
      <c r="Y36" s="11">
        <v>4</v>
      </c>
      <c r="Z36" s="11" t="s">
        <v>8</v>
      </c>
      <c r="AA36" s="13">
        <v>42291</v>
      </c>
      <c r="AB36" s="11">
        <f t="shared" si="5"/>
        <v>14</v>
      </c>
      <c r="AC36" s="11">
        <f t="shared" si="6"/>
        <v>10</v>
      </c>
      <c r="AD36" s="11">
        <f t="shared" si="7"/>
        <v>2015</v>
      </c>
      <c r="AE36" s="13" t="str">
        <f t="shared" si="8"/>
        <v>14102015</v>
      </c>
      <c r="AF36" s="11" t="s">
        <v>29</v>
      </c>
      <c r="AG36" s="13">
        <v>42293</v>
      </c>
      <c r="AH36" s="11">
        <v>16</v>
      </c>
      <c r="AI36" s="11">
        <v>10</v>
      </c>
      <c r="AJ36" s="11">
        <v>2015</v>
      </c>
      <c r="AK36" s="13" t="s">
        <v>2023</v>
      </c>
      <c r="AL36" s="11" t="s">
        <v>29</v>
      </c>
      <c r="AM36" s="13" t="s">
        <v>41</v>
      </c>
      <c r="AN36" s="11" t="s">
        <v>8</v>
      </c>
      <c r="AO36" s="11" t="s">
        <v>48</v>
      </c>
      <c r="AP36" s="13" t="s">
        <v>588</v>
      </c>
      <c r="AQ36" s="11" t="s">
        <v>588</v>
      </c>
      <c r="AR36" s="11" t="s">
        <v>588</v>
      </c>
      <c r="AS36" s="11" t="s">
        <v>588</v>
      </c>
      <c r="AT36" s="11" t="s">
        <v>588</v>
      </c>
      <c r="AU36" s="13" t="s">
        <v>588</v>
      </c>
      <c r="AV36" s="13" t="s">
        <v>588</v>
      </c>
      <c r="AW36" s="11" t="s">
        <v>588</v>
      </c>
      <c r="AX36" s="11" t="s">
        <v>588</v>
      </c>
      <c r="AY36" s="11" t="s">
        <v>588</v>
      </c>
      <c r="AZ36" s="11" t="s">
        <v>588</v>
      </c>
      <c r="BA36" s="13" t="s">
        <v>588</v>
      </c>
      <c r="BB36" s="13" t="s">
        <v>588</v>
      </c>
      <c r="BC36" s="11" t="s">
        <v>588</v>
      </c>
      <c r="BD36" s="11" t="s">
        <v>588</v>
      </c>
      <c r="BE36" s="11" t="s">
        <v>588</v>
      </c>
      <c r="BF36" s="11" t="s">
        <v>588</v>
      </c>
      <c r="BG36" s="11" t="s">
        <v>588</v>
      </c>
      <c r="BH36" s="11" t="s">
        <v>588</v>
      </c>
      <c r="BI36" s="11" t="s">
        <v>588</v>
      </c>
      <c r="BJ36" s="11" t="s">
        <v>588</v>
      </c>
      <c r="BK36" s="11" t="s">
        <v>588</v>
      </c>
      <c r="BL36" s="11" t="s">
        <v>588</v>
      </c>
      <c r="BM36" s="11" t="s">
        <v>588</v>
      </c>
      <c r="BN36" s="11" t="s">
        <v>588</v>
      </c>
      <c r="BO36" s="11" t="s">
        <v>588</v>
      </c>
      <c r="BP36" s="11" t="s">
        <v>588</v>
      </c>
      <c r="BQ36" s="13" t="s">
        <v>588</v>
      </c>
      <c r="BR36" s="11" t="s">
        <v>588</v>
      </c>
      <c r="BS36" s="11" t="s">
        <v>8</v>
      </c>
      <c r="BT36" s="11" t="s">
        <v>120</v>
      </c>
      <c r="BU36" s="11" t="s">
        <v>120</v>
      </c>
      <c r="BV36" s="11" t="s">
        <v>588</v>
      </c>
      <c r="BW36" s="11" t="s">
        <v>588</v>
      </c>
      <c r="BX36" s="11" t="s">
        <v>588</v>
      </c>
      <c r="BY36" s="11" t="s">
        <v>588</v>
      </c>
      <c r="BZ36" s="11" t="s">
        <v>588</v>
      </c>
    </row>
    <row r="37" spans="1:78" x14ac:dyDescent="0.25">
      <c r="A37" s="28">
        <v>201516</v>
      </c>
      <c r="B37" s="28" t="s">
        <v>584</v>
      </c>
      <c r="C37" t="s">
        <v>1907</v>
      </c>
      <c r="D37" s="28" t="s">
        <v>433</v>
      </c>
      <c r="E37" s="28" t="s">
        <v>560</v>
      </c>
      <c r="F37" s="28">
        <v>1</v>
      </c>
      <c r="G37" s="28" t="str">
        <f t="shared" si="9"/>
        <v>201516_Sandy Waterhole Bay West end_1</v>
      </c>
      <c r="H37" s="11" t="s">
        <v>1981</v>
      </c>
      <c r="I37" s="29">
        <v>42307</v>
      </c>
      <c r="J37" s="11">
        <f t="shared" si="1"/>
        <v>30</v>
      </c>
      <c r="K37" s="11">
        <f t="shared" si="2"/>
        <v>10</v>
      </c>
      <c r="L37" s="11">
        <f t="shared" si="3"/>
        <v>2015</v>
      </c>
      <c r="M37" s="11" t="str">
        <f t="shared" si="4"/>
        <v>30102015</v>
      </c>
      <c r="N37" s="28" t="s">
        <v>29</v>
      </c>
      <c r="O37" s="28" t="s">
        <v>10</v>
      </c>
      <c r="P37" s="28" t="s">
        <v>588</v>
      </c>
      <c r="Q37" s="28" t="s">
        <v>588</v>
      </c>
      <c r="R37" s="28" t="s">
        <v>588</v>
      </c>
      <c r="S37" s="28" t="s">
        <v>588</v>
      </c>
      <c r="T37" s="28">
        <v>3</v>
      </c>
      <c r="U37" s="28">
        <v>3</v>
      </c>
      <c r="V37" s="28" t="s">
        <v>588</v>
      </c>
      <c r="W37" s="28" t="s">
        <v>588</v>
      </c>
      <c r="X37" s="28">
        <v>2</v>
      </c>
      <c r="Y37" s="28">
        <v>2</v>
      </c>
      <c r="Z37" s="28" t="s">
        <v>41</v>
      </c>
      <c r="AA37" s="29">
        <v>42307</v>
      </c>
      <c r="AB37" s="11">
        <f t="shared" si="5"/>
        <v>30</v>
      </c>
      <c r="AC37" s="11">
        <f t="shared" si="6"/>
        <v>10</v>
      </c>
      <c r="AD37" s="11">
        <f t="shared" si="7"/>
        <v>2015</v>
      </c>
      <c r="AE37" s="13" t="str">
        <f t="shared" si="8"/>
        <v>30102015</v>
      </c>
      <c r="AF37" s="28" t="s">
        <v>29</v>
      </c>
      <c r="AG37" s="29">
        <v>42320</v>
      </c>
      <c r="AH37" s="11">
        <v>12</v>
      </c>
      <c r="AI37" s="11">
        <v>11</v>
      </c>
      <c r="AJ37" s="11">
        <v>2015</v>
      </c>
      <c r="AK37" s="13" t="s">
        <v>2024</v>
      </c>
      <c r="AL37" s="28" t="s">
        <v>17</v>
      </c>
      <c r="AM37" s="29" t="s">
        <v>588</v>
      </c>
      <c r="AN37" s="28" t="s">
        <v>588</v>
      </c>
      <c r="AO37" s="29" t="s">
        <v>588</v>
      </c>
      <c r="AP37" s="29" t="s">
        <v>588</v>
      </c>
      <c r="AQ37" s="28" t="s">
        <v>588</v>
      </c>
      <c r="AR37" s="28" t="s">
        <v>588</v>
      </c>
      <c r="AS37" s="28" t="s">
        <v>588</v>
      </c>
      <c r="AT37" s="28" t="s">
        <v>588</v>
      </c>
      <c r="AU37" s="29" t="s">
        <v>588</v>
      </c>
      <c r="AV37" s="29" t="s">
        <v>588</v>
      </c>
      <c r="AW37" s="28" t="s">
        <v>588</v>
      </c>
      <c r="AX37" s="28" t="s">
        <v>588</v>
      </c>
      <c r="AY37" s="28" t="s">
        <v>588</v>
      </c>
      <c r="AZ37" s="28" t="s">
        <v>588</v>
      </c>
      <c r="BA37" s="29" t="s">
        <v>588</v>
      </c>
      <c r="BB37" s="29" t="s">
        <v>588</v>
      </c>
      <c r="BC37" s="28" t="s">
        <v>588</v>
      </c>
      <c r="BD37" s="28" t="s">
        <v>588</v>
      </c>
      <c r="BE37" s="28" t="s">
        <v>588</v>
      </c>
      <c r="BF37" s="28" t="s">
        <v>588</v>
      </c>
      <c r="BG37" s="29" t="s">
        <v>588</v>
      </c>
      <c r="BH37" s="29" t="s">
        <v>588</v>
      </c>
      <c r="BI37" s="28" t="s">
        <v>588</v>
      </c>
      <c r="BJ37" s="28" t="s">
        <v>588</v>
      </c>
      <c r="BK37" s="28" t="s">
        <v>588</v>
      </c>
      <c r="BL37" s="28" t="s">
        <v>588</v>
      </c>
      <c r="BM37" s="28" t="s">
        <v>588</v>
      </c>
      <c r="BN37" s="28" t="s">
        <v>588</v>
      </c>
      <c r="BO37" s="28" t="s">
        <v>588</v>
      </c>
      <c r="BP37" s="28" t="s">
        <v>588</v>
      </c>
      <c r="BQ37" s="29" t="s">
        <v>588</v>
      </c>
      <c r="BR37" s="28" t="s">
        <v>588</v>
      </c>
      <c r="BS37" s="28" t="s">
        <v>8</v>
      </c>
      <c r="BT37" s="28" t="s">
        <v>123</v>
      </c>
      <c r="BU37" s="28" t="s">
        <v>123</v>
      </c>
      <c r="BV37" s="28" t="s">
        <v>588</v>
      </c>
      <c r="BW37" s="28" t="s">
        <v>588</v>
      </c>
      <c r="BX37" s="28" t="s">
        <v>588</v>
      </c>
      <c r="BY37" s="28" t="s">
        <v>588</v>
      </c>
      <c r="BZ37" s="28" t="s">
        <v>588</v>
      </c>
    </row>
    <row r="38" spans="1:78" x14ac:dyDescent="0.25">
      <c r="A38" s="11">
        <v>201516</v>
      </c>
      <c r="B38" s="11" t="s">
        <v>584</v>
      </c>
      <c r="C38" t="s">
        <v>1907</v>
      </c>
      <c r="D38" s="11" t="s">
        <v>433</v>
      </c>
      <c r="E38" s="11" t="s">
        <v>560</v>
      </c>
      <c r="F38" s="11">
        <v>2</v>
      </c>
      <c r="G38" s="11" t="str">
        <f t="shared" si="9"/>
        <v>201516_Sandy Waterhole Bay West end_2</v>
      </c>
      <c r="H38" s="11" t="s">
        <v>2097</v>
      </c>
      <c r="I38" s="11" t="s">
        <v>71</v>
      </c>
      <c r="J38" s="11" t="s">
        <v>71</v>
      </c>
      <c r="K38" s="11" t="s">
        <v>71</v>
      </c>
      <c r="L38" s="11" t="s">
        <v>71</v>
      </c>
      <c r="M38" s="11" t="s">
        <v>71</v>
      </c>
      <c r="N38" s="11" t="s">
        <v>71</v>
      </c>
      <c r="O38" s="11" t="s">
        <v>71</v>
      </c>
      <c r="P38" s="11" t="s">
        <v>588</v>
      </c>
      <c r="Q38" s="11" t="s">
        <v>588</v>
      </c>
      <c r="R38" s="11" t="s">
        <v>588</v>
      </c>
      <c r="S38" s="11" t="s">
        <v>588</v>
      </c>
      <c r="T38" s="11">
        <v>0</v>
      </c>
      <c r="U38" s="11">
        <v>3</v>
      </c>
      <c r="V38" s="11" t="s">
        <v>588</v>
      </c>
      <c r="W38" s="11" t="s">
        <v>588</v>
      </c>
      <c r="X38" s="11">
        <v>0</v>
      </c>
      <c r="Y38" s="11">
        <v>0</v>
      </c>
      <c r="Z38" s="11" t="s">
        <v>8</v>
      </c>
      <c r="AA38" s="11" t="s">
        <v>71</v>
      </c>
      <c r="AB38" s="11" t="s">
        <v>71</v>
      </c>
      <c r="AC38" s="11" t="s">
        <v>71</v>
      </c>
      <c r="AD38" s="11" t="s">
        <v>71</v>
      </c>
      <c r="AE38" s="11" t="s">
        <v>71</v>
      </c>
      <c r="AF38" s="11" t="s">
        <v>588</v>
      </c>
      <c r="AG38" s="13" t="s">
        <v>588</v>
      </c>
      <c r="AH38" s="11" t="s">
        <v>588</v>
      </c>
      <c r="AI38" s="11" t="s">
        <v>588</v>
      </c>
      <c r="AJ38" s="11" t="s">
        <v>588</v>
      </c>
      <c r="AK38" s="13" t="s">
        <v>588</v>
      </c>
      <c r="AL38" s="11" t="s">
        <v>588</v>
      </c>
      <c r="AM38" s="13" t="s">
        <v>588</v>
      </c>
      <c r="AN38" s="11" t="s">
        <v>588</v>
      </c>
      <c r="AO38" s="13" t="s">
        <v>588</v>
      </c>
      <c r="AP38" s="13">
        <v>42377</v>
      </c>
      <c r="AQ38" s="11" t="s">
        <v>12</v>
      </c>
      <c r="AR38" s="11" t="s">
        <v>195</v>
      </c>
      <c r="AS38" s="11">
        <v>3</v>
      </c>
      <c r="AT38" s="11">
        <v>3</v>
      </c>
      <c r="AU38" s="13">
        <v>42400</v>
      </c>
      <c r="AV38" s="13" t="s">
        <v>1996</v>
      </c>
      <c r="AW38" s="11" t="s">
        <v>588</v>
      </c>
      <c r="AX38" s="11" t="s">
        <v>588</v>
      </c>
      <c r="AY38" s="11" t="s">
        <v>588</v>
      </c>
      <c r="AZ38" s="11" t="s">
        <v>588</v>
      </c>
      <c r="BA38" s="13">
        <v>42400</v>
      </c>
      <c r="BB38" s="13" t="s">
        <v>1996</v>
      </c>
      <c r="BC38" s="11" t="s">
        <v>588</v>
      </c>
      <c r="BD38" s="11" t="s">
        <v>588</v>
      </c>
      <c r="BE38" s="11" t="s">
        <v>588</v>
      </c>
      <c r="BF38" s="11" t="s">
        <v>588</v>
      </c>
      <c r="BG38" s="13" t="s">
        <v>588</v>
      </c>
      <c r="BH38" s="13" t="s">
        <v>588</v>
      </c>
      <c r="BI38" s="11" t="s">
        <v>588</v>
      </c>
      <c r="BJ38" s="11" t="s">
        <v>588</v>
      </c>
      <c r="BK38" s="11" t="s">
        <v>588</v>
      </c>
      <c r="BL38" s="11" t="s">
        <v>588</v>
      </c>
      <c r="BM38" s="11">
        <v>3</v>
      </c>
      <c r="BN38" s="11">
        <v>3</v>
      </c>
      <c r="BO38" s="11" t="s">
        <v>8</v>
      </c>
      <c r="BP38" s="11" t="s">
        <v>1997</v>
      </c>
      <c r="BQ38" s="13">
        <v>42074</v>
      </c>
      <c r="BR38" s="11" t="s">
        <v>22</v>
      </c>
      <c r="BS38" s="11" t="s">
        <v>8</v>
      </c>
      <c r="BT38" s="11" t="s">
        <v>123</v>
      </c>
      <c r="BU38" s="11" t="s">
        <v>123</v>
      </c>
      <c r="BV38" s="11" t="s">
        <v>8</v>
      </c>
      <c r="BW38" s="11" t="s">
        <v>123</v>
      </c>
      <c r="BX38" s="11" t="s">
        <v>123</v>
      </c>
      <c r="BY38" s="11" t="s">
        <v>1998</v>
      </c>
      <c r="BZ38" s="11" t="s">
        <v>588</v>
      </c>
    </row>
    <row r="39" spans="1:78" x14ac:dyDescent="0.25">
      <c r="A39" s="11">
        <v>201516</v>
      </c>
      <c r="B39" s="11" t="s">
        <v>585</v>
      </c>
      <c r="C39" t="s">
        <v>432</v>
      </c>
      <c r="D39" s="11" t="s">
        <v>1855</v>
      </c>
      <c r="E39" s="11" t="s">
        <v>16</v>
      </c>
      <c r="F39" s="11">
        <v>1</v>
      </c>
      <c r="G39" s="11" t="str">
        <f t="shared" si="9"/>
        <v>201516_Sandy Waterholes Estuary &amp; next Bay East_1</v>
      </c>
      <c r="H39" s="11" t="s">
        <v>2098</v>
      </c>
      <c r="I39" s="30">
        <v>42297</v>
      </c>
      <c r="J39" s="11">
        <f>DAY(I39)</f>
        <v>20</v>
      </c>
      <c r="K39" s="11">
        <f>MONTH(I39)</f>
        <v>10</v>
      </c>
      <c r="L39" s="11">
        <f>YEAR(I39)</f>
        <v>2015</v>
      </c>
      <c r="M39" s="11" t="str">
        <f>CONCATENATE(TEXT(J39,"00"),TEXT(K39,"00"),TEXT(L39,"0000"))</f>
        <v>20102015</v>
      </c>
      <c r="N39" s="11" t="s">
        <v>29</v>
      </c>
      <c r="O39" s="11" t="s">
        <v>19</v>
      </c>
      <c r="P39" s="11" t="s">
        <v>588</v>
      </c>
      <c r="Q39" s="11" t="s">
        <v>588</v>
      </c>
      <c r="R39" s="11" t="s">
        <v>588</v>
      </c>
      <c r="S39" s="11" t="s">
        <v>588</v>
      </c>
      <c r="T39" s="11">
        <v>3</v>
      </c>
      <c r="U39" s="11">
        <v>3</v>
      </c>
      <c r="V39" s="11" t="s">
        <v>588</v>
      </c>
      <c r="W39" s="11" t="s">
        <v>588</v>
      </c>
      <c r="X39" s="11">
        <v>2</v>
      </c>
      <c r="Y39" s="11">
        <v>2</v>
      </c>
      <c r="Z39" s="11" t="s">
        <v>8</v>
      </c>
      <c r="AA39" s="13">
        <v>42299</v>
      </c>
      <c r="AB39" s="11">
        <f>DAY(AA39)</f>
        <v>22</v>
      </c>
      <c r="AC39" s="11">
        <f>MONTH(AA39)</f>
        <v>10</v>
      </c>
      <c r="AD39" s="11">
        <f>YEAR(AA39)</f>
        <v>2015</v>
      </c>
      <c r="AE39" s="13" t="str">
        <f>CONCATENATE(TEXT(AB39,"00"),TEXT(AC39,"00"),TEXT(AD39,"0000"))</f>
        <v>22102015</v>
      </c>
      <c r="AF39" s="11" t="s">
        <v>588</v>
      </c>
      <c r="AG39" s="11" t="s">
        <v>588</v>
      </c>
      <c r="AH39" s="11" t="s">
        <v>588</v>
      </c>
      <c r="AI39" s="11" t="s">
        <v>588</v>
      </c>
      <c r="AJ39" s="11" t="s">
        <v>588</v>
      </c>
      <c r="AK39" s="13" t="s">
        <v>588</v>
      </c>
      <c r="AL39" s="11" t="s">
        <v>588</v>
      </c>
      <c r="AM39" s="13" t="s">
        <v>588</v>
      </c>
      <c r="AN39" s="11" t="s">
        <v>588</v>
      </c>
      <c r="AO39" s="11" t="s">
        <v>588</v>
      </c>
      <c r="AP39" s="13">
        <v>42310</v>
      </c>
      <c r="AQ39" s="11" t="s">
        <v>17</v>
      </c>
      <c r="AR39" s="11" t="s">
        <v>195</v>
      </c>
      <c r="AS39" s="11">
        <v>2</v>
      </c>
      <c r="AT39" s="11">
        <v>3</v>
      </c>
      <c r="AU39" s="13">
        <v>42310</v>
      </c>
      <c r="AV39" s="13">
        <v>42320</v>
      </c>
      <c r="AW39" s="11" t="s">
        <v>17</v>
      </c>
      <c r="AX39" s="11" t="s">
        <v>41</v>
      </c>
      <c r="AY39" s="11" t="s">
        <v>41</v>
      </c>
      <c r="AZ39" s="11" t="s">
        <v>20</v>
      </c>
      <c r="BA39" s="13">
        <v>42310</v>
      </c>
      <c r="BB39" s="13">
        <v>42320</v>
      </c>
      <c r="BC39" s="11" t="s">
        <v>17</v>
      </c>
      <c r="BD39" s="11" t="s">
        <v>41</v>
      </c>
      <c r="BE39" s="11" t="s">
        <v>41</v>
      </c>
      <c r="BF39" s="11" t="s">
        <v>20</v>
      </c>
      <c r="BG39" s="13" t="s">
        <v>588</v>
      </c>
      <c r="BH39" s="13" t="s">
        <v>588</v>
      </c>
      <c r="BI39" s="11" t="s">
        <v>588</v>
      </c>
      <c r="BJ39" s="11" t="s">
        <v>588</v>
      </c>
      <c r="BK39" s="11" t="s">
        <v>588</v>
      </c>
      <c r="BL39" s="11" t="s">
        <v>588</v>
      </c>
      <c r="BM39" s="11">
        <v>2</v>
      </c>
      <c r="BN39" s="11">
        <v>2</v>
      </c>
      <c r="BO39" s="11" t="s">
        <v>41</v>
      </c>
      <c r="BP39" s="11" t="s">
        <v>588</v>
      </c>
      <c r="BQ39" s="13" t="s">
        <v>588</v>
      </c>
      <c r="BR39" s="11" t="s">
        <v>588</v>
      </c>
      <c r="BS39" s="11" t="s">
        <v>8</v>
      </c>
      <c r="BT39" s="11" t="s">
        <v>120</v>
      </c>
      <c r="BU39" s="11" t="s">
        <v>120</v>
      </c>
      <c r="BV39" s="11" t="s">
        <v>8</v>
      </c>
      <c r="BW39" s="11" t="s">
        <v>120</v>
      </c>
      <c r="BX39" s="11" t="s">
        <v>120</v>
      </c>
      <c r="BY39" s="11" t="s">
        <v>588</v>
      </c>
      <c r="BZ39" s="11" t="s">
        <v>588</v>
      </c>
    </row>
    <row r="40" spans="1:78" x14ac:dyDescent="0.25">
      <c r="A40" s="11">
        <v>201516</v>
      </c>
      <c r="B40" s="11" t="s">
        <v>585</v>
      </c>
      <c r="C40" t="s">
        <v>432</v>
      </c>
      <c r="D40" s="11" t="s">
        <v>1855</v>
      </c>
      <c r="E40" s="11" t="s">
        <v>16</v>
      </c>
      <c r="F40" s="11">
        <v>2</v>
      </c>
      <c r="G40" s="11" t="str">
        <f t="shared" si="9"/>
        <v>201516_Sandy Waterholes Estuary &amp; next Bay East_2</v>
      </c>
      <c r="H40" s="11" t="s">
        <v>2099</v>
      </c>
      <c r="I40" s="11" t="s">
        <v>71</v>
      </c>
      <c r="J40" s="11" t="s">
        <v>71</v>
      </c>
      <c r="K40" s="11" t="s">
        <v>71</v>
      </c>
      <c r="L40" s="11" t="s">
        <v>71</v>
      </c>
      <c r="M40" s="11" t="s">
        <v>71</v>
      </c>
      <c r="N40" s="11" t="s">
        <v>71</v>
      </c>
      <c r="O40" s="11" t="s">
        <v>71</v>
      </c>
      <c r="P40" s="11" t="s">
        <v>588</v>
      </c>
      <c r="Q40" s="11" t="s">
        <v>588</v>
      </c>
      <c r="R40" s="11" t="s">
        <v>588</v>
      </c>
      <c r="S40" s="11" t="s">
        <v>588</v>
      </c>
      <c r="T40" s="11">
        <v>0</v>
      </c>
      <c r="U40" s="11">
        <v>2</v>
      </c>
      <c r="V40" s="11" t="s">
        <v>588</v>
      </c>
      <c r="W40" s="11" t="s">
        <v>588</v>
      </c>
      <c r="X40" s="11">
        <v>0</v>
      </c>
      <c r="Y40" s="11">
        <v>0</v>
      </c>
      <c r="Z40" s="11" t="s">
        <v>8</v>
      </c>
      <c r="AA40" s="11" t="s">
        <v>71</v>
      </c>
      <c r="AB40" s="11" t="s">
        <v>71</v>
      </c>
      <c r="AC40" s="11" t="s">
        <v>71</v>
      </c>
      <c r="AD40" s="11" t="s">
        <v>71</v>
      </c>
      <c r="AE40" s="11" t="s">
        <v>71</v>
      </c>
      <c r="AF40" s="11" t="s">
        <v>588</v>
      </c>
      <c r="AG40" s="13" t="s">
        <v>588</v>
      </c>
      <c r="AH40" s="11" t="s">
        <v>588</v>
      </c>
      <c r="AI40" s="11" t="s">
        <v>588</v>
      </c>
      <c r="AJ40" s="11" t="s">
        <v>588</v>
      </c>
      <c r="AK40" s="13" t="s">
        <v>588</v>
      </c>
      <c r="AL40" s="11" t="s">
        <v>588</v>
      </c>
      <c r="AM40" s="13" t="s">
        <v>588</v>
      </c>
      <c r="AN40" s="11" t="s">
        <v>588</v>
      </c>
      <c r="AO40" s="13" t="s">
        <v>588</v>
      </c>
      <c r="AP40" s="13">
        <v>42356</v>
      </c>
      <c r="AQ40" s="11" t="s">
        <v>7</v>
      </c>
      <c r="AR40" s="11" t="s">
        <v>195</v>
      </c>
      <c r="AS40" s="11">
        <v>2</v>
      </c>
      <c r="AT40" s="11">
        <v>2</v>
      </c>
      <c r="AU40" s="13">
        <v>42377</v>
      </c>
      <c r="AV40" s="13" t="s">
        <v>1996</v>
      </c>
      <c r="AW40" s="11" t="s">
        <v>588</v>
      </c>
      <c r="AX40" s="11" t="s">
        <v>588</v>
      </c>
      <c r="AY40" s="11" t="s">
        <v>588</v>
      </c>
      <c r="AZ40" s="11" t="s">
        <v>588</v>
      </c>
      <c r="BA40" s="13">
        <v>42377</v>
      </c>
      <c r="BB40" s="13" t="s">
        <v>1996</v>
      </c>
      <c r="BC40" s="11" t="s">
        <v>588</v>
      </c>
      <c r="BD40" s="11" t="s">
        <v>588</v>
      </c>
      <c r="BE40" s="11" t="s">
        <v>588</v>
      </c>
      <c r="BF40" s="11" t="s">
        <v>588</v>
      </c>
      <c r="BG40" s="13" t="s">
        <v>588</v>
      </c>
      <c r="BH40" s="13" t="s">
        <v>588</v>
      </c>
      <c r="BI40" s="11" t="s">
        <v>588</v>
      </c>
      <c r="BJ40" s="11" t="s">
        <v>588</v>
      </c>
      <c r="BK40" s="11" t="s">
        <v>588</v>
      </c>
      <c r="BL40" s="11" t="s">
        <v>588</v>
      </c>
      <c r="BM40" s="11">
        <v>2</v>
      </c>
      <c r="BN40" s="11">
        <v>2</v>
      </c>
      <c r="BO40" s="11" t="s">
        <v>647</v>
      </c>
      <c r="BP40" s="11" t="s">
        <v>588</v>
      </c>
      <c r="BQ40" s="13" t="s">
        <v>588</v>
      </c>
      <c r="BR40" s="11" t="s">
        <v>588</v>
      </c>
      <c r="BS40" s="11" t="s">
        <v>8</v>
      </c>
      <c r="BT40" s="11" t="s">
        <v>120</v>
      </c>
      <c r="BU40" s="11" t="s">
        <v>120</v>
      </c>
      <c r="BV40" s="11" t="s">
        <v>8</v>
      </c>
      <c r="BW40" s="11" t="s">
        <v>120</v>
      </c>
      <c r="BX40" s="11" t="s">
        <v>120</v>
      </c>
      <c r="BY40" s="11" t="s">
        <v>588</v>
      </c>
      <c r="BZ40" s="11" t="s">
        <v>588</v>
      </c>
    </row>
    <row r="41" spans="1:78" x14ac:dyDescent="0.25">
      <c r="A41" s="11">
        <v>201516</v>
      </c>
      <c r="B41" s="11" t="s">
        <v>129</v>
      </c>
      <c r="C41" t="s">
        <v>35</v>
      </c>
      <c r="D41" s="11" t="s">
        <v>24</v>
      </c>
      <c r="E41" s="11" t="s">
        <v>63</v>
      </c>
      <c r="F41" s="11">
        <v>1</v>
      </c>
      <c r="G41" s="11" t="str">
        <f t="shared" si="9"/>
        <v>201516_The Oaks_1</v>
      </c>
      <c r="H41" s="11" t="s">
        <v>1956</v>
      </c>
      <c r="I41" s="13">
        <v>42261</v>
      </c>
      <c r="J41" s="11">
        <f t="shared" ref="J41:J66" si="10">DAY(I41)</f>
        <v>14</v>
      </c>
      <c r="K41" s="11">
        <f t="shared" ref="K41:K66" si="11">MONTH(I41)</f>
        <v>9</v>
      </c>
      <c r="L41" s="11">
        <f t="shared" ref="L41:L66" si="12">YEAR(I41)</f>
        <v>2015</v>
      </c>
      <c r="M41" s="11" t="str">
        <f t="shared" ref="M41:M66" si="13">CONCATENATE(TEXT(J41,"00"),TEXT(K41,"00"),TEXT(L41,"0000"))</f>
        <v>14092015</v>
      </c>
      <c r="N41" s="11" t="s">
        <v>28</v>
      </c>
      <c r="O41" s="11" t="s">
        <v>51</v>
      </c>
      <c r="P41" s="11" t="s">
        <v>588</v>
      </c>
      <c r="Q41" s="11" t="s">
        <v>588</v>
      </c>
      <c r="R41" s="11" t="s">
        <v>588</v>
      </c>
      <c r="S41" s="11" t="s">
        <v>588</v>
      </c>
      <c r="T41" s="11">
        <v>3</v>
      </c>
      <c r="U41" s="11">
        <v>3</v>
      </c>
      <c r="V41" s="13">
        <v>42263</v>
      </c>
      <c r="W41" s="11" t="s">
        <v>223</v>
      </c>
      <c r="X41" s="11">
        <v>3</v>
      </c>
      <c r="Y41" s="11">
        <v>3</v>
      </c>
      <c r="Z41" s="11" t="s">
        <v>8</v>
      </c>
      <c r="AA41" s="13">
        <v>42283</v>
      </c>
      <c r="AB41" s="11">
        <f t="shared" ref="AB41:AB66" si="14">DAY(AA41)</f>
        <v>6</v>
      </c>
      <c r="AC41" s="11">
        <f t="shared" ref="AC41:AC66" si="15">MONTH(AA41)</f>
        <v>10</v>
      </c>
      <c r="AD41" s="11">
        <f t="shared" ref="AD41:AD66" si="16">YEAR(AA41)</f>
        <v>2015</v>
      </c>
      <c r="AE41" s="13" t="str">
        <f t="shared" ref="AE41:AE66" si="17">CONCATENATE(TEXT(AB41,"00"),TEXT(AC41,"00"),TEXT(AD41,"0000"))</f>
        <v>06102015</v>
      </c>
      <c r="AF41" s="11" t="s">
        <v>29</v>
      </c>
      <c r="AG41" s="13" t="s">
        <v>588</v>
      </c>
      <c r="AH41" s="11" t="s">
        <v>588</v>
      </c>
      <c r="AI41" s="11" t="s">
        <v>588</v>
      </c>
      <c r="AJ41" s="11" t="s">
        <v>588</v>
      </c>
      <c r="AK41" s="13" t="s">
        <v>588</v>
      </c>
      <c r="AL41" s="11" t="s">
        <v>588</v>
      </c>
      <c r="AM41" s="13" t="s">
        <v>588</v>
      </c>
      <c r="AN41" s="11" t="s">
        <v>588</v>
      </c>
      <c r="AO41" s="13" t="s">
        <v>588</v>
      </c>
      <c r="AP41" s="13">
        <v>42296</v>
      </c>
      <c r="AQ41" s="11" t="s">
        <v>29</v>
      </c>
      <c r="AR41" s="11" t="s">
        <v>195</v>
      </c>
      <c r="AS41" s="11">
        <v>3</v>
      </c>
      <c r="AT41" s="11">
        <v>3</v>
      </c>
      <c r="AU41" s="13">
        <v>42296</v>
      </c>
      <c r="AV41" s="13">
        <v>42301</v>
      </c>
      <c r="AW41" s="11" t="s">
        <v>29</v>
      </c>
      <c r="AX41" s="11" t="s">
        <v>41</v>
      </c>
      <c r="AY41" s="11" t="s">
        <v>41</v>
      </c>
      <c r="AZ41" s="11" t="s">
        <v>20</v>
      </c>
      <c r="BA41" s="13">
        <v>42296</v>
      </c>
      <c r="BB41" s="13">
        <v>42301</v>
      </c>
      <c r="BC41" s="11" t="s">
        <v>29</v>
      </c>
      <c r="BD41" s="11" t="s">
        <v>41</v>
      </c>
      <c r="BE41" s="11" t="s">
        <v>41</v>
      </c>
      <c r="BF41" s="11" t="s">
        <v>20</v>
      </c>
      <c r="BG41" s="13" t="s">
        <v>588</v>
      </c>
      <c r="BH41" s="13" t="s">
        <v>588</v>
      </c>
      <c r="BI41" s="11" t="s">
        <v>588</v>
      </c>
      <c r="BJ41" s="11" t="s">
        <v>588</v>
      </c>
      <c r="BK41" s="11" t="s">
        <v>588</v>
      </c>
      <c r="BL41" s="11" t="s">
        <v>588</v>
      </c>
      <c r="BM41" s="11">
        <v>6</v>
      </c>
      <c r="BN41" s="11">
        <v>6</v>
      </c>
      <c r="BO41" s="11" t="s">
        <v>8</v>
      </c>
      <c r="BP41" s="11">
        <v>1</v>
      </c>
      <c r="BQ41" s="13">
        <v>42332</v>
      </c>
      <c r="BR41" s="11" t="s">
        <v>17</v>
      </c>
      <c r="BS41" s="11" t="s">
        <v>8</v>
      </c>
      <c r="BT41" s="11" t="s">
        <v>120</v>
      </c>
      <c r="BU41" s="11" t="s">
        <v>120</v>
      </c>
      <c r="BV41" s="11" t="s">
        <v>8</v>
      </c>
      <c r="BW41" s="11" t="s">
        <v>120</v>
      </c>
      <c r="BX41" s="11" t="s">
        <v>120</v>
      </c>
      <c r="BY41" s="11" t="s">
        <v>588</v>
      </c>
      <c r="BZ41" s="11" t="s">
        <v>588</v>
      </c>
    </row>
    <row r="42" spans="1:78" x14ac:dyDescent="0.25">
      <c r="A42" s="11">
        <v>201516</v>
      </c>
      <c r="B42" s="11" t="s">
        <v>129</v>
      </c>
      <c r="C42" t="s">
        <v>35</v>
      </c>
      <c r="D42" s="11" t="s">
        <v>24</v>
      </c>
      <c r="E42" s="11" t="s">
        <v>63</v>
      </c>
      <c r="F42" s="11">
        <v>2</v>
      </c>
      <c r="G42" s="11" t="str">
        <f t="shared" si="9"/>
        <v>201516_The Oaks_2</v>
      </c>
      <c r="H42" s="11" t="s">
        <v>2100</v>
      </c>
      <c r="I42" s="13">
        <v>42342</v>
      </c>
      <c r="J42" s="11">
        <f t="shared" si="10"/>
        <v>4</v>
      </c>
      <c r="K42" s="11">
        <f t="shared" si="11"/>
        <v>12</v>
      </c>
      <c r="L42" s="11">
        <f t="shared" si="12"/>
        <v>2015</v>
      </c>
      <c r="M42" s="11" t="str">
        <f t="shared" si="13"/>
        <v>04122015</v>
      </c>
      <c r="N42" s="11" t="s">
        <v>7</v>
      </c>
      <c r="O42" s="11" t="s">
        <v>51</v>
      </c>
      <c r="P42" s="11" t="s">
        <v>588</v>
      </c>
      <c r="Q42" s="11" t="s">
        <v>588</v>
      </c>
      <c r="R42" s="11" t="s">
        <v>588</v>
      </c>
      <c r="S42" s="11" t="s">
        <v>588</v>
      </c>
      <c r="T42" s="11">
        <v>2</v>
      </c>
      <c r="U42" s="11">
        <v>3</v>
      </c>
      <c r="V42" s="11" t="s">
        <v>588</v>
      </c>
      <c r="W42" s="11" t="s">
        <v>588</v>
      </c>
      <c r="X42" s="11">
        <v>3</v>
      </c>
      <c r="Y42" s="11">
        <v>3</v>
      </c>
      <c r="Z42" s="11" t="s">
        <v>41</v>
      </c>
      <c r="AA42" s="13">
        <v>42352</v>
      </c>
      <c r="AB42" s="11">
        <f t="shared" si="14"/>
        <v>14</v>
      </c>
      <c r="AC42" s="11">
        <f t="shared" si="15"/>
        <v>12</v>
      </c>
      <c r="AD42" s="11">
        <f t="shared" si="16"/>
        <v>2015</v>
      </c>
      <c r="AE42" s="13" t="str">
        <f t="shared" si="17"/>
        <v>14122015</v>
      </c>
      <c r="AF42" s="11" t="s">
        <v>7</v>
      </c>
      <c r="AG42" s="13">
        <v>42359</v>
      </c>
      <c r="AH42" s="11">
        <v>21</v>
      </c>
      <c r="AI42" s="11">
        <v>12</v>
      </c>
      <c r="AJ42" s="11">
        <v>2015</v>
      </c>
      <c r="AK42" s="13" t="s">
        <v>2025</v>
      </c>
      <c r="AL42" s="11" t="s">
        <v>7</v>
      </c>
      <c r="AM42" s="13" t="s">
        <v>41</v>
      </c>
      <c r="AN42" s="11" t="s">
        <v>8</v>
      </c>
      <c r="AO42" s="11" t="s">
        <v>32</v>
      </c>
      <c r="AP42" s="11" t="s">
        <v>588</v>
      </c>
      <c r="AQ42" s="11" t="s">
        <v>588</v>
      </c>
      <c r="AR42" s="11" t="s">
        <v>588</v>
      </c>
      <c r="AS42" s="11" t="s">
        <v>588</v>
      </c>
      <c r="AT42" s="11" t="s">
        <v>588</v>
      </c>
      <c r="AU42" s="11" t="s">
        <v>588</v>
      </c>
      <c r="AV42" s="11" t="s">
        <v>588</v>
      </c>
      <c r="AW42" s="11" t="s">
        <v>588</v>
      </c>
      <c r="AX42" s="11" t="s">
        <v>588</v>
      </c>
      <c r="AY42" s="11" t="s">
        <v>588</v>
      </c>
      <c r="AZ42" s="11" t="s">
        <v>588</v>
      </c>
      <c r="BA42" s="11" t="s">
        <v>588</v>
      </c>
      <c r="BB42" s="11" t="s">
        <v>588</v>
      </c>
      <c r="BC42" s="11" t="s">
        <v>588</v>
      </c>
      <c r="BD42" s="11" t="s">
        <v>588</v>
      </c>
      <c r="BE42" s="11" t="s">
        <v>588</v>
      </c>
      <c r="BF42" s="11" t="s">
        <v>588</v>
      </c>
      <c r="BG42" s="13" t="s">
        <v>588</v>
      </c>
      <c r="BH42" s="13" t="s">
        <v>588</v>
      </c>
      <c r="BI42" s="11" t="s">
        <v>588</v>
      </c>
      <c r="BJ42" s="11" t="s">
        <v>588</v>
      </c>
      <c r="BK42" s="11" t="s">
        <v>588</v>
      </c>
      <c r="BL42" s="11" t="s">
        <v>588</v>
      </c>
      <c r="BM42" s="11" t="s">
        <v>588</v>
      </c>
      <c r="BN42" s="11" t="s">
        <v>588</v>
      </c>
      <c r="BO42" s="11" t="s">
        <v>588</v>
      </c>
      <c r="BP42" s="11" t="s">
        <v>588</v>
      </c>
      <c r="BQ42" s="13" t="s">
        <v>588</v>
      </c>
      <c r="BR42" s="11" t="s">
        <v>588</v>
      </c>
      <c r="BS42" s="11" t="s">
        <v>8</v>
      </c>
      <c r="BT42" s="11" t="s">
        <v>120</v>
      </c>
      <c r="BU42" s="11" t="s">
        <v>120</v>
      </c>
      <c r="BV42" s="11" t="s">
        <v>588</v>
      </c>
      <c r="BW42" s="11" t="s">
        <v>588</v>
      </c>
      <c r="BX42" s="11" t="s">
        <v>588</v>
      </c>
      <c r="BY42" s="11" t="s">
        <v>588</v>
      </c>
      <c r="BZ42" s="11" t="s">
        <v>588</v>
      </c>
    </row>
    <row r="43" spans="1:78" x14ac:dyDescent="0.25">
      <c r="A43" s="11">
        <v>201516</v>
      </c>
      <c r="B43" s="11" t="s">
        <v>129</v>
      </c>
      <c r="C43" t="s">
        <v>35</v>
      </c>
      <c r="D43" s="11" t="s">
        <v>24</v>
      </c>
      <c r="E43" s="11" t="s">
        <v>63</v>
      </c>
      <c r="F43" s="11">
        <v>3</v>
      </c>
      <c r="G43" s="11" t="str">
        <f t="shared" si="9"/>
        <v>201516_The Oaks_3</v>
      </c>
      <c r="H43" s="11" t="s">
        <v>2101</v>
      </c>
      <c r="I43" s="13">
        <v>42396</v>
      </c>
      <c r="J43" s="11">
        <f t="shared" si="10"/>
        <v>27</v>
      </c>
      <c r="K43" s="11">
        <f t="shared" si="11"/>
        <v>1</v>
      </c>
      <c r="L43" s="11">
        <f t="shared" si="12"/>
        <v>2016</v>
      </c>
      <c r="M43" s="11" t="str">
        <f t="shared" si="13"/>
        <v>27012016</v>
      </c>
      <c r="N43" s="11" t="s">
        <v>12</v>
      </c>
      <c r="O43" s="11" t="s">
        <v>10</v>
      </c>
      <c r="P43" s="11" t="s">
        <v>588</v>
      </c>
      <c r="Q43" s="11" t="s">
        <v>588</v>
      </c>
      <c r="R43" s="11" t="s">
        <v>588</v>
      </c>
      <c r="S43" s="11" t="s">
        <v>588</v>
      </c>
      <c r="T43" s="11" t="s">
        <v>1847</v>
      </c>
      <c r="U43" s="11">
        <v>3</v>
      </c>
      <c r="V43" s="11" t="s">
        <v>588</v>
      </c>
      <c r="W43" s="11" t="s">
        <v>588</v>
      </c>
      <c r="X43" s="11">
        <v>1</v>
      </c>
      <c r="Y43" s="11">
        <v>1</v>
      </c>
      <c r="Z43" s="11" t="s">
        <v>647</v>
      </c>
      <c r="AA43" s="13">
        <v>42396</v>
      </c>
      <c r="AB43" s="11">
        <f t="shared" si="14"/>
        <v>27</v>
      </c>
      <c r="AC43" s="11">
        <f t="shared" si="15"/>
        <v>1</v>
      </c>
      <c r="AD43" s="11">
        <f t="shared" si="16"/>
        <v>2016</v>
      </c>
      <c r="AE43" s="13" t="str">
        <f t="shared" si="17"/>
        <v>27012016</v>
      </c>
      <c r="AF43" s="11" t="s">
        <v>12</v>
      </c>
      <c r="AG43" s="11" t="s">
        <v>1996</v>
      </c>
      <c r="AH43" s="11" t="s">
        <v>1996</v>
      </c>
      <c r="AI43" s="11" t="s">
        <v>1996</v>
      </c>
      <c r="AJ43" s="11" t="s">
        <v>1996</v>
      </c>
      <c r="AK43" s="11" t="s">
        <v>1996</v>
      </c>
      <c r="AL43" s="11" t="s">
        <v>1996</v>
      </c>
      <c r="AM43" s="13" t="s">
        <v>588</v>
      </c>
      <c r="AN43" s="11" t="s">
        <v>588</v>
      </c>
      <c r="AO43" s="11" t="s">
        <v>588</v>
      </c>
      <c r="AP43" s="11" t="s">
        <v>588</v>
      </c>
      <c r="AQ43" s="11" t="s">
        <v>588</v>
      </c>
      <c r="AR43" s="11" t="s">
        <v>588</v>
      </c>
      <c r="AS43" s="11" t="s">
        <v>588</v>
      </c>
      <c r="AT43" s="11" t="s">
        <v>588</v>
      </c>
      <c r="AU43" s="11" t="s">
        <v>588</v>
      </c>
      <c r="AV43" s="11" t="s">
        <v>588</v>
      </c>
      <c r="AW43" s="11" t="s">
        <v>588</v>
      </c>
      <c r="AX43" s="11" t="s">
        <v>588</v>
      </c>
      <c r="AY43" s="11" t="s">
        <v>588</v>
      </c>
      <c r="AZ43" s="11" t="s">
        <v>588</v>
      </c>
      <c r="BA43" s="11" t="s">
        <v>588</v>
      </c>
      <c r="BB43" s="11" t="s">
        <v>588</v>
      </c>
      <c r="BC43" s="11" t="s">
        <v>588</v>
      </c>
      <c r="BD43" s="11" t="s">
        <v>588</v>
      </c>
      <c r="BE43" s="11" t="s">
        <v>588</v>
      </c>
      <c r="BF43" s="11" t="s">
        <v>588</v>
      </c>
      <c r="BG43" s="13" t="s">
        <v>588</v>
      </c>
      <c r="BH43" s="13" t="s">
        <v>588</v>
      </c>
      <c r="BI43" s="11" t="s">
        <v>588</v>
      </c>
      <c r="BJ43" s="11" t="s">
        <v>588</v>
      </c>
      <c r="BK43" s="11" t="s">
        <v>588</v>
      </c>
      <c r="BL43" s="11" t="s">
        <v>588</v>
      </c>
      <c r="BM43" s="11" t="s">
        <v>588</v>
      </c>
      <c r="BN43" s="11" t="s">
        <v>588</v>
      </c>
      <c r="BO43" s="11" t="s">
        <v>588</v>
      </c>
      <c r="BP43" s="11" t="s">
        <v>588</v>
      </c>
      <c r="BQ43" s="11" t="s">
        <v>588</v>
      </c>
      <c r="BR43" s="11" t="s">
        <v>588</v>
      </c>
      <c r="BS43" s="11" t="s">
        <v>8</v>
      </c>
      <c r="BT43" s="11" t="s">
        <v>120</v>
      </c>
      <c r="BU43" s="11" t="s">
        <v>120</v>
      </c>
      <c r="BV43" s="11" t="s">
        <v>588</v>
      </c>
      <c r="BW43" s="11" t="s">
        <v>588</v>
      </c>
      <c r="BX43" s="11" t="s">
        <v>588</v>
      </c>
      <c r="BY43" s="11" t="s">
        <v>588</v>
      </c>
      <c r="BZ43" s="11" t="s">
        <v>588</v>
      </c>
    </row>
    <row r="44" spans="1:78" x14ac:dyDescent="0.25">
      <c r="A44" s="11">
        <v>201516</v>
      </c>
      <c r="B44" s="11" t="s">
        <v>131</v>
      </c>
      <c r="C44" t="s">
        <v>37</v>
      </c>
      <c r="D44" s="11" t="s">
        <v>38</v>
      </c>
      <c r="E44" s="11" t="s">
        <v>16</v>
      </c>
      <c r="F44" s="11">
        <v>1</v>
      </c>
      <c r="G44" s="11" t="str">
        <f t="shared" si="9"/>
        <v>201516_Waterfall Creek_1</v>
      </c>
      <c r="H44" s="11" t="s">
        <v>1960</v>
      </c>
      <c r="I44" s="13">
        <v>42341</v>
      </c>
      <c r="J44" s="11">
        <f t="shared" si="10"/>
        <v>3</v>
      </c>
      <c r="K44" s="11">
        <f t="shared" si="11"/>
        <v>12</v>
      </c>
      <c r="L44" s="11">
        <f t="shared" si="12"/>
        <v>2015</v>
      </c>
      <c r="M44" s="11" t="str">
        <f t="shared" si="13"/>
        <v>03122015</v>
      </c>
      <c r="N44" s="11" t="s">
        <v>7</v>
      </c>
      <c r="O44" s="11" t="s">
        <v>36</v>
      </c>
      <c r="P44" s="11">
        <v>-38.656149999999997</v>
      </c>
      <c r="Q44" s="11">
        <v>145.57469</v>
      </c>
      <c r="R44" s="11" t="s">
        <v>588</v>
      </c>
      <c r="S44" s="11" t="s">
        <v>588</v>
      </c>
      <c r="T44" s="11">
        <v>3</v>
      </c>
      <c r="U44" s="11">
        <v>3</v>
      </c>
      <c r="V44" s="11" t="s">
        <v>588</v>
      </c>
      <c r="W44" s="11" t="s">
        <v>588</v>
      </c>
      <c r="X44" s="11">
        <v>3</v>
      </c>
      <c r="Y44" s="11">
        <v>3</v>
      </c>
      <c r="Z44" s="11" t="s">
        <v>41</v>
      </c>
      <c r="AA44" s="13">
        <v>42353</v>
      </c>
      <c r="AB44" s="11">
        <f t="shared" si="14"/>
        <v>15</v>
      </c>
      <c r="AC44" s="11">
        <f t="shared" si="15"/>
        <v>12</v>
      </c>
      <c r="AD44" s="11">
        <f t="shared" si="16"/>
        <v>2015</v>
      </c>
      <c r="AE44" s="13" t="str">
        <f t="shared" si="17"/>
        <v>15122015</v>
      </c>
      <c r="AF44" s="11" t="s">
        <v>7</v>
      </c>
      <c r="AG44" s="13">
        <v>42372</v>
      </c>
      <c r="AH44" s="11">
        <v>3</v>
      </c>
      <c r="AI44" s="11">
        <v>1</v>
      </c>
      <c r="AJ44" s="11">
        <v>2016</v>
      </c>
      <c r="AK44" s="13" t="s">
        <v>2028</v>
      </c>
      <c r="AL44" s="11" t="s">
        <v>12</v>
      </c>
      <c r="AM44" s="13" t="s">
        <v>41</v>
      </c>
      <c r="AN44" s="11" t="s">
        <v>41</v>
      </c>
      <c r="AO44" s="13" t="s">
        <v>20</v>
      </c>
      <c r="AP44" s="11" t="s">
        <v>588</v>
      </c>
      <c r="AQ44" s="13" t="s">
        <v>588</v>
      </c>
      <c r="AR44" s="11" t="s">
        <v>588</v>
      </c>
      <c r="AS44" s="13" t="s">
        <v>588</v>
      </c>
      <c r="AT44" s="11" t="s">
        <v>588</v>
      </c>
      <c r="AU44" s="13" t="s">
        <v>588</v>
      </c>
      <c r="AV44" s="13" t="s">
        <v>588</v>
      </c>
      <c r="AW44" s="13" t="s">
        <v>588</v>
      </c>
      <c r="AX44" s="13" t="s">
        <v>588</v>
      </c>
      <c r="AY44" s="13" t="s">
        <v>588</v>
      </c>
      <c r="AZ44" s="13" t="s">
        <v>588</v>
      </c>
      <c r="BA44" s="13" t="s">
        <v>588</v>
      </c>
      <c r="BB44" s="13" t="s">
        <v>588</v>
      </c>
      <c r="BC44" s="13" t="s">
        <v>588</v>
      </c>
      <c r="BD44" s="13" t="s">
        <v>588</v>
      </c>
      <c r="BE44" s="13" t="s">
        <v>588</v>
      </c>
      <c r="BF44" s="13" t="s">
        <v>588</v>
      </c>
      <c r="BG44" s="13" t="s">
        <v>588</v>
      </c>
      <c r="BH44" s="13" t="s">
        <v>588</v>
      </c>
      <c r="BI44" s="13" t="s">
        <v>588</v>
      </c>
      <c r="BJ44" s="13" t="s">
        <v>588</v>
      </c>
      <c r="BK44" s="13" t="s">
        <v>588</v>
      </c>
      <c r="BL44" s="13" t="s">
        <v>588</v>
      </c>
      <c r="BM44" s="13" t="s">
        <v>588</v>
      </c>
      <c r="BN44" s="13" t="s">
        <v>588</v>
      </c>
      <c r="BO44" s="13" t="s">
        <v>588</v>
      </c>
      <c r="BP44" s="13" t="s">
        <v>588</v>
      </c>
      <c r="BQ44" s="13" t="s">
        <v>588</v>
      </c>
      <c r="BR44" s="13" t="s">
        <v>588</v>
      </c>
      <c r="BS44" s="11" t="s">
        <v>8</v>
      </c>
      <c r="BT44" s="11" t="s">
        <v>123</v>
      </c>
      <c r="BU44" s="11" t="s">
        <v>123</v>
      </c>
      <c r="BV44" s="13" t="s">
        <v>588</v>
      </c>
      <c r="BW44" s="13" t="s">
        <v>588</v>
      </c>
      <c r="BX44" s="13" t="s">
        <v>588</v>
      </c>
      <c r="BY44" s="13" t="s">
        <v>588</v>
      </c>
      <c r="BZ44" s="13" t="s">
        <v>588</v>
      </c>
    </row>
    <row r="45" spans="1:78" x14ac:dyDescent="0.25">
      <c r="A45" s="11">
        <v>201516</v>
      </c>
      <c r="B45" s="11" t="s">
        <v>131</v>
      </c>
      <c r="C45" t="s">
        <v>37</v>
      </c>
      <c r="D45" s="11" t="s">
        <v>38</v>
      </c>
      <c r="E45" s="11" t="s">
        <v>16</v>
      </c>
      <c r="F45" s="11">
        <v>2</v>
      </c>
      <c r="G45" s="11" t="str">
        <f t="shared" si="9"/>
        <v>201516_Waterfall Creek_2</v>
      </c>
      <c r="H45" s="11" t="s">
        <v>1962</v>
      </c>
      <c r="I45" s="13">
        <v>42372</v>
      </c>
      <c r="J45" s="11">
        <f t="shared" si="10"/>
        <v>3</v>
      </c>
      <c r="K45" s="11">
        <f t="shared" si="11"/>
        <v>1</v>
      </c>
      <c r="L45" s="11">
        <f t="shared" si="12"/>
        <v>2016</v>
      </c>
      <c r="M45" s="11" t="str">
        <f t="shared" si="13"/>
        <v>03012016</v>
      </c>
      <c r="N45" s="11" t="s">
        <v>12</v>
      </c>
      <c r="O45" s="11" t="s">
        <v>10</v>
      </c>
      <c r="P45" s="11">
        <v>-38.656638999999998</v>
      </c>
      <c r="Q45" s="11">
        <v>145.574905</v>
      </c>
      <c r="R45" s="11" t="s">
        <v>588</v>
      </c>
      <c r="S45" s="11" t="s">
        <v>588</v>
      </c>
      <c r="T45" s="11">
        <v>3</v>
      </c>
      <c r="U45" s="11">
        <v>3</v>
      </c>
      <c r="V45" s="11" t="s">
        <v>588</v>
      </c>
      <c r="W45" s="11" t="s">
        <v>588</v>
      </c>
      <c r="X45" s="11">
        <v>6</v>
      </c>
      <c r="Y45" s="11">
        <v>6</v>
      </c>
      <c r="Z45" s="11" t="s">
        <v>8</v>
      </c>
      <c r="AA45" s="13">
        <v>42390</v>
      </c>
      <c r="AB45" s="11">
        <f t="shared" si="14"/>
        <v>21</v>
      </c>
      <c r="AC45" s="11">
        <f t="shared" si="15"/>
        <v>1</v>
      </c>
      <c r="AD45" s="11">
        <f t="shared" si="16"/>
        <v>2016</v>
      </c>
      <c r="AE45" s="13" t="str">
        <f t="shared" si="17"/>
        <v>21012016</v>
      </c>
      <c r="AF45" s="11" t="s">
        <v>12</v>
      </c>
      <c r="AG45" s="11" t="s">
        <v>588</v>
      </c>
      <c r="AH45" s="11" t="s">
        <v>588</v>
      </c>
      <c r="AI45" s="11" t="s">
        <v>588</v>
      </c>
      <c r="AJ45" s="11" t="s">
        <v>588</v>
      </c>
      <c r="AK45" s="13" t="s">
        <v>588</v>
      </c>
      <c r="AL45" s="11" t="s">
        <v>588</v>
      </c>
      <c r="AM45" s="13" t="s">
        <v>588</v>
      </c>
      <c r="AN45" s="11" t="s">
        <v>588</v>
      </c>
      <c r="AO45" s="11" t="s">
        <v>588</v>
      </c>
      <c r="AP45" s="13">
        <v>42395</v>
      </c>
      <c r="AQ45" s="11" t="s">
        <v>12</v>
      </c>
      <c r="AR45" s="11" t="s">
        <v>195</v>
      </c>
      <c r="AS45" s="11">
        <v>2</v>
      </c>
      <c r="AT45" s="11">
        <v>2</v>
      </c>
      <c r="AU45" s="13">
        <v>42395</v>
      </c>
      <c r="AV45" s="13">
        <v>42399</v>
      </c>
      <c r="AW45" s="11" t="s">
        <v>12</v>
      </c>
      <c r="AX45" s="11" t="s">
        <v>41</v>
      </c>
      <c r="AY45" s="11" t="s">
        <v>41</v>
      </c>
      <c r="AZ45" s="11" t="s">
        <v>20</v>
      </c>
      <c r="BA45" s="13">
        <v>42410</v>
      </c>
      <c r="BB45" s="13">
        <v>42419</v>
      </c>
      <c r="BC45" s="11" t="s">
        <v>21</v>
      </c>
      <c r="BD45" s="11" t="s">
        <v>41</v>
      </c>
      <c r="BE45" s="11" t="s">
        <v>41</v>
      </c>
      <c r="BF45" s="11" t="s">
        <v>20</v>
      </c>
      <c r="BG45" s="13" t="s">
        <v>588</v>
      </c>
      <c r="BH45" s="13" t="s">
        <v>588</v>
      </c>
      <c r="BI45" s="11" t="s">
        <v>588</v>
      </c>
      <c r="BJ45" s="11" t="s">
        <v>588</v>
      </c>
      <c r="BK45" s="11" t="s">
        <v>588</v>
      </c>
      <c r="BL45" s="11" t="s">
        <v>588</v>
      </c>
      <c r="BM45" s="11">
        <v>4</v>
      </c>
      <c r="BN45" s="11">
        <v>4</v>
      </c>
      <c r="BO45" s="11" t="s">
        <v>41</v>
      </c>
      <c r="BP45" s="11" t="s">
        <v>588</v>
      </c>
      <c r="BQ45" s="13" t="s">
        <v>588</v>
      </c>
      <c r="BR45" s="11" t="s">
        <v>588</v>
      </c>
      <c r="BS45" s="11" t="s">
        <v>8</v>
      </c>
      <c r="BT45" s="11" t="s">
        <v>120</v>
      </c>
      <c r="BU45" s="11" t="s">
        <v>120</v>
      </c>
      <c r="BV45" s="11" t="s">
        <v>8</v>
      </c>
      <c r="BW45" s="11" t="s">
        <v>120</v>
      </c>
      <c r="BX45" s="11" t="s">
        <v>120</v>
      </c>
      <c r="BY45" s="11" t="s">
        <v>588</v>
      </c>
      <c r="BZ45" s="11" t="s">
        <v>588</v>
      </c>
    </row>
    <row r="46" spans="1:78" x14ac:dyDescent="0.25">
      <c r="A46" s="11">
        <v>201516</v>
      </c>
      <c r="B46" s="11" t="s">
        <v>587</v>
      </c>
      <c r="C46" t="s">
        <v>563</v>
      </c>
      <c r="D46" s="11" t="s">
        <v>2001</v>
      </c>
      <c r="E46" s="11" t="s">
        <v>360</v>
      </c>
      <c r="F46" s="11">
        <v>1</v>
      </c>
      <c r="G46" s="11" t="str">
        <f t="shared" si="9"/>
        <v>201516_Williamsons Beach A18 East_1</v>
      </c>
      <c r="H46" s="11" t="s">
        <v>1986</v>
      </c>
      <c r="I46" s="13">
        <v>42321</v>
      </c>
      <c r="J46" s="11">
        <f t="shared" si="10"/>
        <v>13</v>
      </c>
      <c r="K46" s="11">
        <f t="shared" si="11"/>
        <v>11</v>
      </c>
      <c r="L46" s="11">
        <f t="shared" si="12"/>
        <v>2015</v>
      </c>
      <c r="M46" s="11" t="str">
        <f t="shared" si="13"/>
        <v>13112015</v>
      </c>
      <c r="N46" s="11" t="s">
        <v>17</v>
      </c>
      <c r="O46" s="11" t="s">
        <v>51</v>
      </c>
      <c r="P46" s="11">
        <v>-38.598759999999999</v>
      </c>
      <c r="Q46" s="11">
        <v>145.52715000000001</v>
      </c>
      <c r="R46" s="11" t="s">
        <v>588</v>
      </c>
      <c r="S46" s="11" t="s">
        <v>588</v>
      </c>
      <c r="T46" s="11">
        <v>2</v>
      </c>
      <c r="U46" s="11">
        <v>3</v>
      </c>
      <c r="V46" s="13">
        <v>42323</v>
      </c>
      <c r="W46" s="11" t="s">
        <v>223</v>
      </c>
      <c r="X46" s="11">
        <v>2</v>
      </c>
      <c r="Y46" s="11">
        <v>2</v>
      </c>
      <c r="Z46" s="11" t="s">
        <v>41</v>
      </c>
      <c r="AA46" s="13">
        <v>42321</v>
      </c>
      <c r="AB46" s="11">
        <f t="shared" si="14"/>
        <v>13</v>
      </c>
      <c r="AC46" s="11">
        <f t="shared" si="15"/>
        <v>11</v>
      </c>
      <c r="AD46" s="11">
        <f t="shared" si="16"/>
        <v>2015</v>
      </c>
      <c r="AE46" s="13" t="str">
        <f t="shared" si="17"/>
        <v>13112015</v>
      </c>
      <c r="AF46" s="11" t="s">
        <v>17</v>
      </c>
      <c r="AG46" s="13">
        <v>42332</v>
      </c>
      <c r="AH46" s="11">
        <v>24</v>
      </c>
      <c r="AI46" s="11">
        <v>11</v>
      </c>
      <c r="AJ46" s="11">
        <v>2015</v>
      </c>
      <c r="AK46" s="13" t="s">
        <v>2011</v>
      </c>
      <c r="AL46" s="11" t="s">
        <v>17</v>
      </c>
      <c r="AM46" s="13" t="s">
        <v>41</v>
      </c>
      <c r="AN46" s="11" t="s">
        <v>41</v>
      </c>
      <c r="AO46" s="13" t="s">
        <v>20</v>
      </c>
      <c r="AP46" s="11" t="s">
        <v>588</v>
      </c>
      <c r="AQ46" s="13" t="s">
        <v>588</v>
      </c>
      <c r="AR46" s="11" t="s">
        <v>588</v>
      </c>
      <c r="AS46" s="13" t="s">
        <v>588</v>
      </c>
      <c r="AT46" s="11" t="s">
        <v>588</v>
      </c>
      <c r="AU46" s="13" t="s">
        <v>588</v>
      </c>
      <c r="AV46" s="13" t="s">
        <v>588</v>
      </c>
      <c r="AW46" s="13" t="s">
        <v>588</v>
      </c>
      <c r="AX46" s="13" t="s">
        <v>588</v>
      </c>
      <c r="AY46" s="13" t="s">
        <v>588</v>
      </c>
      <c r="AZ46" s="13" t="s">
        <v>588</v>
      </c>
      <c r="BA46" s="13" t="s">
        <v>588</v>
      </c>
      <c r="BB46" s="13" t="s">
        <v>588</v>
      </c>
      <c r="BC46" s="13" t="s">
        <v>588</v>
      </c>
      <c r="BD46" s="13" t="s">
        <v>588</v>
      </c>
      <c r="BE46" s="13" t="s">
        <v>588</v>
      </c>
      <c r="BF46" s="13" t="s">
        <v>588</v>
      </c>
      <c r="BG46" s="13" t="s">
        <v>588</v>
      </c>
      <c r="BH46" s="13" t="s">
        <v>588</v>
      </c>
      <c r="BI46" s="13" t="s">
        <v>588</v>
      </c>
      <c r="BJ46" s="13" t="s">
        <v>588</v>
      </c>
      <c r="BK46" s="13" t="s">
        <v>588</v>
      </c>
      <c r="BL46" s="13" t="s">
        <v>588</v>
      </c>
      <c r="BM46" s="13" t="s">
        <v>588</v>
      </c>
      <c r="BN46" s="13" t="s">
        <v>588</v>
      </c>
      <c r="BO46" s="13" t="s">
        <v>588</v>
      </c>
      <c r="BP46" s="13" t="s">
        <v>588</v>
      </c>
      <c r="BQ46" s="13" t="s">
        <v>588</v>
      </c>
      <c r="BR46" s="13" t="s">
        <v>588</v>
      </c>
      <c r="BS46" s="11" t="s">
        <v>8</v>
      </c>
      <c r="BT46" s="11" t="s">
        <v>123</v>
      </c>
      <c r="BU46" s="11" t="s">
        <v>123</v>
      </c>
      <c r="BV46" s="13" t="s">
        <v>588</v>
      </c>
      <c r="BW46" s="13" t="s">
        <v>588</v>
      </c>
      <c r="BX46" s="13" t="s">
        <v>588</v>
      </c>
      <c r="BY46" s="13" t="s">
        <v>588</v>
      </c>
      <c r="BZ46" s="13" t="s">
        <v>588</v>
      </c>
    </row>
    <row r="47" spans="1:78" x14ac:dyDescent="0.25">
      <c r="A47" s="11">
        <v>201516</v>
      </c>
      <c r="B47" s="11" t="s">
        <v>587</v>
      </c>
      <c r="C47" t="s">
        <v>563</v>
      </c>
      <c r="D47" s="11" t="s">
        <v>2001</v>
      </c>
      <c r="E47" s="11" t="s">
        <v>360</v>
      </c>
      <c r="F47" s="11">
        <v>2</v>
      </c>
      <c r="G47" s="11" t="str">
        <f t="shared" si="9"/>
        <v>201516_Williamsons Beach A18 East_2</v>
      </c>
      <c r="H47" s="11" t="s">
        <v>1987</v>
      </c>
      <c r="I47" s="13">
        <v>42391</v>
      </c>
      <c r="J47" s="11">
        <f t="shared" si="10"/>
        <v>22</v>
      </c>
      <c r="K47" s="11">
        <f t="shared" si="11"/>
        <v>1</v>
      </c>
      <c r="L47" s="11">
        <f t="shared" si="12"/>
        <v>2016</v>
      </c>
      <c r="M47" s="11" t="str">
        <f t="shared" si="13"/>
        <v>22012016</v>
      </c>
      <c r="N47" s="11" t="s">
        <v>12</v>
      </c>
      <c r="O47" s="11" t="s">
        <v>10</v>
      </c>
      <c r="P47" s="11">
        <v>-38.598680000000002</v>
      </c>
      <c r="Q47" s="11">
        <v>145.52676</v>
      </c>
      <c r="R47" s="11" t="s">
        <v>588</v>
      </c>
      <c r="S47" s="11" t="s">
        <v>588</v>
      </c>
      <c r="T47" s="11">
        <v>2</v>
      </c>
      <c r="U47" s="11">
        <v>3</v>
      </c>
      <c r="V47" s="11" t="s">
        <v>588</v>
      </c>
      <c r="W47" s="11" t="s">
        <v>588</v>
      </c>
      <c r="X47" s="11">
        <v>2</v>
      </c>
      <c r="Y47" s="11">
        <v>2</v>
      </c>
      <c r="Z47" s="11" t="s">
        <v>41</v>
      </c>
      <c r="AA47" s="13">
        <v>42391</v>
      </c>
      <c r="AB47" s="11">
        <f t="shared" si="14"/>
        <v>22</v>
      </c>
      <c r="AC47" s="11">
        <f t="shared" si="15"/>
        <v>1</v>
      </c>
      <c r="AD47" s="11">
        <f t="shared" si="16"/>
        <v>2016</v>
      </c>
      <c r="AE47" s="13" t="str">
        <f t="shared" si="17"/>
        <v>22012016</v>
      </c>
      <c r="AF47" s="11" t="s">
        <v>12</v>
      </c>
      <c r="AG47" s="13">
        <v>42394</v>
      </c>
      <c r="AH47" s="11">
        <v>25</v>
      </c>
      <c r="AI47" s="11">
        <v>1</v>
      </c>
      <c r="AJ47" s="11">
        <v>2016</v>
      </c>
      <c r="AK47" s="13" t="s">
        <v>2029</v>
      </c>
      <c r="AL47" s="11" t="s">
        <v>12</v>
      </c>
      <c r="AM47" s="13" t="s">
        <v>41</v>
      </c>
      <c r="AN47" s="11" t="s">
        <v>41</v>
      </c>
      <c r="AO47" s="13" t="s">
        <v>20</v>
      </c>
      <c r="AP47" s="11" t="s">
        <v>588</v>
      </c>
      <c r="AQ47" s="13" t="s">
        <v>588</v>
      </c>
      <c r="AR47" s="11" t="s">
        <v>588</v>
      </c>
      <c r="AS47" s="13" t="s">
        <v>588</v>
      </c>
      <c r="AT47" s="11" t="s">
        <v>588</v>
      </c>
      <c r="AU47" s="13" t="s">
        <v>588</v>
      </c>
      <c r="AV47" s="13" t="s">
        <v>588</v>
      </c>
      <c r="AW47" s="13" t="s">
        <v>588</v>
      </c>
      <c r="AX47" s="13" t="s">
        <v>588</v>
      </c>
      <c r="AY47" s="13" t="s">
        <v>588</v>
      </c>
      <c r="AZ47" s="13" t="s">
        <v>588</v>
      </c>
      <c r="BA47" s="13" t="s">
        <v>588</v>
      </c>
      <c r="BB47" s="13" t="s">
        <v>588</v>
      </c>
      <c r="BC47" s="13" t="s">
        <v>588</v>
      </c>
      <c r="BD47" s="13" t="s">
        <v>588</v>
      </c>
      <c r="BE47" s="13" t="s">
        <v>588</v>
      </c>
      <c r="BF47" s="13" t="s">
        <v>588</v>
      </c>
      <c r="BG47" s="13" t="s">
        <v>588</v>
      </c>
      <c r="BH47" s="13" t="s">
        <v>588</v>
      </c>
      <c r="BI47" s="13" t="s">
        <v>588</v>
      </c>
      <c r="BJ47" s="13" t="s">
        <v>588</v>
      </c>
      <c r="BK47" s="13" t="s">
        <v>588</v>
      </c>
      <c r="BL47" s="13" t="s">
        <v>588</v>
      </c>
      <c r="BM47" s="13" t="s">
        <v>588</v>
      </c>
      <c r="BN47" s="13" t="s">
        <v>588</v>
      </c>
      <c r="BO47" s="13" t="s">
        <v>588</v>
      </c>
      <c r="BP47" s="13" t="s">
        <v>588</v>
      </c>
      <c r="BQ47" s="13" t="s">
        <v>588</v>
      </c>
      <c r="BR47" s="13" t="s">
        <v>588</v>
      </c>
      <c r="BS47" s="11" t="s">
        <v>8</v>
      </c>
      <c r="BT47" s="11" t="s">
        <v>120</v>
      </c>
      <c r="BU47" s="11" t="s">
        <v>120</v>
      </c>
      <c r="BV47" s="13" t="s">
        <v>588</v>
      </c>
      <c r="BW47" s="13" t="s">
        <v>588</v>
      </c>
      <c r="BX47" s="13" t="s">
        <v>588</v>
      </c>
      <c r="BY47" s="13" t="s">
        <v>588</v>
      </c>
      <c r="BZ47" s="13" t="s">
        <v>588</v>
      </c>
    </row>
    <row r="48" spans="1:78" x14ac:dyDescent="0.25">
      <c r="A48" s="11">
        <v>201516</v>
      </c>
      <c r="B48" s="11" t="s">
        <v>587</v>
      </c>
      <c r="C48" t="s">
        <v>563</v>
      </c>
      <c r="D48" s="11" t="s">
        <v>2001</v>
      </c>
      <c r="E48" s="11" t="s">
        <v>360</v>
      </c>
      <c r="F48" s="11">
        <v>3</v>
      </c>
      <c r="G48" s="11" t="str">
        <f t="shared" si="9"/>
        <v>201516_Williamsons Beach A18 East_3</v>
      </c>
      <c r="H48" s="11" t="s">
        <v>2102</v>
      </c>
      <c r="I48" s="13">
        <v>42394</v>
      </c>
      <c r="J48" s="11">
        <f t="shared" si="10"/>
        <v>25</v>
      </c>
      <c r="K48" s="11">
        <f t="shared" si="11"/>
        <v>1</v>
      </c>
      <c r="L48" s="11">
        <f t="shared" si="12"/>
        <v>2016</v>
      </c>
      <c r="M48" s="11" t="str">
        <f t="shared" si="13"/>
        <v>25012016</v>
      </c>
      <c r="N48" s="11" t="s">
        <v>12</v>
      </c>
      <c r="O48" s="11" t="s">
        <v>10</v>
      </c>
      <c r="P48" s="11">
        <v>-38.600020000000001</v>
      </c>
      <c r="Q48" s="11">
        <v>145.52816999999999</v>
      </c>
      <c r="R48" s="11" t="s">
        <v>588</v>
      </c>
      <c r="S48" s="11" t="s">
        <v>588</v>
      </c>
      <c r="T48" s="11">
        <v>2</v>
      </c>
      <c r="U48" s="11">
        <v>2</v>
      </c>
      <c r="V48" s="13">
        <v>42398</v>
      </c>
      <c r="W48" s="11" t="s">
        <v>223</v>
      </c>
      <c r="X48" s="11">
        <v>8</v>
      </c>
      <c r="Y48" s="11">
        <v>8</v>
      </c>
      <c r="Z48" s="11" t="s">
        <v>41</v>
      </c>
      <c r="AA48" s="13">
        <v>42433</v>
      </c>
      <c r="AB48" s="11">
        <f t="shared" si="14"/>
        <v>4</v>
      </c>
      <c r="AC48" s="11">
        <f t="shared" si="15"/>
        <v>3</v>
      </c>
      <c r="AD48" s="11">
        <f t="shared" si="16"/>
        <v>2016</v>
      </c>
      <c r="AE48" s="13" t="str">
        <f t="shared" si="17"/>
        <v>04032016</v>
      </c>
      <c r="AF48" s="11" t="s">
        <v>22</v>
      </c>
      <c r="AG48" s="13">
        <v>42440</v>
      </c>
      <c r="AH48" s="11">
        <v>11</v>
      </c>
      <c r="AI48" s="11">
        <v>3</v>
      </c>
      <c r="AJ48" s="11">
        <v>2016</v>
      </c>
      <c r="AK48" s="13" t="s">
        <v>2030</v>
      </c>
      <c r="AL48" s="11" t="s">
        <v>22</v>
      </c>
      <c r="AM48" s="13" t="s">
        <v>41</v>
      </c>
      <c r="AN48" s="11" t="s">
        <v>41</v>
      </c>
      <c r="AO48" s="13" t="s">
        <v>20</v>
      </c>
      <c r="AP48" s="11" t="s">
        <v>588</v>
      </c>
      <c r="AQ48" s="13" t="s">
        <v>588</v>
      </c>
      <c r="AR48" s="11" t="s">
        <v>588</v>
      </c>
      <c r="AS48" s="13" t="s">
        <v>588</v>
      </c>
      <c r="AT48" s="11" t="s">
        <v>588</v>
      </c>
      <c r="AU48" s="13" t="s">
        <v>588</v>
      </c>
      <c r="AV48" s="13" t="s">
        <v>588</v>
      </c>
      <c r="AW48" s="13" t="s">
        <v>588</v>
      </c>
      <c r="AX48" s="13" t="s">
        <v>588</v>
      </c>
      <c r="AY48" s="13" t="s">
        <v>588</v>
      </c>
      <c r="AZ48" s="13" t="s">
        <v>588</v>
      </c>
      <c r="BA48" s="13" t="s">
        <v>588</v>
      </c>
      <c r="BB48" s="13" t="s">
        <v>588</v>
      </c>
      <c r="BC48" s="13" t="s">
        <v>588</v>
      </c>
      <c r="BD48" s="13" t="s">
        <v>588</v>
      </c>
      <c r="BE48" s="13" t="s">
        <v>588</v>
      </c>
      <c r="BF48" s="13" t="s">
        <v>588</v>
      </c>
      <c r="BG48" s="13" t="s">
        <v>588</v>
      </c>
      <c r="BH48" s="13" t="s">
        <v>588</v>
      </c>
      <c r="BI48" s="13" t="s">
        <v>588</v>
      </c>
      <c r="BJ48" s="13" t="s">
        <v>588</v>
      </c>
      <c r="BK48" s="13" t="s">
        <v>588</v>
      </c>
      <c r="BL48" s="13" t="s">
        <v>588</v>
      </c>
      <c r="BM48" s="13" t="s">
        <v>588</v>
      </c>
      <c r="BN48" s="13" t="s">
        <v>588</v>
      </c>
      <c r="BO48" s="13" t="s">
        <v>588</v>
      </c>
      <c r="BP48" s="13" t="s">
        <v>588</v>
      </c>
      <c r="BQ48" s="13" t="s">
        <v>588</v>
      </c>
      <c r="BR48" s="13" t="s">
        <v>588</v>
      </c>
      <c r="BS48" s="11" t="s">
        <v>8</v>
      </c>
      <c r="BT48" s="11" t="s">
        <v>120</v>
      </c>
      <c r="BU48" s="11" t="s">
        <v>120</v>
      </c>
      <c r="BV48" s="13" t="s">
        <v>588</v>
      </c>
      <c r="BW48" s="13" t="s">
        <v>588</v>
      </c>
      <c r="BX48" s="13" t="s">
        <v>588</v>
      </c>
      <c r="BY48" s="11" t="s">
        <v>2002</v>
      </c>
      <c r="BZ48" s="13" t="s">
        <v>588</v>
      </c>
    </row>
    <row r="49" spans="1:78" x14ac:dyDescent="0.25">
      <c r="A49" s="11">
        <v>201516</v>
      </c>
      <c r="B49" s="11" t="s">
        <v>351</v>
      </c>
      <c r="C49" s="11" t="s">
        <v>351</v>
      </c>
      <c r="D49" s="11" t="s">
        <v>564</v>
      </c>
      <c r="E49" s="11" t="s">
        <v>16</v>
      </c>
      <c r="F49" s="11">
        <v>1</v>
      </c>
      <c r="G49" s="11" t="str">
        <f t="shared" si="9"/>
        <v>201516_Williamsons Beach Further East_1</v>
      </c>
      <c r="H49" s="11" t="s">
        <v>2103</v>
      </c>
      <c r="I49" s="13">
        <v>42384</v>
      </c>
      <c r="J49" s="11">
        <f t="shared" si="10"/>
        <v>15</v>
      </c>
      <c r="K49" s="11">
        <f t="shared" si="11"/>
        <v>1</v>
      </c>
      <c r="L49" s="11">
        <f t="shared" si="12"/>
        <v>2016</v>
      </c>
      <c r="M49" s="11" t="str">
        <f t="shared" si="13"/>
        <v>15012016</v>
      </c>
      <c r="N49" s="11" t="s">
        <v>12</v>
      </c>
      <c r="O49" s="11" t="s">
        <v>10</v>
      </c>
      <c r="P49" s="11" t="s">
        <v>588</v>
      </c>
      <c r="Q49" s="11" t="s">
        <v>588</v>
      </c>
      <c r="R49" s="11" t="s">
        <v>588</v>
      </c>
      <c r="S49" s="11" t="s">
        <v>588</v>
      </c>
      <c r="T49" s="11">
        <v>1</v>
      </c>
      <c r="U49" s="11">
        <v>3</v>
      </c>
      <c r="V49" s="11" t="s">
        <v>588</v>
      </c>
      <c r="W49" s="11" t="s">
        <v>588</v>
      </c>
      <c r="X49" s="11">
        <v>2</v>
      </c>
      <c r="Y49" s="11">
        <v>2</v>
      </c>
      <c r="Z49" s="11" t="s">
        <v>41</v>
      </c>
      <c r="AA49" s="13">
        <v>42384</v>
      </c>
      <c r="AB49" s="11">
        <f t="shared" si="14"/>
        <v>15</v>
      </c>
      <c r="AC49" s="11">
        <f t="shared" si="15"/>
        <v>1</v>
      </c>
      <c r="AD49" s="11">
        <f t="shared" si="16"/>
        <v>2016</v>
      </c>
      <c r="AE49" s="13" t="str">
        <f t="shared" si="17"/>
        <v>15012016</v>
      </c>
      <c r="AF49" s="11" t="s">
        <v>12</v>
      </c>
      <c r="AG49" s="13">
        <v>42391</v>
      </c>
      <c r="AH49" s="11">
        <v>22</v>
      </c>
      <c r="AI49" s="11">
        <v>1</v>
      </c>
      <c r="AJ49" s="11">
        <v>2016</v>
      </c>
      <c r="AK49" s="13" t="s">
        <v>2031</v>
      </c>
      <c r="AL49" s="11" t="s">
        <v>12</v>
      </c>
      <c r="AM49" s="13" t="s">
        <v>41</v>
      </c>
      <c r="AN49" s="11" t="s">
        <v>8</v>
      </c>
      <c r="AO49" s="11" t="s">
        <v>48</v>
      </c>
      <c r="AP49" s="11" t="s">
        <v>588</v>
      </c>
      <c r="AQ49" s="11" t="s">
        <v>588</v>
      </c>
      <c r="AR49" s="11" t="s">
        <v>588</v>
      </c>
      <c r="AS49" s="11" t="s">
        <v>588</v>
      </c>
      <c r="AT49" s="11" t="s">
        <v>588</v>
      </c>
      <c r="AU49" s="11" t="s">
        <v>588</v>
      </c>
      <c r="AV49" s="11" t="s">
        <v>588</v>
      </c>
      <c r="AW49" s="11" t="s">
        <v>588</v>
      </c>
      <c r="AX49" s="11" t="s">
        <v>588</v>
      </c>
      <c r="AY49" s="11" t="s">
        <v>588</v>
      </c>
      <c r="AZ49" s="11" t="s">
        <v>588</v>
      </c>
      <c r="BA49" s="11" t="s">
        <v>588</v>
      </c>
      <c r="BB49" s="11" t="s">
        <v>588</v>
      </c>
      <c r="BC49" s="11" t="s">
        <v>588</v>
      </c>
      <c r="BD49" s="11" t="s">
        <v>588</v>
      </c>
      <c r="BE49" s="11" t="s">
        <v>588</v>
      </c>
      <c r="BF49" s="11" t="s">
        <v>588</v>
      </c>
      <c r="BG49" s="13" t="s">
        <v>588</v>
      </c>
      <c r="BH49" s="13" t="s">
        <v>588</v>
      </c>
      <c r="BI49" s="11" t="s">
        <v>588</v>
      </c>
      <c r="BJ49" s="11" t="s">
        <v>588</v>
      </c>
      <c r="BK49" s="11" t="s">
        <v>588</v>
      </c>
      <c r="BL49" s="11" t="s">
        <v>588</v>
      </c>
      <c r="BM49" s="11" t="s">
        <v>588</v>
      </c>
      <c r="BN49" s="11" t="s">
        <v>588</v>
      </c>
      <c r="BO49" s="11" t="s">
        <v>588</v>
      </c>
      <c r="BP49" s="11" t="s">
        <v>588</v>
      </c>
      <c r="BQ49" s="13" t="s">
        <v>588</v>
      </c>
      <c r="BR49" s="11" t="s">
        <v>588</v>
      </c>
      <c r="BS49" s="11" t="s">
        <v>41</v>
      </c>
      <c r="BT49" s="11" t="s">
        <v>42</v>
      </c>
      <c r="BU49" s="11" t="s">
        <v>42</v>
      </c>
      <c r="BV49" s="11" t="s">
        <v>588</v>
      </c>
      <c r="BW49" s="11" t="s">
        <v>588</v>
      </c>
      <c r="BX49" s="11" t="s">
        <v>588</v>
      </c>
      <c r="BY49" s="11" t="s">
        <v>588</v>
      </c>
      <c r="BZ49" s="11" t="s">
        <v>588</v>
      </c>
    </row>
    <row r="50" spans="1:78" x14ac:dyDescent="0.25">
      <c r="A50" s="11">
        <v>201516</v>
      </c>
      <c r="B50" s="11" t="s">
        <v>359</v>
      </c>
      <c r="C50" s="11" t="s">
        <v>359</v>
      </c>
      <c r="D50" s="11" t="s">
        <v>440</v>
      </c>
      <c r="E50" s="11" t="s">
        <v>2003</v>
      </c>
      <c r="F50" s="11">
        <v>1</v>
      </c>
      <c r="G50" s="11" t="str">
        <f t="shared" si="9"/>
        <v>201516_Williamsons Beach Further West_1</v>
      </c>
      <c r="H50" s="11" t="s">
        <v>2039</v>
      </c>
      <c r="I50" s="13">
        <v>42321</v>
      </c>
      <c r="J50" s="11">
        <f t="shared" si="10"/>
        <v>13</v>
      </c>
      <c r="K50" s="11">
        <f t="shared" si="11"/>
        <v>11</v>
      </c>
      <c r="L50" s="11">
        <f t="shared" si="12"/>
        <v>2015</v>
      </c>
      <c r="M50" s="11" t="str">
        <f t="shared" si="13"/>
        <v>13112015</v>
      </c>
      <c r="N50" s="11" t="s">
        <v>17</v>
      </c>
      <c r="O50" s="11" t="s">
        <v>10</v>
      </c>
      <c r="P50" s="11">
        <v>-38.590960000000003</v>
      </c>
      <c r="Q50" s="11">
        <v>145.51863</v>
      </c>
      <c r="R50" s="11" t="s">
        <v>588</v>
      </c>
      <c r="S50" s="11" t="s">
        <v>588</v>
      </c>
      <c r="T50" s="11">
        <v>3</v>
      </c>
      <c r="U50" s="11">
        <v>3</v>
      </c>
      <c r="V50" s="13">
        <v>42323</v>
      </c>
      <c r="W50" s="11" t="s">
        <v>223</v>
      </c>
      <c r="X50" s="11">
        <v>4</v>
      </c>
      <c r="Y50" s="11">
        <v>4</v>
      </c>
      <c r="Z50" s="11" t="s">
        <v>41</v>
      </c>
      <c r="AA50" s="13">
        <v>42332</v>
      </c>
      <c r="AB50" s="11">
        <f t="shared" si="14"/>
        <v>24</v>
      </c>
      <c r="AC50" s="11">
        <f t="shared" si="15"/>
        <v>11</v>
      </c>
      <c r="AD50" s="11">
        <f t="shared" si="16"/>
        <v>2015</v>
      </c>
      <c r="AE50" s="13" t="str">
        <f t="shared" si="17"/>
        <v>24112015</v>
      </c>
      <c r="AF50" s="11" t="s">
        <v>17</v>
      </c>
      <c r="AG50" s="13">
        <v>42342</v>
      </c>
      <c r="AH50" s="11">
        <v>4</v>
      </c>
      <c r="AI50" s="11">
        <v>12</v>
      </c>
      <c r="AJ50" s="11">
        <v>2015</v>
      </c>
      <c r="AK50" s="13" t="s">
        <v>2017</v>
      </c>
      <c r="AL50" s="11" t="s">
        <v>7</v>
      </c>
      <c r="AM50" s="13" t="s">
        <v>41</v>
      </c>
      <c r="AN50" s="11" t="s">
        <v>8</v>
      </c>
      <c r="AO50" s="11" t="s">
        <v>11</v>
      </c>
      <c r="AP50" s="11" t="s">
        <v>588</v>
      </c>
      <c r="AQ50" s="11" t="s">
        <v>588</v>
      </c>
      <c r="AR50" s="11" t="s">
        <v>588</v>
      </c>
      <c r="AS50" s="11" t="s">
        <v>588</v>
      </c>
      <c r="AT50" s="11" t="s">
        <v>588</v>
      </c>
      <c r="AU50" s="11" t="s">
        <v>588</v>
      </c>
      <c r="AV50" s="11" t="s">
        <v>588</v>
      </c>
      <c r="AW50" s="11" t="s">
        <v>588</v>
      </c>
      <c r="AX50" s="11" t="s">
        <v>588</v>
      </c>
      <c r="AY50" s="11" t="s">
        <v>588</v>
      </c>
      <c r="AZ50" s="11" t="s">
        <v>588</v>
      </c>
      <c r="BA50" s="11" t="s">
        <v>588</v>
      </c>
      <c r="BB50" s="11" t="s">
        <v>588</v>
      </c>
      <c r="BC50" s="11" t="s">
        <v>588</v>
      </c>
      <c r="BD50" s="11" t="s">
        <v>588</v>
      </c>
      <c r="BE50" s="11" t="s">
        <v>588</v>
      </c>
      <c r="BF50" s="11" t="s">
        <v>588</v>
      </c>
      <c r="BG50" s="13" t="s">
        <v>588</v>
      </c>
      <c r="BH50" s="13" t="s">
        <v>588</v>
      </c>
      <c r="BI50" s="11" t="s">
        <v>588</v>
      </c>
      <c r="BJ50" s="11" t="s">
        <v>588</v>
      </c>
      <c r="BK50" s="11" t="s">
        <v>588</v>
      </c>
      <c r="BL50" s="11" t="s">
        <v>588</v>
      </c>
      <c r="BM50" s="11" t="s">
        <v>588</v>
      </c>
      <c r="BN50" s="11" t="s">
        <v>588</v>
      </c>
      <c r="BO50" s="11" t="s">
        <v>588</v>
      </c>
      <c r="BP50" s="11" t="s">
        <v>588</v>
      </c>
      <c r="BQ50" s="13" t="s">
        <v>588</v>
      </c>
      <c r="BR50" s="11" t="s">
        <v>588</v>
      </c>
      <c r="BS50" s="11" t="s">
        <v>8</v>
      </c>
      <c r="BT50" s="11" t="s">
        <v>120</v>
      </c>
      <c r="BU50" s="11" t="s">
        <v>120</v>
      </c>
      <c r="BV50" s="11" t="s">
        <v>588</v>
      </c>
      <c r="BW50" s="11" t="s">
        <v>588</v>
      </c>
      <c r="BX50" s="11" t="s">
        <v>588</v>
      </c>
      <c r="BY50" s="11" t="s">
        <v>588</v>
      </c>
      <c r="BZ50" s="11" t="s">
        <v>588</v>
      </c>
    </row>
    <row r="51" spans="1:78" x14ac:dyDescent="0.25">
      <c r="A51" s="11">
        <v>201516</v>
      </c>
      <c r="B51" s="11" t="s">
        <v>359</v>
      </c>
      <c r="C51" s="11" t="s">
        <v>359</v>
      </c>
      <c r="D51" s="11" t="s">
        <v>440</v>
      </c>
      <c r="E51" s="11" t="s">
        <v>2003</v>
      </c>
      <c r="F51" s="11">
        <v>2</v>
      </c>
      <c r="G51" s="11" t="str">
        <f t="shared" si="9"/>
        <v>201516_Williamsons Beach Further West_2</v>
      </c>
      <c r="H51" s="11" t="s">
        <v>2040</v>
      </c>
      <c r="I51" s="13">
        <v>42361</v>
      </c>
      <c r="J51" s="11">
        <f t="shared" si="10"/>
        <v>23</v>
      </c>
      <c r="K51" s="11">
        <f t="shared" si="11"/>
        <v>12</v>
      </c>
      <c r="L51" s="11">
        <f t="shared" si="12"/>
        <v>2015</v>
      </c>
      <c r="M51" s="11" t="str">
        <f t="shared" si="13"/>
        <v>23122015</v>
      </c>
      <c r="N51" s="11" t="s">
        <v>7</v>
      </c>
      <c r="O51" s="11" t="s">
        <v>10</v>
      </c>
      <c r="P51" s="11">
        <v>-38.591259000000001</v>
      </c>
      <c r="Q51" s="11">
        <v>145.51823400000001</v>
      </c>
      <c r="R51" s="11" t="s">
        <v>588</v>
      </c>
      <c r="S51" s="11" t="s">
        <v>588</v>
      </c>
      <c r="T51" s="11">
        <v>1</v>
      </c>
      <c r="U51" s="11">
        <v>1</v>
      </c>
      <c r="V51" s="11" t="s">
        <v>588</v>
      </c>
      <c r="W51" s="11" t="s">
        <v>588</v>
      </c>
      <c r="X51" s="11">
        <v>2</v>
      </c>
      <c r="Y51" s="11">
        <v>2</v>
      </c>
      <c r="Z51" s="11" t="s">
        <v>41</v>
      </c>
      <c r="AA51" s="13">
        <v>42361</v>
      </c>
      <c r="AB51" s="11">
        <f t="shared" si="14"/>
        <v>23</v>
      </c>
      <c r="AC51" s="11">
        <f t="shared" si="15"/>
        <v>12</v>
      </c>
      <c r="AD51" s="11">
        <f t="shared" si="16"/>
        <v>2015</v>
      </c>
      <c r="AE51" s="13" t="str">
        <f t="shared" si="17"/>
        <v>23122015</v>
      </c>
      <c r="AF51" s="11" t="s">
        <v>7</v>
      </c>
      <c r="AG51" s="13">
        <v>42374</v>
      </c>
      <c r="AH51" s="11">
        <v>5</v>
      </c>
      <c r="AI51" s="11">
        <v>1</v>
      </c>
      <c r="AJ51" s="11">
        <v>2016</v>
      </c>
      <c r="AK51" s="13" t="s">
        <v>2019</v>
      </c>
      <c r="AL51" s="11" t="s">
        <v>12</v>
      </c>
      <c r="AM51" s="13" t="s">
        <v>41</v>
      </c>
      <c r="AN51" s="13" t="s">
        <v>41</v>
      </c>
      <c r="AO51" s="13" t="s">
        <v>20</v>
      </c>
      <c r="AP51" s="13" t="s">
        <v>588</v>
      </c>
      <c r="AQ51" s="13" t="s">
        <v>588</v>
      </c>
      <c r="AR51" s="13" t="s">
        <v>588</v>
      </c>
      <c r="AS51" s="13" t="s">
        <v>588</v>
      </c>
      <c r="AT51" s="13" t="s">
        <v>588</v>
      </c>
      <c r="AU51" s="13" t="s">
        <v>588</v>
      </c>
      <c r="AV51" s="13" t="s">
        <v>588</v>
      </c>
      <c r="AW51" s="13" t="s">
        <v>588</v>
      </c>
      <c r="AX51" s="13" t="s">
        <v>588</v>
      </c>
      <c r="AY51" s="13" t="s">
        <v>588</v>
      </c>
      <c r="AZ51" s="13" t="s">
        <v>588</v>
      </c>
      <c r="BA51" s="13" t="s">
        <v>588</v>
      </c>
      <c r="BB51" s="13" t="s">
        <v>588</v>
      </c>
      <c r="BC51" s="13" t="s">
        <v>588</v>
      </c>
      <c r="BD51" s="13" t="s">
        <v>588</v>
      </c>
      <c r="BE51" s="13" t="s">
        <v>588</v>
      </c>
      <c r="BF51" s="13" t="s">
        <v>588</v>
      </c>
      <c r="BG51" s="13" t="s">
        <v>588</v>
      </c>
      <c r="BH51" s="13" t="s">
        <v>588</v>
      </c>
      <c r="BI51" s="13" t="s">
        <v>588</v>
      </c>
      <c r="BJ51" s="13" t="s">
        <v>588</v>
      </c>
      <c r="BK51" s="13" t="s">
        <v>588</v>
      </c>
      <c r="BL51" s="13" t="s">
        <v>588</v>
      </c>
      <c r="BM51" s="13" t="s">
        <v>588</v>
      </c>
      <c r="BN51" s="13" t="s">
        <v>588</v>
      </c>
      <c r="BO51" s="13" t="s">
        <v>588</v>
      </c>
      <c r="BP51" s="13" t="s">
        <v>588</v>
      </c>
      <c r="BQ51" s="13" t="s">
        <v>588</v>
      </c>
      <c r="BR51" s="13" t="s">
        <v>588</v>
      </c>
      <c r="BS51" s="11" t="s">
        <v>8</v>
      </c>
      <c r="BT51" s="11" t="s">
        <v>120</v>
      </c>
      <c r="BU51" s="11" t="s">
        <v>120</v>
      </c>
      <c r="BV51" s="13" t="s">
        <v>588</v>
      </c>
      <c r="BW51" s="13" t="s">
        <v>588</v>
      </c>
      <c r="BX51" s="13" t="s">
        <v>588</v>
      </c>
      <c r="BY51" s="13" t="s">
        <v>588</v>
      </c>
      <c r="BZ51" s="13" t="s">
        <v>588</v>
      </c>
    </row>
    <row r="52" spans="1:78" x14ac:dyDescent="0.25">
      <c r="A52" s="11">
        <v>201516</v>
      </c>
      <c r="B52" s="11" t="s">
        <v>359</v>
      </c>
      <c r="C52" s="11" t="s">
        <v>359</v>
      </c>
      <c r="D52" s="11" t="s">
        <v>440</v>
      </c>
      <c r="E52" s="11" t="s">
        <v>2003</v>
      </c>
      <c r="F52" s="11">
        <v>3</v>
      </c>
      <c r="G52" s="11" t="str">
        <f t="shared" si="9"/>
        <v>201516_Williamsons Beach Further West_3</v>
      </c>
      <c r="H52" s="11" t="s">
        <v>2104</v>
      </c>
      <c r="I52" s="13">
        <v>42384</v>
      </c>
      <c r="J52" s="11">
        <f t="shared" si="10"/>
        <v>15</v>
      </c>
      <c r="K52" s="11">
        <f t="shared" si="11"/>
        <v>1</v>
      </c>
      <c r="L52" s="11">
        <f t="shared" si="12"/>
        <v>2016</v>
      </c>
      <c r="M52" s="11" t="str">
        <f t="shared" si="13"/>
        <v>15012016</v>
      </c>
      <c r="N52" s="11" t="s">
        <v>12</v>
      </c>
      <c r="O52" s="11" t="s">
        <v>10</v>
      </c>
      <c r="P52" s="11">
        <v>-38.592590000000001</v>
      </c>
      <c r="Q52" s="11">
        <v>145.5205</v>
      </c>
      <c r="R52" s="11" t="s">
        <v>588</v>
      </c>
      <c r="S52" s="11" t="s">
        <v>588</v>
      </c>
      <c r="T52" s="11">
        <v>3</v>
      </c>
      <c r="U52" s="11">
        <v>3</v>
      </c>
      <c r="V52" s="13">
        <v>42388</v>
      </c>
      <c r="W52" s="11" t="s">
        <v>223</v>
      </c>
      <c r="X52" s="11">
        <v>8</v>
      </c>
      <c r="Y52" s="11">
        <v>8</v>
      </c>
      <c r="Z52" s="11" t="s">
        <v>41</v>
      </c>
      <c r="AA52" s="13">
        <v>42412</v>
      </c>
      <c r="AB52" s="11">
        <f t="shared" si="14"/>
        <v>12</v>
      </c>
      <c r="AC52" s="11">
        <f t="shared" si="15"/>
        <v>2</v>
      </c>
      <c r="AD52" s="11">
        <f t="shared" si="16"/>
        <v>2016</v>
      </c>
      <c r="AE52" s="13" t="str">
        <f t="shared" si="17"/>
        <v>12022016</v>
      </c>
      <c r="AF52" s="11" t="s">
        <v>21</v>
      </c>
      <c r="AG52" s="13">
        <v>42419</v>
      </c>
      <c r="AH52" s="11">
        <v>19</v>
      </c>
      <c r="AI52" s="11">
        <v>2</v>
      </c>
      <c r="AJ52" s="11">
        <v>2016</v>
      </c>
      <c r="AK52" s="13" t="s">
        <v>2032</v>
      </c>
      <c r="AL52" s="11" t="s">
        <v>21</v>
      </c>
      <c r="AM52" s="13" t="s">
        <v>41</v>
      </c>
      <c r="AN52" s="11" t="s">
        <v>8</v>
      </c>
      <c r="AO52" s="11" t="s">
        <v>32</v>
      </c>
      <c r="AP52" s="11" t="s">
        <v>588</v>
      </c>
      <c r="AQ52" s="11" t="s">
        <v>588</v>
      </c>
      <c r="AR52" s="11" t="s">
        <v>588</v>
      </c>
      <c r="AS52" s="11" t="s">
        <v>588</v>
      </c>
      <c r="AT52" s="11" t="s">
        <v>588</v>
      </c>
      <c r="AU52" s="11" t="s">
        <v>588</v>
      </c>
      <c r="AV52" s="11" t="s">
        <v>588</v>
      </c>
      <c r="AW52" s="11" t="s">
        <v>588</v>
      </c>
      <c r="AX52" s="11" t="s">
        <v>588</v>
      </c>
      <c r="AY52" s="11" t="s">
        <v>588</v>
      </c>
      <c r="AZ52" s="11" t="s">
        <v>588</v>
      </c>
      <c r="BA52" s="11" t="s">
        <v>588</v>
      </c>
      <c r="BB52" s="11" t="s">
        <v>588</v>
      </c>
      <c r="BC52" s="11" t="s">
        <v>588</v>
      </c>
      <c r="BD52" s="11" t="s">
        <v>588</v>
      </c>
      <c r="BE52" s="11" t="s">
        <v>588</v>
      </c>
      <c r="BF52" s="11" t="s">
        <v>588</v>
      </c>
      <c r="BG52" s="13" t="s">
        <v>588</v>
      </c>
      <c r="BH52" s="13" t="s">
        <v>588</v>
      </c>
      <c r="BI52" s="11" t="s">
        <v>588</v>
      </c>
      <c r="BJ52" s="11" t="s">
        <v>588</v>
      </c>
      <c r="BK52" s="11" t="s">
        <v>588</v>
      </c>
      <c r="BL52" s="11" t="s">
        <v>588</v>
      </c>
      <c r="BM52" s="11" t="s">
        <v>588</v>
      </c>
      <c r="BN52" s="11" t="s">
        <v>588</v>
      </c>
      <c r="BO52" s="11" t="s">
        <v>588</v>
      </c>
      <c r="BP52" s="11" t="s">
        <v>588</v>
      </c>
      <c r="BQ52" s="13" t="s">
        <v>588</v>
      </c>
      <c r="BR52" s="11" t="s">
        <v>588</v>
      </c>
      <c r="BS52" s="11" t="s">
        <v>8</v>
      </c>
      <c r="BT52" s="11" t="s">
        <v>120</v>
      </c>
      <c r="BU52" s="11" t="s">
        <v>120</v>
      </c>
      <c r="BV52" s="11" t="s">
        <v>588</v>
      </c>
      <c r="BW52" s="11" t="s">
        <v>588</v>
      </c>
      <c r="BX52" s="11" t="s">
        <v>588</v>
      </c>
      <c r="BY52" s="11" t="s">
        <v>2004</v>
      </c>
      <c r="BZ52" s="11" t="s">
        <v>588</v>
      </c>
    </row>
    <row r="53" spans="1:78" x14ac:dyDescent="0.25">
      <c r="A53" s="11">
        <v>201516</v>
      </c>
      <c r="B53" s="11" t="s">
        <v>365</v>
      </c>
      <c r="C53" s="11" t="s">
        <v>365</v>
      </c>
      <c r="D53" s="11" t="s">
        <v>1623</v>
      </c>
      <c r="E53" s="11" t="s">
        <v>16</v>
      </c>
      <c r="F53" s="11">
        <v>1</v>
      </c>
      <c r="G53" s="11" t="str">
        <f t="shared" si="9"/>
        <v>201516_Williamsons Beach West_1</v>
      </c>
      <c r="H53" s="11" t="s">
        <v>1904</v>
      </c>
      <c r="I53" s="13">
        <v>42321</v>
      </c>
      <c r="J53" s="11">
        <f t="shared" si="10"/>
        <v>13</v>
      </c>
      <c r="K53" s="11">
        <f t="shared" si="11"/>
        <v>11</v>
      </c>
      <c r="L53" s="11">
        <f t="shared" si="12"/>
        <v>2015</v>
      </c>
      <c r="M53" s="11" t="str">
        <f t="shared" si="13"/>
        <v>13112015</v>
      </c>
      <c r="N53" s="11" t="s">
        <v>17</v>
      </c>
      <c r="O53" s="11" t="s">
        <v>10</v>
      </c>
      <c r="P53" s="11">
        <v>-38.595489999999998</v>
      </c>
      <c r="Q53" s="11">
        <v>145.52373</v>
      </c>
      <c r="R53" s="11" t="s">
        <v>588</v>
      </c>
      <c r="S53" s="11" t="s">
        <v>588</v>
      </c>
      <c r="T53" s="11">
        <v>3</v>
      </c>
      <c r="U53" s="11">
        <v>3</v>
      </c>
      <c r="V53" s="11" t="s">
        <v>588</v>
      </c>
      <c r="W53" s="11" t="s">
        <v>588</v>
      </c>
      <c r="X53" s="11">
        <v>2</v>
      </c>
      <c r="Y53" s="11">
        <v>2</v>
      </c>
      <c r="Z53" s="11" t="s">
        <v>41</v>
      </c>
      <c r="AA53" s="13">
        <v>42321</v>
      </c>
      <c r="AB53" s="11">
        <f t="shared" si="14"/>
        <v>13</v>
      </c>
      <c r="AC53" s="11">
        <f t="shared" si="15"/>
        <v>11</v>
      </c>
      <c r="AD53" s="11">
        <f t="shared" si="16"/>
        <v>2015</v>
      </c>
      <c r="AE53" s="13" t="str">
        <f t="shared" si="17"/>
        <v>13112015</v>
      </c>
      <c r="AF53" s="11" t="s">
        <v>17</v>
      </c>
      <c r="AG53" s="13">
        <v>42328</v>
      </c>
      <c r="AH53" s="11">
        <v>20</v>
      </c>
      <c r="AI53" s="11">
        <v>11</v>
      </c>
      <c r="AJ53" s="11">
        <v>2015</v>
      </c>
      <c r="AK53" s="13" t="s">
        <v>2022</v>
      </c>
      <c r="AL53" s="11" t="s">
        <v>17</v>
      </c>
      <c r="AM53" s="13" t="s">
        <v>41</v>
      </c>
      <c r="AN53" s="11" t="s">
        <v>8</v>
      </c>
      <c r="AO53" s="11" t="s">
        <v>32</v>
      </c>
      <c r="AP53" s="11" t="s">
        <v>588</v>
      </c>
      <c r="AQ53" s="11" t="s">
        <v>588</v>
      </c>
      <c r="AR53" s="11" t="s">
        <v>588</v>
      </c>
      <c r="AS53" s="11" t="s">
        <v>588</v>
      </c>
      <c r="AT53" s="11" t="s">
        <v>588</v>
      </c>
      <c r="AU53" s="11" t="s">
        <v>588</v>
      </c>
      <c r="AV53" s="11" t="s">
        <v>588</v>
      </c>
      <c r="AW53" s="11" t="s">
        <v>588</v>
      </c>
      <c r="AX53" s="11" t="s">
        <v>588</v>
      </c>
      <c r="AY53" s="11" t="s">
        <v>588</v>
      </c>
      <c r="AZ53" s="11" t="s">
        <v>588</v>
      </c>
      <c r="BA53" s="11" t="s">
        <v>588</v>
      </c>
      <c r="BB53" s="11" t="s">
        <v>588</v>
      </c>
      <c r="BC53" s="11" t="s">
        <v>588</v>
      </c>
      <c r="BD53" s="11" t="s">
        <v>588</v>
      </c>
      <c r="BE53" s="11" t="s">
        <v>588</v>
      </c>
      <c r="BF53" s="11" t="s">
        <v>588</v>
      </c>
      <c r="BG53" s="13" t="s">
        <v>588</v>
      </c>
      <c r="BH53" s="13" t="s">
        <v>588</v>
      </c>
      <c r="BI53" s="11" t="s">
        <v>588</v>
      </c>
      <c r="BJ53" s="11" t="s">
        <v>588</v>
      </c>
      <c r="BK53" s="11" t="s">
        <v>588</v>
      </c>
      <c r="BL53" s="11" t="s">
        <v>588</v>
      </c>
      <c r="BM53" s="11" t="s">
        <v>588</v>
      </c>
      <c r="BN53" s="11" t="s">
        <v>588</v>
      </c>
      <c r="BO53" s="11" t="s">
        <v>588</v>
      </c>
      <c r="BP53" s="11" t="s">
        <v>588</v>
      </c>
      <c r="BQ53" s="13" t="s">
        <v>588</v>
      </c>
      <c r="BR53" s="11" t="s">
        <v>588</v>
      </c>
      <c r="BS53" s="11" t="s">
        <v>8</v>
      </c>
      <c r="BT53" s="11" t="s">
        <v>123</v>
      </c>
      <c r="BU53" s="11" t="s">
        <v>123</v>
      </c>
      <c r="BV53" s="11" t="s">
        <v>588</v>
      </c>
      <c r="BW53" s="11" t="s">
        <v>588</v>
      </c>
      <c r="BX53" s="11" t="s">
        <v>588</v>
      </c>
      <c r="BY53" s="11" t="s">
        <v>588</v>
      </c>
      <c r="BZ53" s="11" t="s">
        <v>588</v>
      </c>
    </row>
    <row r="54" spans="1:78" x14ac:dyDescent="0.25">
      <c r="A54" s="11">
        <v>201516</v>
      </c>
      <c r="B54" s="11" t="s">
        <v>365</v>
      </c>
      <c r="C54" s="11" t="s">
        <v>365</v>
      </c>
      <c r="D54" s="11" t="s">
        <v>1623</v>
      </c>
      <c r="E54" s="11" t="s">
        <v>16</v>
      </c>
      <c r="F54" s="11">
        <v>2</v>
      </c>
      <c r="G54" s="11" t="str">
        <f t="shared" si="9"/>
        <v>201516_Williamsons Beach West_2</v>
      </c>
      <c r="H54" s="11" t="s">
        <v>1905</v>
      </c>
      <c r="I54" s="13">
        <v>42333</v>
      </c>
      <c r="J54" s="11">
        <f t="shared" si="10"/>
        <v>25</v>
      </c>
      <c r="K54" s="11">
        <f t="shared" si="11"/>
        <v>11</v>
      </c>
      <c r="L54" s="11">
        <f t="shared" si="12"/>
        <v>2015</v>
      </c>
      <c r="M54" s="11" t="str">
        <f t="shared" si="13"/>
        <v>25112015</v>
      </c>
      <c r="N54" s="11" t="s">
        <v>17</v>
      </c>
      <c r="O54" s="11" t="s">
        <v>51</v>
      </c>
      <c r="P54" s="11" t="s">
        <v>588</v>
      </c>
      <c r="Q54" s="11" t="s">
        <v>588</v>
      </c>
      <c r="R54" s="11" t="s">
        <v>588</v>
      </c>
      <c r="S54" s="11" t="s">
        <v>588</v>
      </c>
      <c r="T54" s="11">
        <v>1</v>
      </c>
      <c r="U54" s="11">
        <v>3</v>
      </c>
      <c r="V54" s="11" t="s">
        <v>588</v>
      </c>
      <c r="W54" s="11" t="s">
        <v>588</v>
      </c>
      <c r="X54" s="11">
        <v>2</v>
      </c>
      <c r="Y54" s="11">
        <v>2</v>
      </c>
      <c r="Z54" s="11" t="s">
        <v>41</v>
      </c>
      <c r="AA54" s="13">
        <v>42333</v>
      </c>
      <c r="AB54" s="11">
        <f t="shared" si="14"/>
        <v>25</v>
      </c>
      <c r="AC54" s="11">
        <f t="shared" si="15"/>
        <v>11</v>
      </c>
      <c r="AD54" s="11">
        <f t="shared" si="16"/>
        <v>2015</v>
      </c>
      <c r="AE54" s="13" t="str">
        <f t="shared" si="17"/>
        <v>25112015</v>
      </c>
      <c r="AF54" s="11" t="s">
        <v>17</v>
      </c>
      <c r="AG54" s="13">
        <v>42342</v>
      </c>
      <c r="AH54" s="11">
        <v>4</v>
      </c>
      <c r="AI54" s="11">
        <v>12</v>
      </c>
      <c r="AJ54" s="11">
        <v>2015</v>
      </c>
      <c r="AK54" s="13" t="s">
        <v>2017</v>
      </c>
      <c r="AL54" s="11" t="s">
        <v>7</v>
      </c>
      <c r="AM54" s="13" t="s">
        <v>41</v>
      </c>
      <c r="AN54" s="11" t="s">
        <v>8</v>
      </c>
      <c r="AO54" s="11" t="s">
        <v>11</v>
      </c>
      <c r="AP54" s="11" t="s">
        <v>588</v>
      </c>
      <c r="AQ54" s="11" t="s">
        <v>588</v>
      </c>
      <c r="AR54" s="11" t="s">
        <v>588</v>
      </c>
      <c r="AS54" s="11" t="s">
        <v>588</v>
      </c>
      <c r="AT54" s="11" t="s">
        <v>588</v>
      </c>
      <c r="AU54" s="11" t="s">
        <v>588</v>
      </c>
      <c r="AV54" s="11" t="s">
        <v>588</v>
      </c>
      <c r="AW54" s="11" t="s">
        <v>588</v>
      </c>
      <c r="AX54" s="11" t="s">
        <v>588</v>
      </c>
      <c r="AY54" s="11" t="s">
        <v>588</v>
      </c>
      <c r="AZ54" s="11" t="s">
        <v>588</v>
      </c>
      <c r="BA54" s="11" t="s">
        <v>588</v>
      </c>
      <c r="BB54" s="11" t="s">
        <v>588</v>
      </c>
      <c r="BC54" s="11" t="s">
        <v>588</v>
      </c>
      <c r="BD54" s="11" t="s">
        <v>588</v>
      </c>
      <c r="BE54" s="11" t="s">
        <v>588</v>
      </c>
      <c r="BF54" s="11" t="s">
        <v>588</v>
      </c>
      <c r="BG54" s="13" t="s">
        <v>588</v>
      </c>
      <c r="BH54" s="13" t="s">
        <v>588</v>
      </c>
      <c r="BI54" s="11" t="s">
        <v>588</v>
      </c>
      <c r="BJ54" s="11" t="s">
        <v>588</v>
      </c>
      <c r="BK54" s="11" t="s">
        <v>588</v>
      </c>
      <c r="BL54" s="11" t="s">
        <v>588</v>
      </c>
      <c r="BM54" s="11" t="s">
        <v>588</v>
      </c>
      <c r="BN54" s="11" t="s">
        <v>588</v>
      </c>
      <c r="BO54" s="11" t="s">
        <v>588</v>
      </c>
      <c r="BP54" s="11" t="s">
        <v>588</v>
      </c>
      <c r="BQ54" s="13" t="s">
        <v>588</v>
      </c>
      <c r="BR54" s="11" t="s">
        <v>588</v>
      </c>
      <c r="BS54" s="11" t="s">
        <v>8</v>
      </c>
      <c r="BT54" s="11" t="s">
        <v>120</v>
      </c>
      <c r="BU54" s="11" t="s">
        <v>120</v>
      </c>
      <c r="BV54" s="11" t="s">
        <v>588</v>
      </c>
      <c r="BW54" s="11" t="s">
        <v>588</v>
      </c>
      <c r="BX54" s="11" t="s">
        <v>588</v>
      </c>
      <c r="BY54" s="11" t="s">
        <v>588</v>
      </c>
      <c r="BZ54" s="11" t="s">
        <v>588</v>
      </c>
    </row>
    <row r="55" spans="1:78" x14ac:dyDescent="0.25">
      <c r="A55" s="11">
        <v>201516</v>
      </c>
      <c r="B55" s="11" t="s">
        <v>365</v>
      </c>
      <c r="C55" s="11" t="s">
        <v>365</v>
      </c>
      <c r="D55" s="11" t="s">
        <v>1623</v>
      </c>
      <c r="E55" s="11" t="s">
        <v>16</v>
      </c>
      <c r="F55" s="11">
        <v>3</v>
      </c>
      <c r="G55" s="11" t="str">
        <f t="shared" si="9"/>
        <v>201516_Williamsons Beach West_3</v>
      </c>
      <c r="H55" s="11" t="s">
        <v>2105</v>
      </c>
      <c r="I55" s="13">
        <v>42380</v>
      </c>
      <c r="J55" s="11">
        <f t="shared" si="10"/>
        <v>11</v>
      </c>
      <c r="K55" s="11">
        <f t="shared" si="11"/>
        <v>1</v>
      </c>
      <c r="L55" s="11">
        <f t="shared" si="12"/>
        <v>2016</v>
      </c>
      <c r="M55" s="11" t="str">
        <f t="shared" si="13"/>
        <v>11012016</v>
      </c>
      <c r="N55" s="11" t="s">
        <v>12</v>
      </c>
      <c r="O55" s="11" t="s">
        <v>10</v>
      </c>
      <c r="P55" s="11">
        <v>-38.595050000000001</v>
      </c>
      <c r="Q55" s="11">
        <v>145.52313000000001</v>
      </c>
      <c r="R55" s="11" t="s">
        <v>588</v>
      </c>
      <c r="S55" s="11" t="s">
        <v>588</v>
      </c>
      <c r="T55" s="11">
        <v>1</v>
      </c>
      <c r="U55" s="11">
        <v>3</v>
      </c>
      <c r="V55" s="11" t="s">
        <v>588</v>
      </c>
      <c r="W55" s="11" t="s">
        <v>588</v>
      </c>
      <c r="X55" s="11">
        <v>2</v>
      </c>
      <c r="Y55" s="11">
        <v>2</v>
      </c>
      <c r="Z55" s="11" t="s">
        <v>41</v>
      </c>
      <c r="AA55" s="13">
        <v>42380</v>
      </c>
      <c r="AB55" s="11">
        <f t="shared" si="14"/>
        <v>11</v>
      </c>
      <c r="AC55" s="11">
        <f t="shared" si="15"/>
        <v>1</v>
      </c>
      <c r="AD55" s="11">
        <f t="shared" si="16"/>
        <v>2016</v>
      </c>
      <c r="AE55" s="13" t="str">
        <f t="shared" si="17"/>
        <v>11012016</v>
      </c>
      <c r="AF55" s="11" t="s">
        <v>12</v>
      </c>
      <c r="AG55" s="13">
        <v>42384</v>
      </c>
      <c r="AH55" s="11">
        <v>15</v>
      </c>
      <c r="AI55" s="11">
        <v>1</v>
      </c>
      <c r="AJ55" s="11">
        <v>2016</v>
      </c>
      <c r="AK55" s="13" t="s">
        <v>2020</v>
      </c>
      <c r="AL55" s="11" t="s">
        <v>12</v>
      </c>
      <c r="AM55" s="13" t="s">
        <v>41</v>
      </c>
      <c r="AN55" s="11" t="s">
        <v>41</v>
      </c>
      <c r="AO55" s="13" t="s">
        <v>20</v>
      </c>
      <c r="AP55" s="11" t="s">
        <v>588</v>
      </c>
      <c r="AQ55" s="13" t="s">
        <v>588</v>
      </c>
      <c r="AR55" s="11" t="s">
        <v>588</v>
      </c>
      <c r="AS55" s="13" t="s">
        <v>588</v>
      </c>
      <c r="AT55" s="11" t="s">
        <v>588</v>
      </c>
      <c r="AU55" s="13" t="s">
        <v>588</v>
      </c>
      <c r="AV55" s="11" t="s">
        <v>588</v>
      </c>
      <c r="AW55" s="13" t="s">
        <v>588</v>
      </c>
      <c r="AX55" s="11" t="s">
        <v>588</v>
      </c>
      <c r="AY55" s="13" t="s">
        <v>588</v>
      </c>
      <c r="AZ55" s="11" t="s">
        <v>588</v>
      </c>
      <c r="BA55" s="13" t="s">
        <v>588</v>
      </c>
      <c r="BB55" s="11" t="s">
        <v>588</v>
      </c>
      <c r="BC55" s="13" t="s">
        <v>588</v>
      </c>
      <c r="BD55" s="11" t="s">
        <v>588</v>
      </c>
      <c r="BE55" s="13" t="s">
        <v>588</v>
      </c>
      <c r="BF55" s="11" t="s">
        <v>588</v>
      </c>
      <c r="BG55" s="13" t="s">
        <v>588</v>
      </c>
      <c r="BH55" s="13" t="s">
        <v>588</v>
      </c>
      <c r="BI55" s="13" t="s">
        <v>588</v>
      </c>
      <c r="BJ55" s="13" t="s">
        <v>588</v>
      </c>
      <c r="BK55" s="13" t="s">
        <v>588</v>
      </c>
      <c r="BL55" s="13" t="s">
        <v>588</v>
      </c>
      <c r="BM55" s="13" t="s">
        <v>588</v>
      </c>
      <c r="BN55" s="13" t="s">
        <v>588</v>
      </c>
      <c r="BO55" s="13" t="s">
        <v>588</v>
      </c>
      <c r="BP55" s="13" t="s">
        <v>588</v>
      </c>
      <c r="BQ55" s="13" t="s">
        <v>588</v>
      </c>
      <c r="BR55" s="13" t="s">
        <v>588</v>
      </c>
      <c r="BS55" s="11" t="s">
        <v>8</v>
      </c>
      <c r="BT55" s="11" t="s">
        <v>123</v>
      </c>
      <c r="BU55" s="11" t="s">
        <v>123</v>
      </c>
      <c r="BV55" s="13" t="s">
        <v>588</v>
      </c>
      <c r="BW55" s="13" t="s">
        <v>588</v>
      </c>
      <c r="BX55" s="13" t="s">
        <v>588</v>
      </c>
      <c r="BY55" s="13" t="s">
        <v>588</v>
      </c>
      <c r="BZ55" s="13" t="s">
        <v>588</v>
      </c>
    </row>
    <row r="56" spans="1:78" x14ac:dyDescent="0.25">
      <c r="A56" s="11">
        <v>201516</v>
      </c>
      <c r="B56" s="11" t="s">
        <v>365</v>
      </c>
      <c r="C56" s="11" t="s">
        <v>365</v>
      </c>
      <c r="D56" s="11" t="s">
        <v>1623</v>
      </c>
      <c r="E56" s="11" t="s">
        <v>16</v>
      </c>
      <c r="F56" s="11">
        <v>4</v>
      </c>
      <c r="G56" s="11" t="str">
        <f t="shared" si="9"/>
        <v>201516_Williamsons Beach West_4</v>
      </c>
      <c r="H56" s="11" t="s">
        <v>2106</v>
      </c>
      <c r="I56" s="13">
        <v>42394</v>
      </c>
      <c r="J56" s="11">
        <f t="shared" si="10"/>
        <v>25</v>
      </c>
      <c r="K56" s="11">
        <f t="shared" si="11"/>
        <v>1</v>
      </c>
      <c r="L56" s="11">
        <f t="shared" si="12"/>
        <v>2016</v>
      </c>
      <c r="M56" s="11" t="str">
        <f t="shared" si="13"/>
        <v>25012016</v>
      </c>
      <c r="N56" s="11" t="s">
        <v>12</v>
      </c>
      <c r="O56" s="11" t="s">
        <v>10</v>
      </c>
      <c r="P56" s="11">
        <v>-38.5961</v>
      </c>
      <c r="Q56" s="11">
        <v>145.52437</v>
      </c>
      <c r="R56" s="11" t="s">
        <v>588</v>
      </c>
      <c r="S56" s="11" t="s">
        <v>588</v>
      </c>
      <c r="T56" s="11">
        <v>1</v>
      </c>
      <c r="U56" s="11">
        <v>3</v>
      </c>
      <c r="V56" s="11" t="s">
        <v>588</v>
      </c>
      <c r="W56" s="11" t="s">
        <v>588</v>
      </c>
      <c r="X56" s="11">
        <v>2</v>
      </c>
      <c r="Y56" s="11">
        <v>2</v>
      </c>
      <c r="Z56" s="11" t="s">
        <v>41</v>
      </c>
      <c r="AA56" s="13">
        <v>42394</v>
      </c>
      <c r="AB56" s="11">
        <f t="shared" si="14"/>
        <v>25</v>
      </c>
      <c r="AC56" s="11">
        <f t="shared" si="15"/>
        <v>1</v>
      </c>
      <c r="AD56" s="11">
        <f t="shared" si="16"/>
        <v>2016</v>
      </c>
      <c r="AE56" s="13" t="str">
        <f t="shared" si="17"/>
        <v>25012016</v>
      </c>
      <c r="AF56" s="11" t="s">
        <v>12</v>
      </c>
      <c r="AG56" s="13">
        <v>42405</v>
      </c>
      <c r="AH56" s="11">
        <v>5</v>
      </c>
      <c r="AI56" s="11">
        <v>2</v>
      </c>
      <c r="AJ56" s="11">
        <v>2016</v>
      </c>
      <c r="AK56" s="13" t="s">
        <v>2033</v>
      </c>
      <c r="AL56" s="11" t="s">
        <v>21</v>
      </c>
      <c r="AM56" s="13" t="s">
        <v>41</v>
      </c>
      <c r="AN56" s="11" t="s">
        <v>8</v>
      </c>
      <c r="AO56" s="11" t="s">
        <v>32</v>
      </c>
      <c r="AP56" s="11" t="s">
        <v>588</v>
      </c>
      <c r="AQ56" s="11" t="s">
        <v>588</v>
      </c>
      <c r="AR56" s="11" t="s">
        <v>588</v>
      </c>
      <c r="AS56" s="11" t="s">
        <v>588</v>
      </c>
      <c r="AT56" s="11" t="s">
        <v>588</v>
      </c>
      <c r="AU56" s="11" t="s">
        <v>588</v>
      </c>
      <c r="AV56" s="11" t="s">
        <v>588</v>
      </c>
      <c r="AW56" s="11" t="s">
        <v>588</v>
      </c>
      <c r="AX56" s="11" t="s">
        <v>588</v>
      </c>
      <c r="AY56" s="11" t="s">
        <v>588</v>
      </c>
      <c r="AZ56" s="11" t="s">
        <v>588</v>
      </c>
      <c r="BA56" s="11" t="s">
        <v>588</v>
      </c>
      <c r="BB56" s="11" t="s">
        <v>588</v>
      </c>
      <c r="BC56" s="11" t="s">
        <v>588</v>
      </c>
      <c r="BD56" s="11" t="s">
        <v>588</v>
      </c>
      <c r="BE56" s="11" t="s">
        <v>588</v>
      </c>
      <c r="BF56" s="11" t="s">
        <v>588</v>
      </c>
      <c r="BG56" s="13" t="s">
        <v>588</v>
      </c>
      <c r="BH56" s="13" t="s">
        <v>588</v>
      </c>
      <c r="BI56" s="11" t="s">
        <v>588</v>
      </c>
      <c r="BJ56" s="11" t="s">
        <v>588</v>
      </c>
      <c r="BK56" s="11" t="s">
        <v>588</v>
      </c>
      <c r="BL56" s="11" t="s">
        <v>588</v>
      </c>
      <c r="BM56" s="11" t="s">
        <v>588</v>
      </c>
      <c r="BN56" s="11" t="s">
        <v>588</v>
      </c>
      <c r="BO56" s="11" t="s">
        <v>588</v>
      </c>
      <c r="BP56" s="11" t="s">
        <v>588</v>
      </c>
      <c r="BQ56" s="13" t="s">
        <v>588</v>
      </c>
      <c r="BR56" s="11" t="s">
        <v>588</v>
      </c>
      <c r="BS56" s="11" t="s">
        <v>8</v>
      </c>
      <c r="BT56" s="11" t="s">
        <v>120</v>
      </c>
      <c r="BU56" s="11" t="s">
        <v>120</v>
      </c>
      <c r="BV56" s="11" t="s">
        <v>588</v>
      </c>
      <c r="BW56" s="11" t="s">
        <v>588</v>
      </c>
      <c r="BX56" s="11" t="s">
        <v>588</v>
      </c>
      <c r="BY56" s="11" t="s">
        <v>588</v>
      </c>
      <c r="BZ56" s="11" t="s">
        <v>588</v>
      </c>
    </row>
    <row r="57" spans="1:78" x14ac:dyDescent="0.25">
      <c r="A57" s="11">
        <v>201516</v>
      </c>
      <c r="B57" s="11" t="s">
        <v>365</v>
      </c>
      <c r="C57" s="11" t="s">
        <v>365</v>
      </c>
      <c r="D57" s="11" t="s">
        <v>1623</v>
      </c>
      <c r="E57" s="11" t="s">
        <v>16</v>
      </c>
      <c r="F57" s="11">
        <v>5</v>
      </c>
      <c r="G57" s="11" t="str">
        <f t="shared" si="9"/>
        <v>201516_Williamsons Beach West_5</v>
      </c>
      <c r="H57" s="11" t="s">
        <v>2107</v>
      </c>
      <c r="I57" s="13">
        <v>42405</v>
      </c>
      <c r="J57" s="11">
        <f t="shared" si="10"/>
        <v>5</v>
      </c>
      <c r="K57" s="11">
        <f t="shared" si="11"/>
        <v>2</v>
      </c>
      <c r="L57" s="11">
        <f t="shared" si="12"/>
        <v>2016</v>
      </c>
      <c r="M57" s="11" t="str">
        <f t="shared" si="13"/>
        <v>05022016</v>
      </c>
      <c r="N57" s="11" t="s">
        <v>21</v>
      </c>
      <c r="O57" s="11" t="s">
        <v>10</v>
      </c>
      <c r="P57" s="11">
        <v>-38.593310000000002</v>
      </c>
      <c r="Q57" s="11">
        <v>145.52128999999999</v>
      </c>
      <c r="R57" s="11" t="s">
        <v>588</v>
      </c>
      <c r="S57" s="11" t="s">
        <v>588</v>
      </c>
      <c r="T57" s="11">
        <v>2</v>
      </c>
      <c r="U57" s="11">
        <v>2</v>
      </c>
      <c r="V57" s="11" t="s">
        <v>588</v>
      </c>
      <c r="W57" s="11" t="s">
        <v>588</v>
      </c>
      <c r="X57" s="11">
        <v>6</v>
      </c>
      <c r="Y57" s="11">
        <v>6</v>
      </c>
      <c r="Z57" s="11" t="s">
        <v>8</v>
      </c>
      <c r="AA57" s="13">
        <v>42433</v>
      </c>
      <c r="AB57" s="11">
        <f t="shared" si="14"/>
        <v>4</v>
      </c>
      <c r="AC57" s="11">
        <f t="shared" si="15"/>
        <v>3</v>
      </c>
      <c r="AD57" s="11">
        <f t="shared" si="16"/>
        <v>2016</v>
      </c>
      <c r="AE57" s="13" t="str">
        <f t="shared" si="17"/>
        <v>04032016</v>
      </c>
      <c r="AF57" s="11" t="s">
        <v>22</v>
      </c>
      <c r="AG57" s="11" t="s">
        <v>588</v>
      </c>
      <c r="AH57" s="11" t="s">
        <v>588</v>
      </c>
      <c r="AI57" s="11" t="s">
        <v>588</v>
      </c>
      <c r="AJ57" s="11" t="s">
        <v>588</v>
      </c>
      <c r="AK57" s="13" t="s">
        <v>588</v>
      </c>
      <c r="AL57" s="11" t="s">
        <v>588</v>
      </c>
      <c r="AM57" s="13" t="s">
        <v>588</v>
      </c>
      <c r="AN57" s="11" t="s">
        <v>588</v>
      </c>
      <c r="AO57" s="11" t="s">
        <v>588</v>
      </c>
      <c r="AP57" s="13">
        <v>42440</v>
      </c>
      <c r="AQ57" s="11" t="s">
        <v>22</v>
      </c>
      <c r="AR57" s="11" t="s">
        <v>195</v>
      </c>
      <c r="AS57" s="11">
        <v>1</v>
      </c>
      <c r="AT57" s="11">
        <v>1</v>
      </c>
      <c r="AU57" s="11" t="s">
        <v>588</v>
      </c>
      <c r="AV57" s="11" t="s">
        <v>588</v>
      </c>
      <c r="AW57" s="11" t="s">
        <v>588</v>
      </c>
      <c r="AX57" s="11" t="s">
        <v>588</v>
      </c>
      <c r="AY57" s="11" t="s">
        <v>588</v>
      </c>
      <c r="AZ57" s="11" t="s">
        <v>588</v>
      </c>
      <c r="BA57" s="11" t="s">
        <v>588</v>
      </c>
      <c r="BB57" s="11" t="s">
        <v>588</v>
      </c>
      <c r="BC57" s="11" t="s">
        <v>588</v>
      </c>
      <c r="BD57" s="11" t="s">
        <v>588</v>
      </c>
      <c r="BE57" s="11" t="s">
        <v>588</v>
      </c>
      <c r="BF57" s="11" t="s">
        <v>588</v>
      </c>
      <c r="BG57" s="13" t="s">
        <v>588</v>
      </c>
      <c r="BH57" s="13" t="s">
        <v>588</v>
      </c>
      <c r="BI57" s="11" t="s">
        <v>588</v>
      </c>
      <c r="BJ57" s="11" t="s">
        <v>588</v>
      </c>
      <c r="BK57" s="11" t="s">
        <v>588</v>
      </c>
      <c r="BL57" s="11" t="s">
        <v>588</v>
      </c>
      <c r="BM57" s="11">
        <v>4</v>
      </c>
      <c r="BN57" s="11">
        <v>4</v>
      </c>
      <c r="BO57" s="11" t="s">
        <v>8</v>
      </c>
      <c r="BP57" s="11">
        <v>1</v>
      </c>
      <c r="BQ57" s="13">
        <v>42461</v>
      </c>
      <c r="BR57" s="11" t="s">
        <v>72</v>
      </c>
      <c r="BS57" s="11" t="s">
        <v>8</v>
      </c>
      <c r="BT57" s="11" t="s">
        <v>120</v>
      </c>
      <c r="BU57" s="11" t="s">
        <v>120</v>
      </c>
      <c r="BV57" s="11" t="s">
        <v>8</v>
      </c>
      <c r="BW57" s="11" t="s">
        <v>120</v>
      </c>
      <c r="BX57" s="11" t="s">
        <v>120</v>
      </c>
      <c r="BY57" s="11" t="s">
        <v>588</v>
      </c>
      <c r="BZ57" s="11" t="s">
        <v>588</v>
      </c>
    </row>
    <row r="58" spans="1:78" x14ac:dyDescent="0.25">
      <c r="A58" s="11">
        <v>201516</v>
      </c>
      <c r="B58" s="11" t="s">
        <v>43</v>
      </c>
      <c r="C58" s="11" t="s">
        <v>43</v>
      </c>
      <c r="D58" s="11" t="s">
        <v>91</v>
      </c>
      <c r="E58" s="11" t="s">
        <v>2005</v>
      </c>
      <c r="F58" s="11">
        <v>1</v>
      </c>
      <c r="G58" s="11" t="str">
        <f t="shared" si="9"/>
        <v>201516_Wilsons Rd 2nd Bay West End_1</v>
      </c>
      <c r="H58" s="11" t="s">
        <v>1965</v>
      </c>
      <c r="I58" s="13">
        <v>42296</v>
      </c>
      <c r="J58" s="11">
        <f t="shared" si="10"/>
        <v>19</v>
      </c>
      <c r="K58" s="11">
        <f t="shared" si="11"/>
        <v>10</v>
      </c>
      <c r="L58" s="11">
        <f t="shared" si="12"/>
        <v>2015</v>
      </c>
      <c r="M58" s="11" t="str">
        <f t="shared" si="13"/>
        <v>19102015</v>
      </c>
      <c r="N58" s="11" t="s">
        <v>29</v>
      </c>
      <c r="O58" s="11" t="s">
        <v>51</v>
      </c>
      <c r="P58" s="11">
        <v>-38.66901</v>
      </c>
      <c r="Q58" s="11">
        <v>145.59241</v>
      </c>
      <c r="R58" s="11" t="s">
        <v>588</v>
      </c>
      <c r="S58" s="11" t="s">
        <v>588</v>
      </c>
      <c r="T58" s="11">
        <v>3</v>
      </c>
      <c r="U58" s="11">
        <v>3</v>
      </c>
      <c r="V58" s="13">
        <v>42302</v>
      </c>
      <c r="W58" s="11" t="s">
        <v>223</v>
      </c>
      <c r="X58" s="11">
        <v>4</v>
      </c>
      <c r="Y58" s="11">
        <v>4</v>
      </c>
      <c r="Z58" s="11" t="s">
        <v>41</v>
      </c>
      <c r="AA58" s="13">
        <v>42307</v>
      </c>
      <c r="AB58" s="11">
        <f t="shared" si="14"/>
        <v>30</v>
      </c>
      <c r="AC58" s="11">
        <f t="shared" si="15"/>
        <v>10</v>
      </c>
      <c r="AD58" s="11">
        <f t="shared" si="16"/>
        <v>2015</v>
      </c>
      <c r="AE58" s="13" t="str">
        <f t="shared" si="17"/>
        <v>30102015</v>
      </c>
      <c r="AF58" s="11" t="s">
        <v>29</v>
      </c>
      <c r="AG58" s="13">
        <v>42316</v>
      </c>
      <c r="AH58" s="11">
        <v>8</v>
      </c>
      <c r="AI58" s="11">
        <v>11</v>
      </c>
      <c r="AJ58" s="11">
        <v>2015</v>
      </c>
      <c r="AK58" s="13" t="s">
        <v>2034</v>
      </c>
      <c r="AL58" s="11" t="s">
        <v>17</v>
      </c>
      <c r="AM58" s="13" t="s">
        <v>41</v>
      </c>
      <c r="AN58" s="11" t="s">
        <v>41</v>
      </c>
      <c r="AO58" s="13" t="s">
        <v>20</v>
      </c>
      <c r="AP58" s="11" t="s">
        <v>588</v>
      </c>
      <c r="AQ58" s="13" t="s">
        <v>588</v>
      </c>
      <c r="AR58" s="11" t="s">
        <v>588</v>
      </c>
      <c r="AS58" s="13" t="s">
        <v>588</v>
      </c>
      <c r="AT58" s="11" t="s">
        <v>588</v>
      </c>
      <c r="AU58" s="13" t="s">
        <v>588</v>
      </c>
      <c r="AV58" s="11" t="s">
        <v>588</v>
      </c>
      <c r="AW58" s="13" t="s">
        <v>588</v>
      </c>
      <c r="AX58" s="11" t="s">
        <v>588</v>
      </c>
      <c r="AY58" s="13" t="s">
        <v>588</v>
      </c>
      <c r="AZ58" s="11" t="s">
        <v>588</v>
      </c>
      <c r="BA58" s="13" t="s">
        <v>588</v>
      </c>
      <c r="BB58" s="11" t="s">
        <v>588</v>
      </c>
      <c r="BC58" s="13" t="s">
        <v>588</v>
      </c>
      <c r="BD58" s="11" t="s">
        <v>588</v>
      </c>
      <c r="BE58" s="13" t="s">
        <v>588</v>
      </c>
      <c r="BF58" s="11" t="s">
        <v>588</v>
      </c>
      <c r="BG58" s="13" t="s">
        <v>588</v>
      </c>
      <c r="BH58" s="13" t="s">
        <v>588</v>
      </c>
      <c r="BI58" s="13" t="s">
        <v>588</v>
      </c>
      <c r="BJ58" s="13" t="s">
        <v>588</v>
      </c>
      <c r="BK58" s="13" t="s">
        <v>588</v>
      </c>
      <c r="BL58" s="13" t="s">
        <v>588</v>
      </c>
      <c r="BM58" s="13" t="s">
        <v>588</v>
      </c>
      <c r="BN58" s="13" t="s">
        <v>588</v>
      </c>
      <c r="BO58" s="13" t="s">
        <v>588</v>
      </c>
      <c r="BP58" s="13" t="s">
        <v>588</v>
      </c>
      <c r="BQ58" s="13" t="s">
        <v>588</v>
      </c>
      <c r="BR58" s="13" t="s">
        <v>588</v>
      </c>
      <c r="BS58" s="11" t="s">
        <v>8</v>
      </c>
      <c r="BT58" s="11" t="s">
        <v>13</v>
      </c>
      <c r="BU58" s="11" t="s">
        <v>13</v>
      </c>
      <c r="BV58" s="13" t="s">
        <v>588</v>
      </c>
      <c r="BW58" s="13" t="s">
        <v>588</v>
      </c>
      <c r="BX58" s="13" t="s">
        <v>588</v>
      </c>
      <c r="BY58" s="13" t="s">
        <v>588</v>
      </c>
      <c r="BZ58" s="13" t="s">
        <v>588</v>
      </c>
    </row>
    <row r="59" spans="1:78" x14ac:dyDescent="0.25">
      <c r="A59" s="11">
        <v>201516</v>
      </c>
      <c r="B59" s="11" t="s">
        <v>43</v>
      </c>
      <c r="C59" s="11" t="s">
        <v>43</v>
      </c>
      <c r="D59" s="11" t="s">
        <v>53</v>
      </c>
      <c r="E59" s="11" t="s">
        <v>16</v>
      </c>
      <c r="F59" s="11">
        <v>2</v>
      </c>
      <c r="G59" s="11" t="str">
        <f t="shared" si="9"/>
        <v>201516_Wilsons Rd 2nd Bay West End_2</v>
      </c>
      <c r="H59" s="11" t="s">
        <v>2108</v>
      </c>
      <c r="I59" s="13">
        <v>42368</v>
      </c>
      <c r="J59" s="11">
        <f t="shared" si="10"/>
        <v>30</v>
      </c>
      <c r="K59" s="11">
        <f t="shared" si="11"/>
        <v>12</v>
      </c>
      <c r="L59" s="11">
        <f t="shared" si="12"/>
        <v>2015</v>
      </c>
      <c r="M59" s="11" t="str">
        <f t="shared" si="13"/>
        <v>30122015</v>
      </c>
      <c r="N59" s="11" t="s">
        <v>7</v>
      </c>
      <c r="O59" s="11" t="s">
        <v>10</v>
      </c>
      <c r="P59" s="11">
        <v>-38.668407000000002</v>
      </c>
      <c r="Q59" s="11">
        <v>145.58944700000001</v>
      </c>
      <c r="R59" s="11" t="s">
        <v>588</v>
      </c>
      <c r="S59" s="11" t="s">
        <v>588</v>
      </c>
      <c r="T59" s="11">
        <v>2</v>
      </c>
      <c r="U59" s="11">
        <v>2</v>
      </c>
      <c r="V59" s="11" t="s">
        <v>588</v>
      </c>
      <c r="W59" s="11" t="s">
        <v>588</v>
      </c>
      <c r="X59" s="11">
        <v>3</v>
      </c>
      <c r="Y59" s="11">
        <v>3</v>
      </c>
      <c r="Z59" s="11" t="s">
        <v>8</v>
      </c>
      <c r="AA59" s="13">
        <v>42387</v>
      </c>
      <c r="AB59" s="11">
        <f t="shared" si="14"/>
        <v>18</v>
      </c>
      <c r="AC59" s="11">
        <f t="shared" si="15"/>
        <v>1</v>
      </c>
      <c r="AD59" s="11">
        <f t="shared" si="16"/>
        <v>2016</v>
      </c>
      <c r="AE59" s="13" t="str">
        <f t="shared" si="17"/>
        <v>18012016</v>
      </c>
      <c r="AF59" s="11" t="s">
        <v>12</v>
      </c>
      <c r="AG59" s="11" t="s">
        <v>588</v>
      </c>
      <c r="AH59" s="11" t="s">
        <v>588</v>
      </c>
      <c r="AI59" s="11" t="s">
        <v>588</v>
      </c>
      <c r="AJ59" s="11" t="s">
        <v>588</v>
      </c>
      <c r="AK59" s="13" t="s">
        <v>588</v>
      </c>
      <c r="AL59" s="11" t="s">
        <v>588</v>
      </c>
      <c r="AM59" s="13" t="s">
        <v>588</v>
      </c>
      <c r="AN59" s="11" t="s">
        <v>588</v>
      </c>
      <c r="AO59" s="11" t="s">
        <v>588</v>
      </c>
      <c r="AP59" s="13">
        <v>42403</v>
      </c>
      <c r="AQ59" s="11" t="s">
        <v>21</v>
      </c>
      <c r="AR59" s="11" t="s">
        <v>195</v>
      </c>
      <c r="AS59" s="11">
        <v>2</v>
      </c>
      <c r="AT59" s="11">
        <v>2</v>
      </c>
      <c r="AU59" s="13">
        <v>42403</v>
      </c>
      <c r="AV59" s="13">
        <v>42408</v>
      </c>
      <c r="AW59" s="11" t="s">
        <v>21</v>
      </c>
      <c r="AX59" s="11" t="s">
        <v>41</v>
      </c>
      <c r="AY59" s="11" t="s">
        <v>41</v>
      </c>
      <c r="AZ59" s="11" t="s">
        <v>20</v>
      </c>
      <c r="BA59" s="11" t="s">
        <v>588</v>
      </c>
      <c r="BB59" s="11" t="s">
        <v>588</v>
      </c>
      <c r="BC59" s="11" t="s">
        <v>588</v>
      </c>
      <c r="BD59" s="11" t="s">
        <v>588</v>
      </c>
      <c r="BE59" s="11" t="s">
        <v>588</v>
      </c>
      <c r="BF59" s="11" t="s">
        <v>588</v>
      </c>
      <c r="BG59" s="13" t="s">
        <v>588</v>
      </c>
      <c r="BH59" s="13" t="s">
        <v>588</v>
      </c>
      <c r="BI59" s="11" t="s">
        <v>588</v>
      </c>
      <c r="BJ59" s="11" t="s">
        <v>588</v>
      </c>
      <c r="BK59" s="11" t="s">
        <v>588</v>
      </c>
      <c r="BL59" s="11" t="s">
        <v>588</v>
      </c>
      <c r="BM59" s="11">
        <v>6</v>
      </c>
      <c r="BN59" s="11">
        <v>6</v>
      </c>
      <c r="BO59" s="11" t="s">
        <v>8</v>
      </c>
      <c r="BP59" s="11">
        <v>1</v>
      </c>
      <c r="BQ59" s="13">
        <v>42433</v>
      </c>
      <c r="BR59" s="11" t="s">
        <v>22</v>
      </c>
      <c r="BS59" s="11" t="s">
        <v>8</v>
      </c>
      <c r="BT59" s="11" t="s">
        <v>120</v>
      </c>
      <c r="BU59" s="11" t="s">
        <v>120</v>
      </c>
      <c r="BV59" s="11" t="s">
        <v>8</v>
      </c>
      <c r="BW59" s="11" t="s">
        <v>120</v>
      </c>
      <c r="BX59" s="11" t="s">
        <v>120</v>
      </c>
      <c r="BY59" s="11" t="s">
        <v>588</v>
      </c>
      <c r="BZ59" s="11" t="s">
        <v>588</v>
      </c>
    </row>
    <row r="60" spans="1:78" x14ac:dyDescent="0.25">
      <c r="A60" s="11">
        <v>201516</v>
      </c>
      <c r="B60" s="11" t="s">
        <v>45</v>
      </c>
      <c r="C60" s="11" t="s">
        <v>45</v>
      </c>
      <c r="D60" s="11" t="s">
        <v>16</v>
      </c>
      <c r="E60" s="11" t="s">
        <v>16</v>
      </c>
      <c r="F60" s="11">
        <v>1</v>
      </c>
      <c r="G60" s="11" t="str">
        <f t="shared" si="9"/>
        <v>201516_Wilsons Rd 3rd Bay West_1</v>
      </c>
      <c r="H60" s="11" t="s">
        <v>1880</v>
      </c>
      <c r="I60" s="13">
        <v>42307</v>
      </c>
      <c r="J60" s="11">
        <f t="shared" si="10"/>
        <v>30</v>
      </c>
      <c r="K60" s="11">
        <f t="shared" si="11"/>
        <v>10</v>
      </c>
      <c r="L60" s="11">
        <f t="shared" si="12"/>
        <v>2015</v>
      </c>
      <c r="M60" s="11" t="str">
        <f t="shared" si="13"/>
        <v>30102015</v>
      </c>
      <c r="N60" s="11" t="s">
        <v>29</v>
      </c>
      <c r="O60" s="11" t="s">
        <v>10</v>
      </c>
      <c r="P60" s="11">
        <v>-38.66816</v>
      </c>
      <c r="Q60" s="11">
        <v>145.58921000000001</v>
      </c>
      <c r="R60" s="11" t="s">
        <v>588</v>
      </c>
      <c r="S60" s="11" t="s">
        <v>588</v>
      </c>
      <c r="T60" s="11">
        <v>3</v>
      </c>
      <c r="U60" s="11">
        <v>3</v>
      </c>
      <c r="V60" s="11" t="s">
        <v>588</v>
      </c>
      <c r="W60" s="11" t="s">
        <v>588</v>
      </c>
      <c r="X60" s="11">
        <v>2</v>
      </c>
      <c r="Y60" s="11">
        <v>2</v>
      </c>
      <c r="Z60" s="11" t="s">
        <v>41</v>
      </c>
      <c r="AA60" s="13">
        <v>42307</v>
      </c>
      <c r="AB60" s="11">
        <f t="shared" si="14"/>
        <v>30</v>
      </c>
      <c r="AC60" s="11">
        <f t="shared" si="15"/>
        <v>10</v>
      </c>
      <c r="AD60" s="11">
        <f t="shared" si="16"/>
        <v>2015</v>
      </c>
      <c r="AE60" s="13" t="str">
        <f t="shared" si="17"/>
        <v>30102015</v>
      </c>
      <c r="AF60" s="11" t="s">
        <v>29</v>
      </c>
      <c r="AG60" s="13">
        <v>42316</v>
      </c>
      <c r="AH60" s="11">
        <v>8</v>
      </c>
      <c r="AI60" s="11">
        <v>11</v>
      </c>
      <c r="AJ60" s="11">
        <v>2015</v>
      </c>
      <c r="AK60" s="13" t="s">
        <v>2034</v>
      </c>
      <c r="AL60" s="11" t="s">
        <v>17</v>
      </c>
      <c r="AM60" s="13" t="s">
        <v>41</v>
      </c>
      <c r="AN60" s="11" t="s">
        <v>41</v>
      </c>
      <c r="AO60" s="13" t="s">
        <v>20</v>
      </c>
      <c r="AP60" s="11" t="s">
        <v>588</v>
      </c>
      <c r="AQ60" s="13" t="s">
        <v>588</v>
      </c>
      <c r="AR60" s="11" t="s">
        <v>588</v>
      </c>
      <c r="AS60" s="13" t="s">
        <v>588</v>
      </c>
      <c r="AT60" s="11" t="s">
        <v>588</v>
      </c>
      <c r="AU60" s="13" t="s">
        <v>588</v>
      </c>
      <c r="AV60" s="11" t="s">
        <v>588</v>
      </c>
      <c r="AW60" s="13" t="s">
        <v>588</v>
      </c>
      <c r="AX60" s="11" t="s">
        <v>588</v>
      </c>
      <c r="AY60" s="13" t="s">
        <v>588</v>
      </c>
      <c r="AZ60" s="11" t="s">
        <v>588</v>
      </c>
      <c r="BA60" s="13" t="s">
        <v>588</v>
      </c>
      <c r="BB60" s="11" t="s">
        <v>588</v>
      </c>
      <c r="BC60" s="13" t="s">
        <v>588</v>
      </c>
      <c r="BD60" s="11" t="s">
        <v>588</v>
      </c>
      <c r="BE60" s="13" t="s">
        <v>588</v>
      </c>
      <c r="BF60" s="11" t="s">
        <v>588</v>
      </c>
      <c r="BG60" s="13" t="s">
        <v>588</v>
      </c>
      <c r="BH60" s="13" t="s">
        <v>588</v>
      </c>
      <c r="BI60" s="13" t="s">
        <v>588</v>
      </c>
      <c r="BJ60" s="13" t="s">
        <v>588</v>
      </c>
      <c r="BK60" s="13" t="s">
        <v>588</v>
      </c>
      <c r="BL60" s="13" t="s">
        <v>588</v>
      </c>
      <c r="BM60" s="13" t="s">
        <v>588</v>
      </c>
      <c r="BN60" s="13" t="s">
        <v>588</v>
      </c>
      <c r="BO60" s="13" t="s">
        <v>588</v>
      </c>
      <c r="BP60" s="13" t="s">
        <v>588</v>
      </c>
      <c r="BQ60" s="13" t="s">
        <v>588</v>
      </c>
      <c r="BR60" s="13" t="s">
        <v>588</v>
      </c>
      <c r="BS60" s="11" t="s">
        <v>8</v>
      </c>
      <c r="BT60" s="11" t="s">
        <v>13</v>
      </c>
      <c r="BU60" s="11" t="s">
        <v>13</v>
      </c>
      <c r="BV60" s="13" t="s">
        <v>588</v>
      </c>
      <c r="BW60" s="13" t="s">
        <v>588</v>
      </c>
      <c r="BX60" s="13" t="s">
        <v>588</v>
      </c>
      <c r="BY60" s="13" t="s">
        <v>588</v>
      </c>
      <c r="BZ60" s="13" t="s">
        <v>588</v>
      </c>
    </row>
    <row r="61" spans="1:78" x14ac:dyDescent="0.25">
      <c r="A61" s="11">
        <v>201516</v>
      </c>
      <c r="B61" s="11" t="s">
        <v>45</v>
      </c>
      <c r="C61" s="11" t="s">
        <v>45</v>
      </c>
      <c r="D61" s="11" t="s">
        <v>53</v>
      </c>
      <c r="E61" s="11" t="s">
        <v>16</v>
      </c>
      <c r="F61" s="11">
        <v>2</v>
      </c>
      <c r="G61" s="11" t="str">
        <f t="shared" si="9"/>
        <v>201516_Wilsons Rd 3rd Bay West_2</v>
      </c>
      <c r="H61" s="11" t="s">
        <v>2109</v>
      </c>
      <c r="I61" s="13">
        <v>42338</v>
      </c>
      <c r="J61" s="11">
        <f t="shared" si="10"/>
        <v>30</v>
      </c>
      <c r="K61" s="11">
        <f t="shared" si="11"/>
        <v>11</v>
      </c>
      <c r="L61" s="11">
        <f t="shared" si="12"/>
        <v>2015</v>
      </c>
      <c r="M61" s="11" t="str">
        <f t="shared" si="13"/>
        <v>30112015</v>
      </c>
      <c r="N61" s="11" t="s">
        <v>17</v>
      </c>
      <c r="O61" s="11" t="s">
        <v>10</v>
      </c>
      <c r="P61" s="11">
        <v>-38.668170000000003</v>
      </c>
      <c r="Q61" s="11">
        <v>145.58914999999999</v>
      </c>
      <c r="R61" s="11" t="s">
        <v>588</v>
      </c>
      <c r="S61" s="11" t="s">
        <v>588</v>
      </c>
      <c r="T61" s="11">
        <v>2</v>
      </c>
      <c r="U61" s="11">
        <v>3</v>
      </c>
      <c r="V61" s="11" t="s">
        <v>588</v>
      </c>
      <c r="W61" s="11" t="s">
        <v>588</v>
      </c>
      <c r="X61" s="11">
        <v>2</v>
      </c>
      <c r="Y61" s="11">
        <v>2</v>
      </c>
      <c r="Z61" s="11" t="s">
        <v>41</v>
      </c>
      <c r="AA61" s="13">
        <v>42338</v>
      </c>
      <c r="AB61" s="11">
        <f t="shared" si="14"/>
        <v>30</v>
      </c>
      <c r="AC61" s="11">
        <f t="shared" si="15"/>
        <v>11</v>
      </c>
      <c r="AD61" s="11">
        <f t="shared" si="16"/>
        <v>2015</v>
      </c>
      <c r="AE61" s="13" t="str">
        <f t="shared" si="17"/>
        <v>30112015</v>
      </c>
      <c r="AF61" s="11" t="s">
        <v>17</v>
      </c>
      <c r="AG61" s="13">
        <v>42341</v>
      </c>
      <c r="AH61" s="11">
        <v>3</v>
      </c>
      <c r="AI61" s="11">
        <v>12</v>
      </c>
      <c r="AJ61" s="11">
        <v>2015</v>
      </c>
      <c r="AK61" s="13" t="s">
        <v>2035</v>
      </c>
      <c r="AL61" s="11" t="s">
        <v>7</v>
      </c>
      <c r="AM61" s="13" t="s">
        <v>41</v>
      </c>
      <c r="AN61" s="11" t="s">
        <v>41</v>
      </c>
      <c r="AO61" s="13" t="s">
        <v>20</v>
      </c>
      <c r="AP61" s="13" t="s">
        <v>588</v>
      </c>
      <c r="AQ61" s="13" t="s">
        <v>588</v>
      </c>
      <c r="AR61" s="13" t="s">
        <v>588</v>
      </c>
      <c r="AS61" s="13" t="s">
        <v>588</v>
      </c>
      <c r="AT61" s="13" t="s">
        <v>588</v>
      </c>
      <c r="AU61" s="13" t="s">
        <v>588</v>
      </c>
      <c r="AV61" s="13" t="s">
        <v>588</v>
      </c>
      <c r="AW61" s="13" t="s">
        <v>588</v>
      </c>
      <c r="AX61" s="13" t="s">
        <v>588</v>
      </c>
      <c r="AY61" s="13" t="s">
        <v>588</v>
      </c>
      <c r="AZ61" s="13" t="s">
        <v>588</v>
      </c>
      <c r="BA61" s="13" t="s">
        <v>588</v>
      </c>
      <c r="BB61" s="13" t="s">
        <v>588</v>
      </c>
      <c r="BC61" s="13" t="s">
        <v>588</v>
      </c>
      <c r="BD61" s="13" t="s">
        <v>588</v>
      </c>
      <c r="BE61" s="13" t="s">
        <v>588</v>
      </c>
      <c r="BF61" s="13" t="s">
        <v>588</v>
      </c>
      <c r="BG61" s="13" t="s">
        <v>588</v>
      </c>
      <c r="BH61" s="13" t="s">
        <v>588</v>
      </c>
      <c r="BI61" s="13" t="s">
        <v>588</v>
      </c>
      <c r="BJ61" s="13" t="s">
        <v>588</v>
      </c>
      <c r="BK61" s="13" t="s">
        <v>588</v>
      </c>
      <c r="BL61" s="13" t="s">
        <v>588</v>
      </c>
      <c r="BM61" s="13" t="s">
        <v>588</v>
      </c>
      <c r="BN61" s="13" t="s">
        <v>588</v>
      </c>
      <c r="BO61" s="13" t="s">
        <v>588</v>
      </c>
      <c r="BP61" s="13" t="s">
        <v>588</v>
      </c>
      <c r="BQ61" s="13" t="s">
        <v>588</v>
      </c>
      <c r="BR61" s="13" t="s">
        <v>588</v>
      </c>
      <c r="BS61" s="11" t="s">
        <v>8</v>
      </c>
      <c r="BT61" s="11" t="s">
        <v>13</v>
      </c>
      <c r="BU61" s="11" t="s">
        <v>13</v>
      </c>
      <c r="BV61" s="13" t="s">
        <v>588</v>
      </c>
      <c r="BW61" s="13" t="s">
        <v>588</v>
      </c>
      <c r="BX61" s="13" t="s">
        <v>588</v>
      </c>
      <c r="BY61" s="13" t="s">
        <v>588</v>
      </c>
      <c r="BZ61" s="13" t="s">
        <v>588</v>
      </c>
    </row>
    <row r="62" spans="1:78" x14ac:dyDescent="0.25">
      <c r="A62" s="11">
        <v>201516</v>
      </c>
      <c r="B62" s="11" t="s">
        <v>45</v>
      </c>
      <c r="C62" s="11" t="s">
        <v>45</v>
      </c>
      <c r="D62" s="11" t="s">
        <v>53</v>
      </c>
      <c r="E62" s="11" t="s">
        <v>2006</v>
      </c>
      <c r="F62" s="11">
        <v>3</v>
      </c>
      <c r="G62" s="11" t="str">
        <f t="shared" si="9"/>
        <v>201516_Wilsons Rd 3rd Bay West_3</v>
      </c>
      <c r="H62" s="11" t="s">
        <v>2110</v>
      </c>
      <c r="I62" s="13">
        <v>42373</v>
      </c>
      <c r="J62" s="11">
        <f t="shared" si="10"/>
        <v>4</v>
      </c>
      <c r="K62" s="11">
        <f t="shared" si="11"/>
        <v>1</v>
      </c>
      <c r="L62" s="11">
        <f t="shared" si="12"/>
        <v>2016</v>
      </c>
      <c r="M62" s="11" t="str">
        <f t="shared" si="13"/>
        <v>04012016</v>
      </c>
      <c r="N62" s="11" t="s">
        <v>12</v>
      </c>
      <c r="O62" s="11" t="s">
        <v>10</v>
      </c>
      <c r="P62" s="11">
        <v>-38.666508</v>
      </c>
      <c r="Q62" s="11">
        <v>145.587219</v>
      </c>
      <c r="R62" s="11" t="s">
        <v>588</v>
      </c>
      <c r="S62" s="11" t="s">
        <v>588</v>
      </c>
      <c r="T62" s="11">
        <v>2</v>
      </c>
      <c r="U62" s="11">
        <v>3</v>
      </c>
      <c r="V62" s="11" t="s">
        <v>588</v>
      </c>
      <c r="W62" s="11" t="s">
        <v>588</v>
      </c>
      <c r="X62" s="11">
        <v>2</v>
      </c>
      <c r="Y62" s="11">
        <v>2</v>
      </c>
      <c r="Z62" s="11" t="s">
        <v>41</v>
      </c>
      <c r="AA62" s="13">
        <v>42373</v>
      </c>
      <c r="AB62" s="11">
        <f t="shared" si="14"/>
        <v>4</v>
      </c>
      <c r="AC62" s="11">
        <f t="shared" si="15"/>
        <v>1</v>
      </c>
      <c r="AD62" s="11">
        <f t="shared" si="16"/>
        <v>2016</v>
      </c>
      <c r="AE62" s="13" t="str">
        <f t="shared" si="17"/>
        <v>04012016</v>
      </c>
      <c r="AF62" s="11" t="s">
        <v>12</v>
      </c>
      <c r="AG62" s="13">
        <v>42387</v>
      </c>
      <c r="AH62" s="11">
        <v>18</v>
      </c>
      <c r="AI62" s="11">
        <v>1</v>
      </c>
      <c r="AJ62" s="11">
        <v>2016</v>
      </c>
      <c r="AK62" s="13" t="s">
        <v>2036</v>
      </c>
      <c r="AL62" s="11" t="s">
        <v>12</v>
      </c>
      <c r="AM62" s="13" t="s">
        <v>41</v>
      </c>
      <c r="AN62" s="11" t="s">
        <v>41</v>
      </c>
      <c r="AO62" s="13" t="s">
        <v>20</v>
      </c>
      <c r="AP62" s="11" t="s">
        <v>588</v>
      </c>
      <c r="AQ62" s="13" t="s">
        <v>588</v>
      </c>
      <c r="AR62" s="11" t="s">
        <v>588</v>
      </c>
      <c r="AS62" s="13" t="s">
        <v>588</v>
      </c>
      <c r="AT62" s="11" t="s">
        <v>588</v>
      </c>
      <c r="AU62" s="13" t="s">
        <v>588</v>
      </c>
      <c r="AV62" s="11" t="s">
        <v>588</v>
      </c>
      <c r="AW62" s="13" t="s">
        <v>588</v>
      </c>
      <c r="AX62" s="11" t="s">
        <v>588</v>
      </c>
      <c r="AY62" s="13" t="s">
        <v>588</v>
      </c>
      <c r="AZ62" s="11" t="s">
        <v>588</v>
      </c>
      <c r="BA62" s="13" t="s">
        <v>588</v>
      </c>
      <c r="BB62" s="11" t="s">
        <v>588</v>
      </c>
      <c r="BC62" s="13" t="s">
        <v>588</v>
      </c>
      <c r="BD62" s="11" t="s">
        <v>588</v>
      </c>
      <c r="BE62" s="13" t="s">
        <v>588</v>
      </c>
      <c r="BF62" s="11" t="s">
        <v>588</v>
      </c>
      <c r="BG62" s="13" t="s">
        <v>588</v>
      </c>
      <c r="BH62" s="13" t="s">
        <v>588</v>
      </c>
      <c r="BI62" s="13" t="s">
        <v>588</v>
      </c>
      <c r="BJ62" s="13" t="s">
        <v>588</v>
      </c>
      <c r="BK62" s="13" t="s">
        <v>588</v>
      </c>
      <c r="BL62" s="13" t="s">
        <v>588</v>
      </c>
      <c r="BM62" s="13" t="s">
        <v>588</v>
      </c>
      <c r="BN62" s="13" t="s">
        <v>588</v>
      </c>
      <c r="BO62" s="13" t="s">
        <v>588</v>
      </c>
      <c r="BP62" s="13" t="s">
        <v>588</v>
      </c>
      <c r="BQ62" s="13" t="s">
        <v>588</v>
      </c>
      <c r="BR62" s="13" t="s">
        <v>588</v>
      </c>
      <c r="BS62" s="11" t="s">
        <v>41</v>
      </c>
      <c r="BT62" s="11" t="s">
        <v>42</v>
      </c>
      <c r="BU62" s="11" t="s">
        <v>42</v>
      </c>
      <c r="BV62" s="13" t="s">
        <v>588</v>
      </c>
      <c r="BW62" s="13" t="s">
        <v>588</v>
      </c>
      <c r="BX62" s="13" t="s">
        <v>588</v>
      </c>
      <c r="BY62" s="13" t="s">
        <v>588</v>
      </c>
      <c r="BZ62" s="13" t="s">
        <v>588</v>
      </c>
    </row>
    <row r="63" spans="1:78" x14ac:dyDescent="0.25">
      <c r="A63" s="11">
        <v>201516</v>
      </c>
      <c r="B63" s="11" t="s">
        <v>79</v>
      </c>
      <c r="C63" s="11" t="s">
        <v>79</v>
      </c>
      <c r="D63" s="11" t="s">
        <v>40</v>
      </c>
      <c r="E63" s="11" t="s">
        <v>16</v>
      </c>
      <c r="F63" s="11">
        <v>1</v>
      </c>
      <c r="G63" s="11" t="str">
        <f t="shared" si="9"/>
        <v>201516_Wilsons Rd Eastward 2nd Drain_1</v>
      </c>
      <c r="H63" s="11" t="s">
        <v>2111</v>
      </c>
      <c r="I63" s="13">
        <v>42368</v>
      </c>
      <c r="J63" s="11">
        <f t="shared" si="10"/>
        <v>30</v>
      </c>
      <c r="K63" s="11">
        <f t="shared" si="11"/>
        <v>12</v>
      </c>
      <c r="L63" s="11">
        <f t="shared" si="12"/>
        <v>2015</v>
      </c>
      <c r="M63" s="11" t="str">
        <f t="shared" si="13"/>
        <v>30122015</v>
      </c>
      <c r="N63" s="11" t="s">
        <v>7</v>
      </c>
      <c r="O63" s="11" t="s">
        <v>10</v>
      </c>
      <c r="P63" s="11">
        <v>-38.672060000000002</v>
      </c>
      <c r="Q63" s="11">
        <v>145.59827999999999</v>
      </c>
      <c r="R63" s="11" t="s">
        <v>588</v>
      </c>
      <c r="S63" s="11" t="s">
        <v>588</v>
      </c>
      <c r="T63" s="11">
        <v>2</v>
      </c>
      <c r="U63" s="11">
        <v>2</v>
      </c>
      <c r="V63" s="11" t="s">
        <v>588</v>
      </c>
      <c r="W63" s="11" t="s">
        <v>588</v>
      </c>
      <c r="X63" s="11">
        <v>3</v>
      </c>
      <c r="Y63" s="11">
        <v>3</v>
      </c>
      <c r="Z63" s="11" t="s">
        <v>8</v>
      </c>
      <c r="AA63" s="13">
        <v>42387</v>
      </c>
      <c r="AB63" s="11">
        <f t="shared" si="14"/>
        <v>18</v>
      </c>
      <c r="AC63" s="11">
        <f t="shared" si="15"/>
        <v>1</v>
      </c>
      <c r="AD63" s="11">
        <f t="shared" si="16"/>
        <v>2016</v>
      </c>
      <c r="AE63" s="13" t="str">
        <f t="shared" si="17"/>
        <v>18012016</v>
      </c>
      <c r="AF63" s="11" t="s">
        <v>12</v>
      </c>
      <c r="AG63" s="11" t="s">
        <v>588</v>
      </c>
      <c r="AH63" s="11" t="s">
        <v>588</v>
      </c>
      <c r="AI63" s="11" t="s">
        <v>588</v>
      </c>
      <c r="AJ63" s="11" t="s">
        <v>588</v>
      </c>
      <c r="AK63" s="13" t="s">
        <v>588</v>
      </c>
      <c r="AL63" s="11" t="s">
        <v>588</v>
      </c>
      <c r="AM63" s="13" t="s">
        <v>588</v>
      </c>
      <c r="AN63" s="11" t="s">
        <v>588</v>
      </c>
      <c r="AO63" s="13" t="s">
        <v>588</v>
      </c>
      <c r="AP63" s="13">
        <v>42399</v>
      </c>
      <c r="AQ63" s="13" t="s">
        <v>12</v>
      </c>
      <c r="AR63" s="11" t="s">
        <v>194</v>
      </c>
      <c r="AS63" s="11">
        <v>2</v>
      </c>
      <c r="AT63" s="11">
        <v>2</v>
      </c>
      <c r="AU63" s="13" t="s">
        <v>588</v>
      </c>
      <c r="AV63" s="13" t="s">
        <v>588</v>
      </c>
      <c r="AW63" s="13" t="s">
        <v>588</v>
      </c>
      <c r="AX63" s="13" t="s">
        <v>588</v>
      </c>
      <c r="AY63" s="13" t="s">
        <v>588</v>
      </c>
      <c r="AZ63" s="13" t="s">
        <v>588</v>
      </c>
      <c r="BA63" s="13" t="s">
        <v>588</v>
      </c>
      <c r="BB63" s="13" t="s">
        <v>588</v>
      </c>
      <c r="BC63" s="13" t="s">
        <v>588</v>
      </c>
      <c r="BD63" s="13" t="s">
        <v>588</v>
      </c>
      <c r="BE63" s="13" t="s">
        <v>588</v>
      </c>
      <c r="BF63" s="13" t="s">
        <v>588</v>
      </c>
      <c r="BG63" s="13" t="s">
        <v>588</v>
      </c>
      <c r="BH63" s="13" t="s">
        <v>588</v>
      </c>
      <c r="BI63" s="13" t="s">
        <v>588</v>
      </c>
      <c r="BJ63" s="13" t="s">
        <v>588</v>
      </c>
      <c r="BK63" s="13" t="s">
        <v>588</v>
      </c>
      <c r="BL63" s="13" t="s">
        <v>588</v>
      </c>
      <c r="BM63" s="11">
        <v>5</v>
      </c>
      <c r="BN63" s="11">
        <v>5</v>
      </c>
      <c r="BO63" s="13" t="s">
        <v>8</v>
      </c>
      <c r="BP63" s="11">
        <v>2</v>
      </c>
      <c r="BQ63" s="13">
        <v>42422</v>
      </c>
      <c r="BR63" s="13" t="s">
        <v>21</v>
      </c>
      <c r="BS63" s="11" t="s">
        <v>8</v>
      </c>
      <c r="BT63" s="11" t="s">
        <v>120</v>
      </c>
      <c r="BU63" s="11" t="s">
        <v>120</v>
      </c>
      <c r="BV63" s="13" t="s">
        <v>8</v>
      </c>
      <c r="BW63" s="11" t="s">
        <v>120</v>
      </c>
      <c r="BX63" s="11" t="s">
        <v>120</v>
      </c>
      <c r="BY63" s="13" t="s">
        <v>588</v>
      </c>
      <c r="BZ63" s="13" t="s">
        <v>588</v>
      </c>
    </row>
    <row r="64" spans="1:78" x14ac:dyDescent="0.25">
      <c r="A64" s="11">
        <v>201516</v>
      </c>
      <c r="B64" s="11" t="s">
        <v>54</v>
      </c>
      <c r="C64" s="11" t="s">
        <v>54</v>
      </c>
      <c r="D64" s="11" t="s">
        <v>91</v>
      </c>
      <c r="E64" s="11" t="s">
        <v>16</v>
      </c>
      <c r="F64" s="11">
        <v>1</v>
      </c>
      <c r="G64" s="11" t="str">
        <f t="shared" si="9"/>
        <v>201516_Wilsons Rd Eastward 3rd drain_1</v>
      </c>
      <c r="H64" s="11" t="s">
        <v>2112</v>
      </c>
      <c r="I64" s="13">
        <v>42368</v>
      </c>
      <c r="J64" s="11">
        <f t="shared" si="10"/>
        <v>30</v>
      </c>
      <c r="K64" s="11">
        <f t="shared" si="11"/>
        <v>12</v>
      </c>
      <c r="L64" s="11">
        <f t="shared" si="12"/>
        <v>2015</v>
      </c>
      <c r="M64" s="11" t="str">
        <f t="shared" si="13"/>
        <v>30122015</v>
      </c>
      <c r="N64" s="11" t="s">
        <v>7</v>
      </c>
      <c r="O64" s="11" t="s">
        <v>10</v>
      </c>
      <c r="P64" s="11">
        <v>-38.672440000000002</v>
      </c>
      <c r="Q64" s="11">
        <v>145.59873999999999</v>
      </c>
      <c r="R64" s="11" t="s">
        <v>588</v>
      </c>
      <c r="S64" s="11" t="s">
        <v>588</v>
      </c>
      <c r="T64" s="11">
        <v>3</v>
      </c>
      <c r="U64" s="11">
        <v>3</v>
      </c>
      <c r="V64" s="11" t="s">
        <v>588</v>
      </c>
      <c r="W64" s="11" t="s">
        <v>588</v>
      </c>
      <c r="X64" s="11">
        <v>3</v>
      </c>
      <c r="Y64" s="11">
        <v>3</v>
      </c>
      <c r="Z64" s="11" t="s">
        <v>8</v>
      </c>
      <c r="AA64" s="13">
        <v>42387</v>
      </c>
      <c r="AB64" s="11">
        <f t="shared" si="14"/>
        <v>18</v>
      </c>
      <c r="AC64" s="11">
        <f t="shared" si="15"/>
        <v>1</v>
      </c>
      <c r="AD64" s="11">
        <f t="shared" si="16"/>
        <v>2016</v>
      </c>
      <c r="AE64" s="13" t="str">
        <f t="shared" si="17"/>
        <v>18012016</v>
      </c>
      <c r="AF64" s="11" t="s">
        <v>12</v>
      </c>
      <c r="AG64" s="11" t="s">
        <v>588</v>
      </c>
      <c r="AH64" s="11" t="s">
        <v>588</v>
      </c>
      <c r="AI64" s="11" t="s">
        <v>588</v>
      </c>
      <c r="AJ64" s="11" t="s">
        <v>588</v>
      </c>
      <c r="AK64" s="13" t="s">
        <v>588</v>
      </c>
      <c r="AL64" s="11" t="s">
        <v>588</v>
      </c>
      <c r="AM64" s="13" t="s">
        <v>588</v>
      </c>
      <c r="AN64" s="11" t="s">
        <v>588</v>
      </c>
      <c r="AO64" s="13" t="s">
        <v>588</v>
      </c>
      <c r="AP64" s="13">
        <v>42399</v>
      </c>
      <c r="AQ64" s="13" t="s">
        <v>12</v>
      </c>
      <c r="AR64" s="11" t="s">
        <v>195</v>
      </c>
      <c r="AS64" s="11">
        <v>3</v>
      </c>
      <c r="AT64" s="11">
        <v>3</v>
      </c>
      <c r="AU64" s="13" t="s">
        <v>588</v>
      </c>
      <c r="AV64" s="11" t="s">
        <v>588</v>
      </c>
      <c r="AW64" s="13" t="s">
        <v>588</v>
      </c>
      <c r="AX64" s="11" t="s">
        <v>588</v>
      </c>
      <c r="AY64" s="13" t="s">
        <v>588</v>
      </c>
      <c r="AZ64" s="11" t="s">
        <v>588</v>
      </c>
      <c r="BA64" s="13" t="s">
        <v>588</v>
      </c>
      <c r="BB64" s="11" t="s">
        <v>588</v>
      </c>
      <c r="BC64" s="13" t="s">
        <v>588</v>
      </c>
      <c r="BD64" s="11" t="s">
        <v>588</v>
      </c>
      <c r="BE64" s="13" t="s">
        <v>588</v>
      </c>
      <c r="BF64" s="11" t="s">
        <v>588</v>
      </c>
      <c r="BG64" s="13" t="s">
        <v>588</v>
      </c>
      <c r="BH64" s="13" t="s">
        <v>588</v>
      </c>
      <c r="BI64" s="13" t="s">
        <v>588</v>
      </c>
      <c r="BJ64" s="13" t="s">
        <v>588</v>
      </c>
      <c r="BK64" s="13" t="s">
        <v>588</v>
      </c>
      <c r="BL64" s="13" t="s">
        <v>588</v>
      </c>
      <c r="BM64" s="11">
        <v>6</v>
      </c>
      <c r="BN64" s="11">
        <v>6</v>
      </c>
      <c r="BO64" s="13" t="s">
        <v>8</v>
      </c>
      <c r="BP64" s="11">
        <v>3</v>
      </c>
      <c r="BQ64" s="13">
        <v>42426</v>
      </c>
      <c r="BR64" s="13" t="s">
        <v>21</v>
      </c>
      <c r="BS64" s="11" t="s">
        <v>8</v>
      </c>
      <c r="BT64" s="11" t="s">
        <v>120</v>
      </c>
      <c r="BU64" s="11" t="s">
        <v>120</v>
      </c>
      <c r="BV64" s="13" t="s">
        <v>8</v>
      </c>
      <c r="BW64" s="11" t="s">
        <v>120</v>
      </c>
      <c r="BX64" s="11" t="s">
        <v>120</v>
      </c>
      <c r="BY64" s="13" t="s">
        <v>588</v>
      </c>
      <c r="BZ64" s="13" t="s">
        <v>588</v>
      </c>
    </row>
    <row r="65" spans="1:78" x14ac:dyDescent="0.25">
      <c r="A65" s="11">
        <v>201516</v>
      </c>
      <c r="B65" s="11" t="s">
        <v>138</v>
      </c>
      <c r="C65" t="s">
        <v>56</v>
      </c>
      <c r="D65" s="11" t="s">
        <v>5</v>
      </c>
      <c r="E65" s="11" t="s">
        <v>2007</v>
      </c>
      <c r="F65" s="11">
        <v>1</v>
      </c>
      <c r="G65" s="11" t="str">
        <f t="shared" si="9"/>
        <v>201516_Wreck Beach_1</v>
      </c>
      <c r="H65" s="11" t="s">
        <v>1936</v>
      </c>
      <c r="I65" s="13">
        <v>42263</v>
      </c>
      <c r="J65" s="11">
        <f t="shared" si="10"/>
        <v>16</v>
      </c>
      <c r="K65" s="11">
        <f t="shared" si="11"/>
        <v>9</v>
      </c>
      <c r="L65" s="11">
        <f t="shared" si="12"/>
        <v>2015</v>
      </c>
      <c r="M65" s="11" t="str">
        <f t="shared" si="13"/>
        <v>16092015</v>
      </c>
      <c r="N65" s="11" t="s">
        <v>28</v>
      </c>
      <c r="O65" s="11" t="s">
        <v>36</v>
      </c>
      <c r="P65" s="11">
        <v>-38.659329999999997</v>
      </c>
      <c r="Q65" s="11">
        <v>145.57729</v>
      </c>
      <c r="R65" s="11" t="s">
        <v>588</v>
      </c>
      <c r="S65" s="11" t="s">
        <v>588</v>
      </c>
      <c r="T65" s="11">
        <v>3</v>
      </c>
      <c r="U65" s="11">
        <v>3</v>
      </c>
      <c r="V65" s="13">
        <v>42265</v>
      </c>
      <c r="W65" s="11" t="s">
        <v>223</v>
      </c>
      <c r="X65" s="11">
        <v>3</v>
      </c>
      <c r="Y65" s="11">
        <v>3</v>
      </c>
      <c r="Z65" s="11" t="s">
        <v>41</v>
      </c>
      <c r="AA65" s="13">
        <v>42265</v>
      </c>
      <c r="AB65" s="11">
        <f t="shared" si="14"/>
        <v>18</v>
      </c>
      <c r="AC65" s="11">
        <f t="shared" si="15"/>
        <v>9</v>
      </c>
      <c r="AD65" s="11">
        <f t="shared" si="16"/>
        <v>2015</v>
      </c>
      <c r="AE65" s="13" t="str">
        <f t="shared" si="17"/>
        <v>18092015</v>
      </c>
      <c r="AF65" s="11" t="s">
        <v>28</v>
      </c>
      <c r="AG65" s="13">
        <v>42272</v>
      </c>
      <c r="AH65" s="11">
        <v>25</v>
      </c>
      <c r="AI65" s="11">
        <v>9</v>
      </c>
      <c r="AJ65" s="11">
        <v>2015</v>
      </c>
      <c r="AK65" s="13" t="s">
        <v>2037</v>
      </c>
      <c r="AL65" s="11" t="s">
        <v>28</v>
      </c>
      <c r="AM65" s="13" t="s">
        <v>41</v>
      </c>
      <c r="AN65" s="11" t="s">
        <v>8</v>
      </c>
      <c r="AO65" s="11" t="s">
        <v>48</v>
      </c>
      <c r="AP65" s="13" t="s">
        <v>588</v>
      </c>
      <c r="AQ65" s="13" t="s">
        <v>588</v>
      </c>
      <c r="AR65" s="13" t="s">
        <v>588</v>
      </c>
      <c r="AS65" s="13" t="s">
        <v>588</v>
      </c>
      <c r="AT65" s="13" t="s">
        <v>588</v>
      </c>
      <c r="AU65" s="13" t="s">
        <v>588</v>
      </c>
      <c r="AV65" s="13" t="s">
        <v>588</v>
      </c>
      <c r="AW65" s="13" t="s">
        <v>588</v>
      </c>
      <c r="AX65" s="13" t="s">
        <v>588</v>
      </c>
      <c r="AY65" s="13" t="s">
        <v>588</v>
      </c>
      <c r="AZ65" s="13" t="s">
        <v>588</v>
      </c>
      <c r="BA65" s="13" t="s">
        <v>588</v>
      </c>
      <c r="BB65" s="13" t="s">
        <v>588</v>
      </c>
      <c r="BC65" s="13" t="s">
        <v>588</v>
      </c>
      <c r="BD65" s="13" t="s">
        <v>588</v>
      </c>
      <c r="BE65" s="13" t="s">
        <v>588</v>
      </c>
      <c r="BF65" s="13" t="s">
        <v>588</v>
      </c>
      <c r="BG65" s="13" t="s">
        <v>588</v>
      </c>
      <c r="BH65" s="13" t="s">
        <v>588</v>
      </c>
      <c r="BI65" s="13" t="s">
        <v>588</v>
      </c>
      <c r="BJ65" s="13" t="s">
        <v>588</v>
      </c>
      <c r="BK65" s="13" t="s">
        <v>588</v>
      </c>
      <c r="BL65" s="13" t="s">
        <v>588</v>
      </c>
      <c r="BM65" s="13" t="s">
        <v>588</v>
      </c>
      <c r="BN65" s="13" t="s">
        <v>588</v>
      </c>
      <c r="BO65" s="13" t="s">
        <v>588</v>
      </c>
      <c r="BP65" s="13" t="s">
        <v>588</v>
      </c>
      <c r="BQ65" s="13" t="s">
        <v>588</v>
      </c>
      <c r="BR65" s="13" t="s">
        <v>588</v>
      </c>
      <c r="BS65" s="11" t="s">
        <v>41</v>
      </c>
      <c r="BT65" s="11" t="s">
        <v>42</v>
      </c>
      <c r="BU65" s="11" t="s">
        <v>42</v>
      </c>
      <c r="BV65" s="13" t="s">
        <v>588</v>
      </c>
      <c r="BW65" s="13" t="s">
        <v>588</v>
      </c>
      <c r="BX65" s="13" t="s">
        <v>588</v>
      </c>
      <c r="BY65" s="13" t="s">
        <v>588</v>
      </c>
      <c r="BZ65" s="13" t="s">
        <v>588</v>
      </c>
    </row>
    <row r="66" spans="1:78" x14ac:dyDescent="0.25">
      <c r="A66" s="11">
        <v>201516</v>
      </c>
      <c r="B66" s="11" t="s">
        <v>138</v>
      </c>
      <c r="C66" t="s">
        <v>56</v>
      </c>
      <c r="D66" s="11" t="s">
        <v>5</v>
      </c>
      <c r="E66" s="11" t="s">
        <v>2007</v>
      </c>
      <c r="F66" s="11">
        <v>2</v>
      </c>
      <c r="G66" s="11" t="str">
        <f t="shared" ref="G66" si="18">CONCATENATE(A66,"_",B66,"_",F66)</f>
        <v>201516_Wreck Beach_2</v>
      </c>
      <c r="H66" s="11" t="s">
        <v>2113</v>
      </c>
      <c r="I66" s="13">
        <v>42353</v>
      </c>
      <c r="J66" s="11">
        <f t="shared" si="10"/>
        <v>15</v>
      </c>
      <c r="K66" s="11">
        <f t="shared" si="11"/>
        <v>12</v>
      </c>
      <c r="L66" s="11">
        <f t="shared" si="12"/>
        <v>2015</v>
      </c>
      <c r="M66" s="11" t="str">
        <f t="shared" si="13"/>
        <v>15122015</v>
      </c>
      <c r="N66" s="11" t="s">
        <v>7</v>
      </c>
      <c r="O66" s="11" t="s">
        <v>36</v>
      </c>
      <c r="P66" s="11" t="s">
        <v>588</v>
      </c>
      <c r="Q66" s="11" t="s">
        <v>588</v>
      </c>
      <c r="R66" s="11" t="s">
        <v>588</v>
      </c>
      <c r="S66" s="11" t="s">
        <v>588</v>
      </c>
      <c r="T66" s="11">
        <v>1</v>
      </c>
      <c r="U66" s="11">
        <v>3</v>
      </c>
      <c r="V66" s="11" t="s">
        <v>588</v>
      </c>
      <c r="W66" s="11" t="s">
        <v>588</v>
      </c>
      <c r="X66" s="11">
        <v>2</v>
      </c>
      <c r="Y66" s="11">
        <v>2</v>
      </c>
      <c r="Z66" s="11" t="s">
        <v>41</v>
      </c>
      <c r="AA66" s="13">
        <v>42353</v>
      </c>
      <c r="AB66" s="11">
        <f t="shared" si="14"/>
        <v>15</v>
      </c>
      <c r="AC66" s="11">
        <f t="shared" si="15"/>
        <v>12</v>
      </c>
      <c r="AD66" s="11">
        <f t="shared" si="16"/>
        <v>2015</v>
      </c>
      <c r="AE66" s="13" t="str">
        <f t="shared" si="17"/>
        <v>15122015</v>
      </c>
      <c r="AF66" s="11" t="s">
        <v>7</v>
      </c>
      <c r="AG66" s="13">
        <v>42358</v>
      </c>
      <c r="AH66" s="11">
        <v>20</v>
      </c>
      <c r="AI66" s="11">
        <v>12</v>
      </c>
      <c r="AJ66" s="11">
        <v>2015</v>
      </c>
      <c r="AK66" s="13" t="s">
        <v>2038</v>
      </c>
      <c r="AL66" s="11" t="s">
        <v>7</v>
      </c>
      <c r="AM66" s="13" t="s">
        <v>41</v>
      </c>
      <c r="AN66" s="11" t="s">
        <v>41</v>
      </c>
      <c r="AO66" s="13" t="s">
        <v>20</v>
      </c>
      <c r="AP66" s="13" t="s">
        <v>588</v>
      </c>
      <c r="AQ66" s="13" t="s">
        <v>588</v>
      </c>
      <c r="AR66" s="13" t="s">
        <v>588</v>
      </c>
      <c r="AS66" s="13" t="s">
        <v>588</v>
      </c>
      <c r="AT66" s="13" t="s">
        <v>588</v>
      </c>
      <c r="AU66" s="13" t="s">
        <v>588</v>
      </c>
      <c r="AV66" s="13" t="s">
        <v>588</v>
      </c>
      <c r="AW66" s="13" t="s">
        <v>588</v>
      </c>
      <c r="AX66" s="13" t="s">
        <v>588</v>
      </c>
      <c r="AY66" s="13" t="s">
        <v>588</v>
      </c>
      <c r="AZ66" s="13" t="s">
        <v>588</v>
      </c>
      <c r="BA66" s="13" t="s">
        <v>588</v>
      </c>
      <c r="BB66" s="13" t="s">
        <v>588</v>
      </c>
      <c r="BC66" s="13" t="s">
        <v>588</v>
      </c>
      <c r="BD66" s="13" t="s">
        <v>588</v>
      </c>
      <c r="BE66" s="13" t="s">
        <v>588</v>
      </c>
      <c r="BF66" s="13" t="s">
        <v>588</v>
      </c>
      <c r="BG66" s="13" t="s">
        <v>588</v>
      </c>
      <c r="BH66" s="13" t="s">
        <v>588</v>
      </c>
      <c r="BI66" s="13" t="s">
        <v>588</v>
      </c>
      <c r="BJ66" s="13" t="s">
        <v>588</v>
      </c>
      <c r="BK66" s="13" t="s">
        <v>588</v>
      </c>
      <c r="BL66" s="13" t="s">
        <v>588</v>
      </c>
      <c r="BM66" s="13" t="s">
        <v>588</v>
      </c>
      <c r="BN66" s="13" t="s">
        <v>588</v>
      </c>
      <c r="BO66" s="13" t="s">
        <v>588</v>
      </c>
      <c r="BP66" s="13" t="s">
        <v>588</v>
      </c>
      <c r="BQ66" s="13" t="s">
        <v>588</v>
      </c>
      <c r="BR66" s="13" t="s">
        <v>588</v>
      </c>
      <c r="BS66" s="11" t="s">
        <v>8</v>
      </c>
      <c r="BT66" s="11" t="s">
        <v>123</v>
      </c>
      <c r="BU66" s="11" t="s">
        <v>123</v>
      </c>
      <c r="BV66" s="13" t="s">
        <v>588</v>
      </c>
      <c r="BW66" s="13" t="s">
        <v>588</v>
      </c>
      <c r="BX66" s="13" t="s">
        <v>588</v>
      </c>
      <c r="BY66" s="13" t="s">
        <v>588</v>
      </c>
      <c r="BZ66" s="13" t="s">
        <v>588</v>
      </c>
    </row>
    <row r="67" spans="1:78" x14ac:dyDescent="0.25">
      <c r="AE67" s="13"/>
      <c r="AK67" s="13"/>
    </row>
    <row r="68" spans="1:78" x14ac:dyDescent="0.25">
      <c r="AE68" s="13"/>
      <c r="AK68" s="13"/>
    </row>
  </sheetData>
  <autoFilter ref="A1:BZ66" xr:uid="{9A0902B9-760F-454D-B606-63FC647D4F49}">
    <sortState xmlns:xlrd2="http://schemas.microsoft.com/office/spreadsheetml/2017/richdata2" ref="A2:BZ66">
      <sortCondition ref="C1:C66"/>
    </sortState>
  </autoFilter>
  <phoneticPr fontId="2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96E2-00AF-4E25-96DE-C9740026E089}">
  <dimension ref="A1:BZ68"/>
  <sheetViews>
    <sheetView zoomScale="80" zoomScaleNormal="80" workbookViewId="0">
      <pane xSplit="8" ySplit="1" topLeftCell="BQ2" activePane="bottomRight" state="frozen"/>
      <selection pane="topRight" activeCell="I1" sqref="I1"/>
      <selection pane="bottomLeft" activeCell="A2" sqref="A2"/>
      <selection pane="bottomRight" activeCell="C11" sqref="C11"/>
    </sheetView>
  </sheetViews>
  <sheetFormatPr defaultRowHeight="15" x14ac:dyDescent="0.25"/>
  <cols>
    <col min="1" max="1" width="7.7109375" bestFit="1" customWidth="1"/>
    <col min="2" max="2" width="18" customWidth="1"/>
    <col min="3" max="3" width="53.5703125" style="11" bestFit="1" customWidth="1"/>
    <col min="4" max="5" width="8.5703125" customWidth="1"/>
    <col min="6" max="6" width="13.28515625" customWidth="1"/>
    <col min="7" max="7" width="15.140625" customWidth="1"/>
    <col min="8" max="8" width="63" style="11" bestFit="1" customWidth="1"/>
    <col min="9" max="9" width="15.7109375" customWidth="1"/>
    <col min="10" max="10" width="7.42578125" style="11" bestFit="1" customWidth="1"/>
    <col min="11" max="11" width="9.5703125" style="11" bestFit="1" customWidth="1"/>
    <col min="12" max="12" width="8" style="11" bestFit="1" customWidth="1"/>
    <col min="13" max="13" width="23.5703125" style="11" bestFit="1" customWidth="1"/>
    <col min="14" max="14" width="12.28515625" customWidth="1"/>
    <col min="15" max="15" width="12.140625" bestFit="1" customWidth="1"/>
    <col min="16" max="16" width="12.28515625" customWidth="1"/>
    <col min="17" max="17" width="12.85546875" customWidth="1"/>
    <col min="18" max="19" width="10.5703125" customWidth="1"/>
    <col min="20" max="21" width="10.85546875" customWidth="1"/>
    <col min="22" max="23" width="20" customWidth="1"/>
    <col min="24" max="24" width="11.7109375" customWidth="1"/>
    <col min="27" max="27" width="23.28515625" bestFit="1" customWidth="1"/>
    <col min="28" max="28" width="8.42578125" style="11" bestFit="1" customWidth="1"/>
    <col min="29" max="29" width="9.5703125" style="11" bestFit="1" customWidth="1"/>
    <col min="30" max="30" width="8.42578125" style="11" bestFit="1" customWidth="1"/>
    <col min="31" max="31" width="27" style="11" bestFit="1" customWidth="1"/>
    <col min="32" max="32" width="13.85546875" customWidth="1"/>
    <col min="33" max="33" width="24.42578125" bestFit="1" customWidth="1"/>
    <col min="34" max="34" width="8.42578125" style="11" bestFit="1" customWidth="1"/>
    <col min="35" max="35" width="9.5703125" style="11" bestFit="1" customWidth="1"/>
    <col min="36" max="36" width="8.42578125" style="11" bestFit="1" customWidth="1"/>
    <col min="37" max="37" width="25.5703125" style="11" bestFit="1" customWidth="1"/>
    <col min="38" max="38" width="10.7109375" bestFit="1" customWidth="1"/>
    <col min="39" max="39" width="13.28515625" customWidth="1"/>
    <col min="40" max="40" width="13.7109375" customWidth="1"/>
    <col min="41" max="41" width="17.7109375" customWidth="1"/>
    <col min="42" max="42" width="17.28515625" customWidth="1"/>
    <col min="45" max="46" width="10.5703125" bestFit="1" customWidth="1"/>
    <col min="47" max="47" width="25.42578125" bestFit="1" customWidth="1"/>
    <col min="48" max="48" width="17" bestFit="1" customWidth="1"/>
    <col min="49" max="49" width="18.85546875" bestFit="1" customWidth="1"/>
    <col min="50" max="50" width="24.85546875" bestFit="1" customWidth="1"/>
    <col min="51" max="51" width="20.85546875" bestFit="1" customWidth="1"/>
    <col min="52" max="52" width="23.7109375" bestFit="1" customWidth="1"/>
    <col min="53" max="53" width="23.7109375" customWidth="1"/>
    <col min="54" max="54" width="17" bestFit="1" customWidth="1"/>
    <col min="55" max="55" width="18.85546875" bestFit="1" customWidth="1"/>
    <col min="56" max="56" width="24.42578125" customWidth="1"/>
    <col min="57" max="57" width="20.85546875" bestFit="1" customWidth="1"/>
    <col min="58" max="60" width="17.85546875" customWidth="1"/>
    <col min="61" max="61" width="18.85546875" bestFit="1" customWidth="1"/>
    <col min="62" max="62" width="24.85546875" bestFit="1" customWidth="1"/>
    <col min="63" max="63" width="20.85546875" bestFit="1" customWidth="1"/>
    <col min="64" max="64" width="25.5703125" bestFit="1" customWidth="1"/>
    <col min="65" max="65" width="17.7109375" bestFit="1" customWidth="1"/>
    <col min="66" max="66" width="15" bestFit="1" customWidth="1"/>
    <col min="67" max="67" width="9.28515625" bestFit="1" customWidth="1"/>
    <col min="68" max="68" width="10.5703125" bestFit="1" customWidth="1"/>
    <col min="69" max="69" width="12.7109375" bestFit="1" customWidth="1"/>
    <col min="70" max="70" width="14.5703125" bestFit="1" customWidth="1"/>
    <col min="71" max="71" width="15.28515625" bestFit="1" customWidth="1"/>
    <col min="72" max="72" width="4.85546875" customWidth="1"/>
    <col min="73" max="73" width="31.7109375" bestFit="1" customWidth="1"/>
    <col min="74" max="74" width="14.85546875" bestFit="1" customWidth="1"/>
    <col min="75" max="75" width="5.28515625" customWidth="1"/>
    <col min="76" max="76" width="40" bestFit="1" customWidth="1"/>
    <col min="77" max="77" width="6.42578125" bestFit="1" customWidth="1"/>
    <col min="78" max="78" width="8" bestFit="1" customWidth="1"/>
    <col min="79" max="79" width="18.5703125" customWidth="1"/>
  </cols>
  <sheetData>
    <row r="1" spans="1:78" s="3" customFormat="1" x14ac:dyDescent="0.25">
      <c r="A1" s="2" t="s">
        <v>0</v>
      </c>
      <c r="B1" s="2" t="s">
        <v>139</v>
      </c>
      <c r="C1" s="9" t="s">
        <v>231</v>
      </c>
      <c r="D1" s="2" t="s">
        <v>1</v>
      </c>
      <c r="E1" s="2" t="s">
        <v>2</v>
      </c>
      <c r="F1" s="2" t="s">
        <v>140</v>
      </c>
      <c r="G1" s="2" t="s">
        <v>141</v>
      </c>
      <c r="H1" s="9" t="s">
        <v>593</v>
      </c>
      <c r="I1" s="2" t="s">
        <v>142</v>
      </c>
      <c r="J1" s="12" t="s">
        <v>589</v>
      </c>
      <c r="K1" s="12" t="s">
        <v>590</v>
      </c>
      <c r="L1" s="12" t="s">
        <v>591</v>
      </c>
      <c r="M1" s="9" t="s">
        <v>592</v>
      </c>
      <c r="N1" s="2" t="s">
        <v>143</v>
      </c>
      <c r="O1" s="2" t="s">
        <v>3</v>
      </c>
      <c r="P1" s="2" t="s">
        <v>212</v>
      </c>
      <c r="Q1" s="2" t="s">
        <v>213</v>
      </c>
      <c r="R1" s="2" t="s">
        <v>144</v>
      </c>
      <c r="S1" s="2" t="s">
        <v>145</v>
      </c>
      <c r="T1" s="2" t="s">
        <v>146</v>
      </c>
      <c r="U1" s="2" t="s">
        <v>147</v>
      </c>
      <c r="V1" s="2" t="s">
        <v>148</v>
      </c>
      <c r="W1" s="2" t="s">
        <v>149</v>
      </c>
      <c r="X1" s="2" t="s">
        <v>150</v>
      </c>
      <c r="Y1" s="2" t="s">
        <v>151</v>
      </c>
      <c r="Z1" s="2" t="s">
        <v>152</v>
      </c>
      <c r="AA1" s="2" t="s">
        <v>153</v>
      </c>
      <c r="AB1" s="12" t="s">
        <v>589</v>
      </c>
      <c r="AC1" s="12" t="s">
        <v>590</v>
      </c>
      <c r="AD1" s="12" t="s">
        <v>591</v>
      </c>
      <c r="AE1" s="9" t="s">
        <v>594</v>
      </c>
      <c r="AF1" s="2" t="s">
        <v>154</v>
      </c>
      <c r="AG1" s="2" t="s">
        <v>155</v>
      </c>
      <c r="AH1" s="12" t="s">
        <v>589</v>
      </c>
      <c r="AI1" s="12" t="s">
        <v>590</v>
      </c>
      <c r="AJ1" s="12" t="s">
        <v>591</v>
      </c>
      <c r="AK1" s="9" t="s">
        <v>595</v>
      </c>
      <c r="AL1" s="2" t="s">
        <v>156</v>
      </c>
      <c r="AM1" s="2" t="s">
        <v>157</v>
      </c>
      <c r="AN1" s="2" t="s">
        <v>158</v>
      </c>
      <c r="AO1" s="2" t="s">
        <v>159</v>
      </c>
      <c r="AP1" s="2" t="s">
        <v>160</v>
      </c>
      <c r="AQ1" s="2" t="s">
        <v>161</v>
      </c>
      <c r="AR1" s="2" t="s">
        <v>162</v>
      </c>
      <c r="AS1" s="2" t="s">
        <v>163</v>
      </c>
      <c r="AT1" s="2" t="s">
        <v>164</v>
      </c>
      <c r="AU1" s="6" t="s">
        <v>165</v>
      </c>
      <c r="AV1" s="2" t="s">
        <v>166</v>
      </c>
      <c r="AW1" s="2" t="s">
        <v>167</v>
      </c>
      <c r="AX1" s="2" t="s">
        <v>168</v>
      </c>
      <c r="AY1" s="2" t="s">
        <v>169</v>
      </c>
      <c r="AZ1" s="2" t="s">
        <v>170</v>
      </c>
      <c r="BA1" s="6" t="s">
        <v>171</v>
      </c>
      <c r="BB1" s="2" t="s">
        <v>172</v>
      </c>
      <c r="BC1" s="2" t="s">
        <v>173</v>
      </c>
      <c r="BD1" s="2" t="s">
        <v>174</v>
      </c>
      <c r="BE1" s="2" t="s">
        <v>175</v>
      </c>
      <c r="BF1" s="2" t="s">
        <v>176</v>
      </c>
      <c r="BG1" s="6" t="s">
        <v>177</v>
      </c>
      <c r="BH1" s="2" t="s">
        <v>178</v>
      </c>
      <c r="BI1" s="2" t="s">
        <v>179</v>
      </c>
      <c r="BJ1" s="2" t="s">
        <v>180</v>
      </c>
      <c r="BK1" s="2" t="s">
        <v>181</v>
      </c>
      <c r="BL1" s="2" t="s">
        <v>182</v>
      </c>
      <c r="BM1" s="2" t="s">
        <v>183</v>
      </c>
      <c r="BN1" s="2" t="s">
        <v>184</v>
      </c>
      <c r="BO1" s="2" t="s">
        <v>185</v>
      </c>
      <c r="BP1" s="2" t="s">
        <v>4</v>
      </c>
      <c r="BQ1" s="2" t="s">
        <v>186</v>
      </c>
      <c r="BR1" s="2" t="s">
        <v>187</v>
      </c>
      <c r="BS1" s="2" t="s">
        <v>188</v>
      </c>
      <c r="BT1" s="2" t="s">
        <v>189</v>
      </c>
      <c r="BU1" s="14" t="s">
        <v>596</v>
      </c>
      <c r="BV1" s="2" t="s">
        <v>190</v>
      </c>
      <c r="BW1" s="2" t="s">
        <v>191</v>
      </c>
      <c r="BX1" s="14" t="s">
        <v>597</v>
      </c>
      <c r="BY1" s="2" t="s">
        <v>192</v>
      </c>
      <c r="BZ1" s="2" t="s">
        <v>193</v>
      </c>
    </row>
    <row r="2" spans="1:78" x14ac:dyDescent="0.25">
      <c r="A2">
        <v>201415</v>
      </c>
      <c r="B2" t="s">
        <v>119</v>
      </c>
      <c r="C2" t="s">
        <v>56</v>
      </c>
      <c r="D2" t="s">
        <v>5</v>
      </c>
      <c r="E2" t="s">
        <v>1843</v>
      </c>
      <c r="F2">
        <v>1</v>
      </c>
      <c r="G2" t="s">
        <v>1861</v>
      </c>
      <c r="H2" s="11" t="s">
        <v>2041</v>
      </c>
      <c r="I2" s="8">
        <v>41976</v>
      </c>
      <c r="J2" s="11">
        <v>3</v>
      </c>
      <c r="K2" s="11">
        <v>12</v>
      </c>
      <c r="L2" s="11">
        <v>2014</v>
      </c>
      <c r="M2" s="11" t="s">
        <v>1937</v>
      </c>
      <c r="N2" t="s">
        <v>7</v>
      </c>
      <c r="O2" t="s">
        <v>10</v>
      </c>
      <c r="P2">
        <v>-38.658217999999998</v>
      </c>
      <c r="Q2">
        <v>145.57925399999999</v>
      </c>
      <c r="R2" t="s">
        <v>588</v>
      </c>
      <c r="S2" t="s">
        <v>588</v>
      </c>
      <c r="T2">
        <v>2</v>
      </c>
      <c r="U2">
        <v>2</v>
      </c>
      <c r="V2" t="s">
        <v>588</v>
      </c>
      <c r="W2" t="s">
        <v>588</v>
      </c>
      <c r="X2">
        <v>6</v>
      </c>
      <c r="Y2">
        <v>6</v>
      </c>
      <c r="Z2" t="s">
        <v>41</v>
      </c>
      <c r="AA2" s="1">
        <v>41992</v>
      </c>
      <c r="AB2" s="11">
        <v>19</v>
      </c>
      <c r="AC2" s="11">
        <v>12</v>
      </c>
      <c r="AD2" s="11">
        <v>2014</v>
      </c>
      <c r="AE2" s="13" t="s">
        <v>1927</v>
      </c>
      <c r="AF2" t="s">
        <v>7</v>
      </c>
      <c r="AG2" s="1">
        <v>41999</v>
      </c>
      <c r="AH2" s="11">
        <v>26</v>
      </c>
      <c r="AI2" s="11">
        <v>12</v>
      </c>
      <c r="AJ2" s="11">
        <v>2014</v>
      </c>
      <c r="AK2" s="13" t="s">
        <v>1908</v>
      </c>
      <c r="AL2" t="s">
        <v>7</v>
      </c>
      <c r="AM2" s="1" t="s">
        <v>41</v>
      </c>
      <c r="AN2" t="s">
        <v>8</v>
      </c>
      <c r="AO2" s="1" t="s">
        <v>11</v>
      </c>
      <c r="AP2" s="1" t="s">
        <v>588</v>
      </c>
      <c r="AQ2" s="1" t="s">
        <v>588</v>
      </c>
      <c r="AR2" s="1" t="s">
        <v>588</v>
      </c>
      <c r="AS2" s="1" t="s">
        <v>588</v>
      </c>
      <c r="AT2" s="1" t="s">
        <v>588</v>
      </c>
      <c r="AU2" s="1" t="s">
        <v>588</v>
      </c>
      <c r="AV2" s="1" t="s">
        <v>588</v>
      </c>
      <c r="AW2" s="1" t="s">
        <v>588</v>
      </c>
      <c r="AX2" s="1" t="s">
        <v>588</v>
      </c>
      <c r="AY2" s="1" t="s">
        <v>588</v>
      </c>
      <c r="AZ2" s="1" t="s">
        <v>588</v>
      </c>
      <c r="BA2" s="1" t="s">
        <v>588</v>
      </c>
      <c r="BB2" s="1" t="s">
        <v>588</v>
      </c>
      <c r="BC2" s="1" t="s">
        <v>588</v>
      </c>
      <c r="BD2" s="1" t="s">
        <v>588</v>
      </c>
      <c r="BE2" s="1" t="s">
        <v>588</v>
      </c>
      <c r="BF2" s="1" t="s">
        <v>588</v>
      </c>
      <c r="BG2" s="1" t="s">
        <v>588</v>
      </c>
      <c r="BH2" s="1" t="s">
        <v>588</v>
      </c>
      <c r="BI2" s="1" t="s">
        <v>588</v>
      </c>
      <c r="BJ2" s="1" t="s">
        <v>588</v>
      </c>
      <c r="BK2" s="1" t="s">
        <v>588</v>
      </c>
      <c r="BL2" s="1" t="s">
        <v>588</v>
      </c>
      <c r="BM2" s="1" t="s">
        <v>588</v>
      </c>
      <c r="BN2" s="1" t="s">
        <v>588</v>
      </c>
      <c r="BO2" s="1" t="s">
        <v>588</v>
      </c>
      <c r="BP2" s="1" t="s">
        <v>588</v>
      </c>
      <c r="BQ2" s="1" t="s">
        <v>588</v>
      </c>
      <c r="BR2" s="1" t="s">
        <v>588</v>
      </c>
      <c r="BS2" t="s">
        <v>8</v>
      </c>
      <c r="BT2" t="s">
        <v>120</v>
      </c>
      <c r="BU2" t="s">
        <v>120</v>
      </c>
      <c r="BV2" s="1" t="s">
        <v>588</v>
      </c>
      <c r="BW2" s="1" t="s">
        <v>588</v>
      </c>
      <c r="BX2" s="1" t="s">
        <v>588</v>
      </c>
      <c r="BY2" s="1" t="s">
        <v>588</v>
      </c>
      <c r="BZ2" s="1" t="s">
        <v>588</v>
      </c>
    </row>
    <row r="3" spans="1:78" x14ac:dyDescent="0.25">
      <c r="A3">
        <v>201415</v>
      </c>
      <c r="B3" t="s">
        <v>121</v>
      </c>
      <c r="C3" t="s">
        <v>46</v>
      </c>
      <c r="D3" t="s">
        <v>5</v>
      </c>
      <c r="E3" t="s">
        <v>1843</v>
      </c>
      <c r="F3">
        <v>2</v>
      </c>
      <c r="G3" t="s">
        <v>1862</v>
      </c>
      <c r="H3" s="11" t="s">
        <v>2042</v>
      </c>
      <c r="I3" s="8">
        <v>42024</v>
      </c>
      <c r="J3" s="11">
        <v>20</v>
      </c>
      <c r="K3" s="11">
        <v>1</v>
      </c>
      <c r="L3" s="11">
        <v>2015</v>
      </c>
      <c r="M3" s="11" t="s">
        <v>1920</v>
      </c>
      <c r="N3" t="s">
        <v>12</v>
      </c>
      <c r="O3" t="s">
        <v>10</v>
      </c>
      <c r="P3" t="s">
        <v>588</v>
      </c>
      <c r="Q3" t="s">
        <v>588</v>
      </c>
      <c r="R3" t="s">
        <v>588</v>
      </c>
      <c r="S3" t="s">
        <v>588</v>
      </c>
      <c r="T3">
        <v>2</v>
      </c>
      <c r="U3">
        <v>3</v>
      </c>
      <c r="V3" s="1" t="s">
        <v>588</v>
      </c>
      <c r="W3" t="s">
        <v>588</v>
      </c>
      <c r="X3">
        <v>3</v>
      </c>
      <c r="Y3">
        <v>3</v>
      </c>
      <c r="Z3" t="s">
        <v>41</v>
      </c>
      <c r="AA3" s="1">
        <v>42027</v>
      </c>
      <c r="AB3" s="11">
        <v>23</v>
      </c>
      <c r="AC3" s="11">
        <v>1</v>
      </c>
      <c r="AD3" s="11">
        <v>2015</v>
      </c>
      <c r="AE3" s="13" t="s">
        <v>1918</v>
      </c>
      <c r="AF3" t="s">
        <v>12</v>
      </c>
      <c r="AG3" s="1">
        <v>42029</v>
      </c>
      <c r="AH3" s="11">
        <v>25</v>
      </c>
      <c r="AI3" s="11">
        <v>1</v>
      </c>
      <c r="AJ3" s="11">
        <v>2015</v>
      </c>
      <c r="AK3" s="13" t="s">
        <v>1909</v>
      </c>
      <c r="AL3" t="s">
        <v>12</v>
      </c>
      <c r="AM3" s="1" t="s">
        <v>11</v>
      </c>
      <c r="AN3" t="s">
        <v>8</v>
      </c>
      <c r="AO3" s="1" t="s">
        <v>41</v>
      </c>
      <c r="AP3" t="s">
        <v>588</v>
      </c>
      <c r="AQ3" s="1" t="s">
        <v>588</v>
      </c>
      <c r="AR3" t="s">
        <v>588</v>
      </c>
      <c r="AS3" t="s">
        <v>588</v>
      </c>
      <c r="AT3" t="s">
        <v>588</v>
      </c>
      <c r="AU3" s="1" t="s">
        <v>588</v>
      </c>
      <c r="AV3" t="s">
        <v>588</v>
      </c>
      <c r="AW3" s="1" t="s">
        <v>588</v>
      </c>
      <c r="AX3" t="s">
        <v>588</v>
      </c>
      <c r="AY3" s="1" t="s">
        <v>588</v>
      </c>
      <c r="AZ3" t="s">
        <v>588</v>
      </c>
      <c r="BA3" s="1" t="s">
        <v>588</v>
      </c>
      <c r="BB3" t="s">
        <v>588</v>
      </c>
      <c r="BC3" s="1" t="s">
        <v>588</v>
      </c>
      <c r="BD3" t="s">
        <v>588</v>
      </c>
      <c r="BE3" s="1" t="s">
        <v>588</v>
      </c>
      <c r="BF3" t="s">
        <v>588</v>
      </c>
      <c r="BG3" s="1" t="s">
        <v>588</v>
      </c>
      <c r="BH3" t="s">
        <v>588</v>
      </c>
      <c r="BI3" s="1" t="s">
        <v>588</v>
      </c>
      <c r="BJ3" t="s">
        <v>588</v>
      </c>
      <c r="BK3" s="1" t="s">
        <v>588</v>
      </c>
      <c r="BL3" t="s">
        <v>588</v>
      </c>
      <c r="BM3" t="s">
        <v>588</v>
      </c>
      <c r="BN3" t="s">
        <v>588</v>
      </c>
      <c r="BO3" s="1" t="s">
        <v>588</v>
      </c>
      <c r="BP3" t="s">
        <v>588</v>
      </c>
      <c r="BQ3" s="1" t="s">
        <v>588</v>
      </c>
      <c r="BR3" t="s">
        <v>588</v>
      </c>
      <c r="BS3" t="s">
        <v>8</v>
      </c>
      <c r="BT3" t="s">
        <v>13</v>
      </c>
      <c r="BU3" t="s">
        <v>13</v>
      </c>
      <c r="BV3" t="s">
        <v>588</v>
      </c>
      <c r="BW3" t="s">
        <v>588</v>
      </c>
      <c r="BX3" t="s">
        <v>588</v>
      </c>
      <c r="BY3" t="s">
        <v>588</v>
      </c>
      <c r="BZ3" t="s">
        <v>588</v>
      </c>
    </row>
    <row r="4" spans="1:78" x14ac:dyDescent="0.25">
      <c r="A4">
        <v>201415</v>
      </c>
      <c r="B4" t="s">
        <v>122</v>
      </c>
      <c r="C4" t="s">
        <v>14</v>
      </c>
      <c r="D4" t="s">
        <v>15</v>
      </c>
      <c r="E4" t="s">
        <v>1844</v>
      </c>
      <c r="F4">
        <v>1</v>
      </c>
      <c r="G4" t="s">
        <v>1863</v>
      </c>
      <c r="H4" s="11" t="s">
        <v>2043</v>
      </c>
      <c r="I4" s="8">
        <v>41971</v>
      </c>
      <c r="J4" s="11">
        <v>28</v>
      </c>
      <c r="K4" s="11">
        <v>11</v>
      </c>
      <c r="L4" s="11">
        <v>2014</v>
      </c>
      <c r="M4" s="11" t="s">
        <v>1914</v>
      </c>
      <c r="N4" t="s">
        <v>17</v>
      </c>
      <c r="O4" t="s">
        <v>19</v>
      </c>
      <c r="P4" t="s">
        <v>588</v>
      </c>
      <c r="Q4" t="s">
        <v>588</v>
      </c>
      <c r="R4" t="s">
        <v>588</v>
      </c>
      <c r="S4" t="s">
        <v>588</v>
      </c>
      <c r="T4">
        <v>1</v>
      </c>
      <c r="U4">
        <v>3</v>
      </c>
      <c r="V4" t="s">
        <v>588</v>
      </c>
      <c r="W4" t="s">
        <v>588</v>
      </c>
      <c r="X4">
        <v>2</v>
      </c>
      <c r="Y4">
        <v>2</v>
      </c>
      <c r="Z4" t="s">
        <v>41</v>
      </c>
      <c r="AA4" s="1">
        <v>41971</v>
      </c>
      <c r="AB4" s="11">
        <v>28</v>
      </c>
      <c r="AC4" s="11">
        <v>11</v>
      </c>
      <c r="AD4" s="11">
        <v>2014</v>
      </c>
      <c r="AE4" s="13" t="s">
        <v>1914</v>
      </c>
      <c r="AF4" t="s">
        <v>17</v>
      </c>
      <c r="AG4" s="1">
        <v>41975</v>
      </c>
      <c r="AH4" s="11">
        <v>2</v>
      </c>
      <c r="AI4" s="11">
        <v>12</v>
      </c>
      <c r="AJ4" s="11">
        <v>2014</v>
      </c>
      <c r="AK4" s="13" t="s">
        <v>1910</v>
      </c>
      <c r="AL4" t="s">
        <v>7</v>
      </c>
      <c r="AM4" s="1" t="s">
        <v>41</v>
      </c>
      <c r="AN4" t="s">
        <v>41</v>
      </c>
      <c r="AO4" s="1" t="s">
        <v>20</v>
      </c>
      <c r="AP4" t="s">
        <v>588</v>
      </c>
      <c r="AQ4" s="1" t="s">
        <v>588</v>
      </c>
      <c r="AR4" t="s">
        <v>588</v>
      </c>
      <c r="AS4" t="s">
        <v>588</v>
      </c>
      <c r="AT4" t="s">
        <v>588</v>
      </c>
      <c r="AU4" s="1" t="s">
        <v>588</v>
      </c>
      <c r="AV4" t="s">
        <v>588</v>
      </c>
      <c r="AW4" s="1" t="s">
        <v>588</v>
      </c>
      <c r="AX4" t="s">
        <v>588</v>
      </c>
      <c r="AY4" s="1" t="s">
        <v>588</v>
      </c>
      <c r="AZ4" t="s">
        <v>588</v>
      </c>
      <c r="BA4" s="1" t="s">
        <v>588</v>
      </c>
      <c r="BB4" t="s">
        <v>588</v>
      </c>
      <c r="BC4" s="1" t="s">
        <v>588</v>
      </c>
      <c r="BD4" t="s">
        <v>588</v>
      </c>
      <c r="BE4" s="1" t="s">
        <v>588</v>
      </c>
      <c r="BF4" t="s">
        <v>588</v>
      </c>
      <c r="BG4" s="1" t="s">
        <v>588</v>
      </c>
      <c r="BH4" t="s">
        <v>588</v>
      </c>
      <c r="BI4" s="1" t="s">
        <v>588</v>
      </c>
      <c r="BJ4" t="s">
        <v>588</v>
      </c>
      <c r="BK4" s="1" t="s">
        <v>588</v>
      </c>
      <c r="BL4" t="s">
        <v>588</v>
      </c>
      <c r="BM4" t="s">
        <v>588</v>
      </c>
      <c r="BN4" t="s">
        <v>588</v>
      </c>
      <c r="BO4" s="1" t="s">
        <v>588</v>
      </c>
      <c r="BP4" t="s">
        <v>588</v>
      </c>
      <c r="BQ4" s="1" t="s">
        <v>588</v>
      </c>
      <c r="BR4" t="s">
        <v>588</v>
      </c>
      <c r="BS4" t="s">
        <v>8</v>
      </c>
      <c r="BT4" t="s">
        <v>123</v>
      </c>
      <c r="BU4" t="s">
        <v>123</v>
      </c>
      <c r="BV4" s="1" t="s">
        <v>588</v>
      </c>
      <c r="BW4" t="s">
        <v>588</v>
      </c>
      <c r="BX4" t="s">
        <v>588</v>
      </c>
      <c r="BY4" s="1" t="s">
        <v>588</v>
      </c>
      <c r="BZ4" t="s">
        <v>588</v>
      </c>
    </row>
    <row r="5" spans="1:78" x14ac:dyDescent="0.25">
      <c r="A5">
        <v>201415</v>
      </c>
      <c r="B5" t="s">
        <v>122</v>
      </c>
      <c r="C5" t="s">
        <v>14</v>
      </c>
      <c r="D5" t="s">
        <v>15</v>
      </c>
      <c r="E5" t="s">
        <v>1844</v>
      </c>
      <c r="F5">
        <v>2</v>
      </c>
      <c r="G5" t="s">
        <v>1864</v>
      </c>
      <c r="H5" s="11" t="s">
        <v>2044</v>
      </c>
      <c r="I5" s="8">
        <v>41982</v>
      </c>
      <c r="J5" s="11">
        <v>9</v>
      </c>
      <c r="K5" s="11">
        <v>12</v>
      </c>
      <c r="L5" s="11">
        <v>2014</v>
      </c>
      <c r="M5" s="11" t="s">
        <v>1940</v>
      </c>
      <c r="N5" t="s">
        <v>7</v>
      </c>
      <c r="O5" t="s">
        <v>19</v>
      </c>
      <c r="P5" t="s">
        <v>588</v>
      </c>
      <c r="Q5" t="s">
        <v>588</v>
      </c>
      <c r="R5" t="s">
        <v>588</v>
      </c>
      <c r="S5" t="s">
        <v>588</v>
      </c>
      <c r="T5">
        <v>3</v>
      </c>
      <c r="U5">
        <v>3</v>
      </c>
      <c r="V5" s="1">
        <v>41986</v>
      </c>
      <c r="W5" t="s">
        <v>223</v>
      </c>
      <c r="X5">
        <v>4</v>
      </c>
      <c r="Y5">
        <v>4</v>
      </c>
      <c r="Z5" t="s">
        <v>41</v>
      </c>
      <c r="AA5" s="1">
        <v>41992</v>
      </c>
      <c r="AB5" s="11">
        <v>19</v>
      </c>
      <c r="AC5" s="11">
        <v>12</v>
      </c>
      <c r="AD5" s="11">
        <v>2014</v>
      </c>
      <c r="AE5" s="13" t="s">
        <v>1927</v>
      </c>
      <c r="AF5" t="s">
        <v>7</v>
      </c>
      <c r="AG5" s="1">
        <v>41999</v>
      </c>
      <c r="AH5" s="11">
        <v>26</v>
      </c>
      <c r="AI5" s="11">
        <v>12</v>
      </c>
      <c r="AJ5" s="11">
        <v>2014</v>
      </c>
      <c r="AK5" s="13" t="s">
        <v>1908</v>
      </c>
      <c r="AL5" t="s">
        <v>7</v>
      </c>
      <c r="AM5" s="1" t="s">
        <v>41</v>
      </c>
      <c r="AN5" t="s">
        <v>41</v>
      </c>
      <c r="AO5" s="1" t="s">
        <v>20</v>
      </c>
      <c r="AP5" s="1" t="s">
        <v>588</v>
      </c>
      <c r="AQ5" s="1" t="s">
        <v>588</v>
      </c>
      <c r="AR5" s="1" t="s">
        <v>588</v>
      </c>
      <c r="AS5" t="s">
        <v>588</v>
      </c>
      <c r="AT5" t="s">
        <v>588</v>
      </c>
      <c r="AU5" s="1" t="s">
        <v>588</v>
      </c>
      <c r="AV5" s="1" t="s">
        <v>588</v>
      </c>
      <c r="AW5" s="1" t="s">
        <v>588</v>
      </c>
      <c r="AX5" s="1" t="s">
        <v>588</v>
      </c>
      <c r="AY5" s="1" t="s">
        <v>588</v>
      </c>
      <c r="AZ5" s="1" t="s">
        <v>588</v>
      </c>
      <c r="BA5" s="1" t="s">
        <v>588</v>
      </c>
      <c r="BB5" s="1" t="s">
        <v>588</v>
      </c>
      <c r="BC5" s="1" t="s">
        <v>588</v>
      </c>
      <c r="BD5" s="1" t="s">
        <v>588</v>
      </c>
      <c r="BE5" s="1" t="s">
        <v>588</v>
      </c>
      <c r="BF5" s="1" t="s">
        <v>588</v>
      </c>
      <c r="BG5" s="1" t="s">
        <v>588</v>
      </c>
      <c r="BH5" s="1" t="s">
        <v>588</v>
      </c>
      <c r="BI5" s="1" t="s">
        <v>588</v>
      </c>
      <c r="BJ5" s="1" t="s">
        <v>588</v>
      </c>
      <c r="BK5" s="1" t="s">
        <v>588</v>
      </c>
      <c r="BL5" s="1" t="s">
        <v>588</v>
      </c>
      <c r="BM5" t="s">
        <v>588</v>
      </c>
      <c r="BN5" t="s">
        <v>588</v>
      </c>
      <c r="BO5" s="1" t="s">
        <v>588</v>
      </c>
      <c r="BP5" t="s">
        <v>588</v>
      </c>
      <c r="BQ5" s="1" t="s">
        <v>588</v>
      </c>
      <c r="BR5" s="1" t="s">
        <v>588</v>
      </c>
      <c r="BS5" t="s">
        <v>8</v>
      </c>
      <c r="BT5" t="s">
        <v>120</v>
      </c>
      <c r="BU5" t="s">
        <v>120</v>
      </c>
      <c r="BV5" s="1" t="s">
        <v>588</v>
      </c>
      <c r="BW5" s="1" t="s">
        <v>588</v>
      </c>
      <c r="BX5" s="1" t="s">
        <v>588</v>
      </c>
      <c r="BY5" s="1" t="s">
        <v>588</v>
      </c>
      <c r="BZ5" s="1" t="s">
        <v>588</v>
      </c>
    </row>
    <row r="6" spans="1:78" x14ac:dyDescent="0.25">
      <c r="A6">
        <v>201415</v>
      </c>
      <c r="B6" t="s">
        <v>122</v>
      </c>
      <c r="C6" t="s">
        <v>14</v>
      </c>
      <c r="D6" t="s">
        <v>15</v>
      </c>
      <c r="E6" t="s">
        <v>1844</v>
      </c>
      <c r="F6">
        <v>3</v>
      </c>
      <c r="G6" t="s">
        <v>1865</v>
      </c>
      <c r="H6" s="11" t="s">
        <v>2045</v>
      </c>
      <c r="I6" s="8">
        <v>42006</v>
      </c>
      <c r="J6" s="11">
        <v>2</v>
      </c>
      <c r="K6" s="11">
        <v>1</v>
      </c>
      <c r="L6" s="11">
        <v>2015</v>
      </c>
      <c r="M6" s="11" t="s">
        <v>1917</v>
      </c>
      <c r="N6" t="s">
        <v>12</v>
      </c>
      <c r="O6" t="s">
        <v>19</v>
      </c>
      <c r="P6" t="s">
        <v>588</v>
      </c>
      <c r="Q6" t="s">
        <v>588</v>
      </c>
      <c r="R6" t="s">
        <v>588</v>
      </c>
      <c r="S6" t="s">
        <v>588</v>
      </c>
      <c r="T6">
        <v>3</v>
      </c>
      <c r="U6">
        <v>3</v>
      </c>
      <c r="V6" s="1">
        <v>42010</v>
      </c>
      <c r="W6" t="s">
        <v>223</v>
      </c>
      <c r="X6">
        <v>5</v>
      </c>
      <c r="Y6">
        <v>5</v>
      </c>
      <c r="Z6" t="s">
        <v>8</v>
      </c>
      <c r="AA6" s="1">
        <v>42031</v>
      </c>
      <c r="AB6" s="11">
        <v>27</v>
      </c>
      <c r="AC6" s="11">
        <v>1</v>
      </c>
      <c r="AD6" s="11">
        <v>2015</v>
      </c>
      <c r="AE6" s="13" t="s">
        <v>1929</v>
      </c>
      <c r="AF6" t="s">
        <v>12</v>
      </c>
      <c r="AG6" s="1" t="s">
        <v>588</v>
      </c>
      <c r="AH6" s="11" t="s">
        <v>588</v>
      </c>
      <c r="AI6" s="11" t="s">
        <v>588</v>
      </c>
      <c r="AJ6" s="11" t="s">
        <v>588</v>
      </c>
      <c r="AK6" s="13" t="s">
        <v>588</v>
      </c>
      <c r="AL6" t="s">
        <v>588</v>
      </c>
      <c r="AM6" s="1" t="s">
        <v>588</v>
      </c>
      <c r="AN6" t="s">
        <v>588</v>
      </c>
      <c r="AO6" s="1" t="s">
        <v>588</v>
      </c>
      <c r="AP6" s="1">
        <v>42037</v>
      </c>
      <c r="AQ6" t="s">
        <v>21</v>
      </c>
      <c r="AR6" t="s">
        <v>195</v>
      </c>
      <c r="AS6">
        <v>2</v>
      </c>
      <c r="AT6">
        <v>3</v>
      </c>
      <c r="AU6" s="1">
        <v>42048</v>
      </c>
      <c r="AV6" s="1">
        <v>42054</v>
      </c>
      <c r="AW6" t="s">
        <v>21</v>
      </c>
      <c r="AX6" t="s">
        <v>41</v>
      </c>
      <c r="AY6" t="s">
        <v>41</v>
      </c>
      <c r="AZ6" t="s">
        <v>20</v>
      </c>
      <c r="BA6" t="s">
        <v>588</v>
      </c>
      <c r="BB6" t="s">
        <v>588</v>
      </c>
      <c r="BC6" t="s">
        <v>588</v>
      </c>
      <c r="BD6" t="s">
        <v>588</v>
      </c>
      <c r="BE6" t="s">
        <v>588</v>
      </c>
      <c r="BF6" t="s">
        <v>588</v>
      </c>
      <c r="BG6" t="s">
        <v>588</v>
      </c>
      <c r="BH6" t="s">
        <v>588</v>
      </c>
      <c r="BI6" t="s">
        <v>588</v>
      </c>
      <c r="BJ6" t="s">
        <v>588</v>
      </c>
      <c r="BK6" t="s">
        <v>588</v>
      </c>
      <c r="BL6" t="s">
        <v>588</v>
      </c>
      <c r="BM6">
        <v>8</v>
      </c>
      <c r="BN6">
        <v>8</v>
      </c>
      <c r="BO6" t="s">
        <v>8</v>
      </c>
      <c r="BP6">
        <v>1</v>
      </c>
      <c r="BQ6" s="1">
        <v>42073</v>
      </c>
      <c r="BR6" t="s">
        <v>22</v>
      </c>
      <c r="BS6" t="s">
        <v>8</v>
      </c>
      <c r="BT6" t="s">
        <v>120</v>
      </c>
      <c r="BU6" t="s">
        <v>120</v>
      </c>
      <c r="BV6" t="s">
        <v>8</v>
      </c>
      <c r="BW6" t="s">
        <v>136</v>
      </c>
      <c r="BX6" t="s">
        <v>136</v>
      </c>
      <c r="BY6" t="s">
        <v>588</v>
      </c>
      <c r="BZ6" t="s">
        <v>588</v>
      </c>
    </row>
    <row r="7" spans="1:78" x14ac:dyDescent="0.25">
      <c r="A7">
        <v>201415</v>
      </c>
      <c r="B7" t="s">
        <v>124</v>
      </c>
      <c r="C7" t="s">
        <v>23</v>
      </c>
      <c r="D7" t="s">
        <v>24</v>
      </c>
      <c r="E7" t="s">
        <v>1845</v>
      </c>
      <c r="F7">
        <v>1</v>
      </c>
      <c r="G7" t="s">
        <v>1866</v>
      </c>
      <c r="H7" s="11" t="s">
        <v>2046</v>
      </c>
      <c r="I7" s="8">
        <v>41956</v>
      </c>
      <c r="J7" s="11">
        <v>13</v>
      </c>
      <c r="K7" s="11">
        <v>11</v>
      </c>
      <c r="L7" s="11">
        <v>2014</v>
      </c>
      <c r="M7" s="11" t="s">
        <v>1941</v>
      </c>
      <c r="N7" t="s">
        <v>17</v>
      </c>
      <c r="O7" t="s">
        <v>10</v>
      </c>
      <c r="P7">
        <v>-38.675060000000002</v>
      </c>
      <c r="Q7">
        <v>145.58848599999999</v>
      </c>
      <c r="R7" t="s">
        <v>588</v>
      </c>
      <c r="S7" t="s">
        <v>588</v>
      </c>
      <c r="T7">
        <v>1</v>
      </c>
      <c r="U7">
        <v>3</v>
      </c>
      <c r="V7" s="1" t="s">
        <v>588</v>
      </c>
      <c r="W7" t="s">
        <v>588</v>
      </c>
      <c r="X7">
        <v>3</v>
      </c>
      <c r="Y7">
        <v>3</v>
      </c>
      <c r="Z7" t="s">
        <v>41</v>
      </c>
      <c r="AA7" s="1">
        <v>41960</v>
      </c>
      <c r="AB7" s="11">
        <v>17</v>
      </c>
      <c r="AC7" s="11">
        <v>11</v>
      </c>
      <c r="AD7" s="11">
        <v>2014</v>
      </c>
      <c r="AE7" s="13" t="s">
        <v>1942</v>
      </c>
      <c r="AF7" t="s">
        <v>17</v>
      </c>
      <c r="AG7" s="1">
        <v>41968</v>
      </c>
      <c r="AH7" s="11">
        <v>25</v>
      </c>
      <c r="AI7" s="11">
        <v>11</v>
      </c>
      <c r="AJ7" s="11">
        <v>2014</v>
      </c>
      <c r="AK7" s="13" t="s">
        <v>1911</v>
      </c>
      <c r="AL7" t="s">
        <v>17</v>
      </c>
      <c r="AM7" s="1" t="s">
        <v>41</v>
      </c>
      <c r="AN7" s="1" t="s">
        <v>41</v>
      </c>
      <c r="AO7" s="1" t="s">
        <v>20</v>
      </c>
      <c r="AP7" s="1" t="s">
        <v>588</v>
      </c>
      <c r="AQ7" s="1" t="s">
        <v>588</v>
      </c>
      <c r="AR7" s="1" t="s">
        <v>588</v>
      </c>
      <c r="AS7" s="1" t="s">
        <v>588</v>
      </c>
      <c r="AT7" s="1" t="s">
        <v>588</v>
      </c>
      <c r="AU7" s="1" t="s">
        <v>588</v>
      </c>
      <c r="AV7" s="1" t="s">
        <v>588</v>
      </c>
      <c r="AW7" s="1" t="s">
        <v>588</v>
      </c>
      <c r="AX7" s="1" t="s">
        <v>588</v>
      </c>
      <c r="AY7" s="1" t="s">
        <v>588</v>
      </c>
      <c r="AZ7" s="1" t="s">
        <v>588</v>
      </c>
      <c r="BA7" s="1" t="s">
        <v>588</v>
      </c>
      <c r="BB7" s="1" t="s">
        <v>588</v>
      </c>
      <c r="BC7" s="1" t="s">
        <v>588</v>
      </c>
      <c r="BD7" s="1" t="s">
        <v>588</v>
      </c>
      <c r="BE7" s="1" t="s">
        <v>588</v>
      </c>
      <c r="BF7" s="1" t="s">
        <v>588</v>
      </c>
      <c r="BG7" s="1" t="s">
        <v>588</v>
      </c>
      <c r="BH7" s="1" t="s">
        <v>588</v>
      </c>
      <c r="BI7" s="1" t="s">
        <v>588</v>
      </c>
      <c r="BJ7" s="1" t="s">
        <v>588</v>
      </c>
      <c r="BK7" s="1" t="s">
        <v>588</v>
      </c>
      <c r="BL7" s="1" t="s">
        <v>588</v>
      </c>
      <c r="BM7" s="1" t="s">
        <v>588</v>
      </c>
      <c r="BN7" s="1" t="s">
        <v>588</v>
      </c>
      <c r="BO7" s="1" t="s">
        <v>588</v>
      </c>
      <c r="BP7" s="1" t="s">
        <v>588</v>
      </c>
      <c r="BQ7" s="1" t="s">
        <v>588</v>
      </c>
      <c r="BR7" s="1" t="s">
        <v>588</v>
      </c>
      <c r="BS7" t="s">
        <v>8</v>
      </c>
      <c r="BT7" t="s">
        <v>120</v>
      </c>
      <c r="BU7" t="s">
        <v>120</v>
      </c>
      <c r="BV7" s="1" t="s">
        <v>588</v>
      </c>
      <c r="BW7" s="1" t="s">
        <v>588</v>
      </c>
      <c r="BX7" s="1" t="s">
        <v>588</v>
      </c>
      <c r="BY7" s="1" t="s">
        <v>588</v>
      </c>
      <c r="BZ7" s="1" t="s">
        <v>588</v>
      </c>
    </row>
    <row r="8" spans="1:78" x14ac:dyDescent="0.25">
      <c r="A8">
        <v>201415</v>
      </c>
      <c r="B8" t="s">
        <v>124</v>
      </c>
      <c r="C8" t="s">
        <v>23</v>
      </c>
      <c r="D8" t="s">
        <v>24</v>
      </c>
      <c r="E8" t="s">
        <v>1845</v>
      </c>
      <c r="F8">
        <v>2</v>
      </c>
      <c r="G8" t="s">
        <v>1867</v>
      </c>
      <c r="H8" s="11" t="s">
        <v>2047</v>
      </c>
      <c r="I8" s="8">
        <v>41978</v>
      </c>
      <c r="J8" s="11">
        <v>5</v>
      </c>
      <c r="K8" s="11">
        <v>12</v>
      </c>
      <c r="L8" s="11">
        <v>2014</v>
      </c>
      <c r="M8" s="11" t="s">
        <v>1943</v>
      </c>
      <c r="N8" t="s">
        <v>7</v>
      </c>
      <c r="O8" t="s">
        <v>10</v>
      </c>
      <c r="P8">
        <v>-38.692207000000003</v>
      </c>
      <c r="Q8">
        <v>145.58961500000001</v>
      </c>
      <c r="R8" t="s">
        <v>588</v>
      </c>
      <c r="S8" t="s">
        <v>588</v>
      </c>
      <c r="T8">
        <v>3</v>
      </c>
      <c r="U8">
        <v>3</v>
      </c>
      <c r="V8" s="1">
        <v>41983</v>
      </c>
      <c r="W8" t="s">
        <v>223</v>
      </c>
      <c r="X8">
        <v>5</v>
      </c>
      <c r="Y8">
        <v>5</v>
      </c>
      <c r="Z8" t="s">
        <v>41</v>
      </c>
      <c r="AA8" s="1">
        <v>41994</v>
      </c>
      <c r="AB8" s="11">
        <v>21</v>
      </c>
      <c r="AC8" s="11">
        <v>12</v>
      </c>
      <c r="AD8" s="11">
        <v>2014</v>
      </c>
      <c r="AE8" s="13" t="s">
        <v>1944</v>
      </c>
      <c r="AF8" t="s">
        <v>7</v>
      </c>
      <c r="AG8" s="1">
        <v>41999</v>
      </c>
      <c r="AH8" s="11">
        <v>26</v>
      </c>
      <c r="AI8" s="11">
        <v>12</v>
      </c>
      <c r="AJ8" s="11">
        <v>2014</v>
      </c>
      <c r="AK8" s="13" t="s">
        <v>1908</v>
      </c>
      <c r="AL8" t="s">
        <v>7</v>
      </c>
      <c r="AM8" s="1" t="s">
        <v>41</v>
      </c>
      <c r="AN8" t="s">
        <v>8</v>
      </c>
      <c r="AO8" t="s">
        <v>11</v>
      </c>
      <c r="AP8" s="1" t="s">
        <v>588</v>
      </c>
      <c r="AQ8" s="1" t="s">
        <v>588</v>
      </c>
      <c r="AR8" s="1" t="s">
        <v>588</v>
      </c>
      <c r="AS8" s="1" t="s">
        <v>588</v>
      </c>
      <c r="AT8" s="1" t="s">
        <v>588</v>
      </c>
      <c r="AU8" s="1" t="s">
        <v>588</v>
      </c>
      <c r="AV8" s="1" t="s">
        <v>588</v>
      </c>
      <c r="AW8" s="1" t="s">
        <v>588</v>
      </c>
      <c r="AX8" s="1" t="s">
        <v>588</v>
      </c>
      <c r="AY8" s="1" t="s">
        <v>588</v>
      </c>
      <c r="AZ8" s="1" t="s">
        <v>588</v>
      </c>
      <c r="BA8" s="1" t="s">
        <v>588</v>
      </c>
      <c r="BB8" s="1" t="s">
        <v>588</v>
      </c>
      <c r="BC8" s="1" t="s">
        <v>588</v>
      </c>
      <c r="BD8" s="1" t="s">
        <v>588</v>
      </c>
      <c r="BE8" s="1" t="s">
        <v>588</v>
      </c>
      <c r="BF8" s="1" t="s">
        <v>588</v>
      </c>
      <c r="BG8" s="1" t="s">
        <v>588</v>
      </c>
      <c r="BH8" s="1" t="s">
        <v>588</v>
      </c>
      <c r="BI8" s="1" t="s">
        <v>588</v>
      </c>
      <c r="BJ8" s="1" t="s">
        <v>588</v>
      </c>
      <c r="BK8" s="1" t="s">
        <v>588</v>
      </c>
      <c r="BL8" s="1" t="s">
        <v>588</v>
      </c>
      <c r="BM8" s="1" t="s">
        <v>588</v>
      </c>
      <c r="BN8" s="1" t="s">
        <v>588</v>
      </c>
      <c r="BO8" s="1" t="s">
        <v>588</v>
      </c>
      <c r="BP8" s="1" t="s">
        <v>588</v>
      </c>
      <c r="BQ8" s="1" t="s">
        <v>588</v>
      </c>
      <c r="BR8" s="1" t="s">
        <v>588</v>
      </c>
      <c r="BS8" t="s">
        <v>8</v>
      </c>
      <c r="BT8" t="s">
        <v>120</v>
      </c>
      <c r="BU8" t="s">
        <v>120</v>
      </c>
      <c r="BV8" s="1" t="s">
        <v>588</v>
      </c>
      <c r="BW8" s="1" t="s">
        <v>588</v>
      </c>
      <c r="BX8" s="1" t="s">
        <v>588</v>
      </c>
      <c r="BY8" s="1" t="s">
        <v>588</v>
      </c>
      <c r="BZ8" s="1" t="s">
        <v>588</v>
      </c>
    </row>
    <row r="9" spans="1:78" x14ac:dyDescent="0.25">
      <c r="A9">
        <v>201415</v>
      </c>
      <c r="B9" t="s">
        <v>125</v>
      </c>
      <c r="C9" t="s">
        <v>26</v>
      </c>
      <c r="D9" t="s">
        <v>1844</v>
      </c>
      <c r="E9" t="s">
        <v>1844</v>
      </c>
      <c r="F9">
        <v>1</v>
      </c>
      <c r="G9" t="s">
        <v>1868</v>
      </c>
      <c r="H9" s="11" t="s">
        <v>2048</v>
      </c>
      <c r="I9" s="8">
        <v>41911</v>
      </c>
      <c r="J9" s="11">
        <v>29</v>
      </c>
      <c r="K9" s="11">
        <v>9</v>
      </c>
      <c r="L9" s="11">
        <v>2014</v>
      </c>
      <c r="M9" s="11" t="s">
        <v>1946</v>
      </c>
      <c r="N9" t="s">
        <v>28</v>
      </c>
      <c r="O9" t="s">
        <v>10</v>
      </c>
      <c r="P9">
        <v>-38.644939000000001</v>
      </c>
      <c r="Q9">
        <v>145.713303</v>
      </c>
      <c r="R9" t="s">
        <v>588</v>
      </c>
      <c r="S9" t="s">
        <v>588</v>
      </c>
      <c r="T9">
        <v>3</v>
      </c>
      <c r="U9">
        <v>3</v>
      </c>
      <c r="V9" s="1" t="s">
        <v>588</v>
      </c>
      <c r="W9" t="s">
        <v>588</v>
      </c>
      <c r="X9">
        <v>6</v>
      </c>
      <c r="Y9">
        <v>5</v>
      </c>
      <c r="Z9" t="s">
        <v>8</v>
      </c>
      <c r="AA9" s="1">
        <v>41929</v>
      </c>
      <c r="AB9" s="11">
        <v>17</v>
      </c>
      <c r="AC9" s="11">
        <v>10</v>
      </c>
      <c r="AD9" s="11">
        <v>2014</v>
      </c>
      <c r="AE9" s="13" t="s">
        <v>1947</v>
      </c>
      <c r="AF9" t="s">
        <v>29</v>
      </c>
      <c r="AG9" s="1" t="s">
        <v>588</v>
      </c>
      <c r="AH9" s="11" t="s">
        <v>588</v>
      </c>
      <c r="AI9" s="11" t="s">
        <v>588</v>
      </c>
      <c r="AJ9" s="11" t="s">
        <v>588</v>
      </c>
      <c r="AK9" s="13" t="s">
        <v>588</v>
      </c>
      <c r="AL9" t="s">
        <v>588</v>
      </c>
      <c r="AM9" s="1" t="s">
        <v>588</v>
      </c>
      <c r="AN9" t="s">
        <v>588</v>
      </c>
      <c r="AO9" s="1" t="s">
        <v>588</v>
      </c>
      <c r="AP9" s="1">
        <v>41934</v>
      </c>
      <c r="AQ9" s="1" t="s">
        <v>29</v>
      </c>
      <c r="AR9" t="s">
        <v>195</v>
      </c>
      <c r="AS9">
        <v>2</v>
      </c>
      <c r="AT9">
        <v>2</v>
      </c>
      <c r="AU9" s="1">
        <v>41934</v>
      </c>
      <c r="AV9" s="1">
        <v>41940</v>
      </c>
      <c r="AW9" s="1" t="s">
        <v>29</v>
      </c>
      <c r="AX9" s="1" t="s">
        <v>41</v>
      </c>
      <c r="AY9" s="1" t="s">
        <v>41</v>
      </c>
      <c r="AZ9" s="1" t="s">
        <v>20</v>
      </c>
      <c r="BA9" s="1" t="s">
        <v>588</v>
      </c>
      <c r="BB9" s="1" t="s">
        <v>588</v>
      </c>
      <c r="BC9" s="1" t="s">
        <v>588</v>
      </c>
      <c r="BD9" s="1" t="s">
        <v>588</v>
      </c>
      <c r="BE9" s="1" t="s">
        <v>588</v>
      </c>
      <c r="BF9" s="1" t="s">
        <v>588</v>
      </c>
      <c r="BG9" s="1" t="s">
        <v>588</v>
      </c>
      <c r="BH9" s="1" t="s">
        <v>588</v>
      </c>
      <c r="BI9" s="1" t="s">
        <v>588</v>
      </c>
      <c r="BJ9" s="1" t="s">
        <v>588</v>
      </c>
      <c r="BK9" s="1" t="s">
        <v>588</v>
      </c>
      <c r="BL9" s="1" t="s">
        <v>588</v>
      </c>
      <c r="BM9">
        <v>16</v>
      </c>
      <c r="BN9">
        <v>16</v>
      </c>
      <c r="BO9" s="1" t="s">
        <v>8</v>
      </c>
      <c r="BP9">
        <v>1</v>
      </c>
      <c r="BQ9" s="1">
        <v>41982</v>
      </c>
      <c r="BR9" s="1" t="s">
        <v>7</v>
      </c>
      <c r="BS9" t="s">
        <v>8</v>
      </c>
      <c r="BT9" t="s">
        <v>120</v>
      </c>
      <c r="BU9" t="s">
        <v>120</v>
      </c>
      <c r="BV9" s="1" t="s">
        <v>8</v>
      </c>
      <c r="BW9" t="s">
        <v>136</v>
      </c>
      <c r="BX9" t="s">
        <v>136</v>
      </c>
      <c r="BY9" s="1" t="s">
        <v>1846</v>
      </c>
      <c r="BZ9" s="1" t="s">
        <v>588</v>
      </c>
    </row>
    <row r="10" spans="1:78" x14ac:dyDescent="0.25">
      <c r="A10">
        <v>201415</v>
      </c>
      <c r="B10" t="s">
        <v>125</v>
      </c>
      <c r="C10" t="s">
        <v>26</v>
      </c>
      <c r="D10" t="s">
        <v>1844</v>
      </c>
      <c r="E10" t="s">
        <v>1844</v>
      </c>
      <c r="F10">
        <v>2</v>
      </c>
      <c r="G10" t="s">
        <v>1869</v>
      </c>
      <c r="H10" s="11" t="s">
        <v>2049</v>
      </c>
      <c r="I10" s="8">
        <v>41995</v>
      </c>
      <c r="J10" s="11">
        <v>22</v>
      </c>
      <c r="K10" s="11">
        <v>12</v>
      </c>
      <c r="L10" s="11">
        <v>2014</v>
      </c>
      <c r="M10" s="11" t="s">
        <v>1949</v>
      </c>
      <c r="N10" t="s">
        <v>7</v>
      </c>
      <c r="O10" t="s">
        <v>19</v>
      </c>
      <c r="P10" t="s">
        <v>588</v>
      </c>
      <c r="Q10" t="s">
        <v>588</v>
      </c>
      <c r="R10" t="s">
        <v>588</v>
      </c>
      <c r="S10" t="s">
        <v>588</v>
      </c>
      <c r="T10">
        <v>4</v>
      </c>
      <c r="U10">
        <v>4</v>
      </c>
      <c r="V10" s="1" t="s">
        <v>588</v>
      </c>
      <c r="W10" t="s">
        <v>588</v>
      </c>
      <c r="X10">
        <v>4</v>
      </c>
      <c r="Y10">
        <v>4</v>
      </c>
      <c r="Z10" t="s">
        <v>41</v>
      </c>
      <c r="AA10" s="1">
        <v>41999</v>
      </c>
      <c r="AB10" s="11">
        <v>26</v>
      </c>
      <c r="AC10" s="11">
        <v>12</v>
      </c>
      <c r="AD10" s="11">
        <v>2014</v>
      </c>
      <c r="AE10" s="13" t="s">
        <v>1908</v>
      </c>
      <c r="AF10" t="s">
        <v>7</v>
      </c>
      <c r="AG10" s="1">
        <v>42004</v>
      </c>
      <c r="AH10" s="11">
        <v>31</v>
      </c>
      <c r="AI10" s="11">
        <v>12</v>
      </c>
      <c r="AJ10" s="11">
        <v>2014</v>
      </c>
      <c r="AK10" s="13" t="s">
        <v>1912</v>
      </c>
      <c r="AL10" t="s">
        <v>7</v>
      </c>
      <c r="AM10" s="1" t="s">
        <v>41</v>
      </c>
      <c r="AN10" t="s">
        <v>8</v>
      </c>
      <c r="AO10" t="s">
        <v>11</v>
      </c>
      <c r="AP10" s="1" t="s">
        <v>588</v>
      </c>
      <c r="AQ10" s="1" t="s">
        <v>588</v>
      </c>
      <c r="AR10" s="1" t="s">
        <v>588</v>
      </c>
      <c r="AS10" s="1" t="s">
        <v>588</v>
      </c>
      <c r="AT10" s="1" t="s">
        <v>588</v>
      </c>
      <c r="AU10" s="1" t="s">
        <v>588</v>
      </c>
      <c r="AV10" s="1" t="s">
        <v>588</v>
      </c>
      <c r="AW10" s="1" t="s">
        <v>588</v>
      </c>
      <c r="AX10" s="1" t="s">
        <v>588</v>
      </c>
      <c r="AY10" s="1" t="s">
        <v>588</v>
      </c>
      <c r="AZ10" s="1" t="s">
        <v>588</v>
      </c>
      <c r="BA10" s="1" t="s">
        <v>588</v>
      </c>
      <c r="BB10" s="1" t="s">
        <v>588</v>
      </c>
      <c r="BC10" s="1" t="s">
        <v>588</v>
      </c>
      <c r="BD10" s="1" t="s">
        <v>588</v>
      </c>
      <c r="BE10" s="1" t="s">
        <v>588</v>
      </c>
      <c r="BF10" s="1" t="s">
        <v>588</v>
      </c>
      <c r="BG10" s="1" t="s">
        <v>588</v>
      </c>
      <c r="BH10" s="1" t="s">
        <v>588</v>
      </c>
      <c r="BI10" s="1" t="s">
        <v>588</v>
      </c>
      <c r="BJ10" s="1" t="s">
        <v>588</v>
      </c>
      <c r="BK10" s="1" t="s">
        <v>588</v>
      </c>
      <c r="BL10" s="1" t="s">
        <v>588</v>
      </c>
      <c r="BM10" s="1" t="s">
        <v>588</v>
      </c>
      <c r="BN10" s="1" t="s">
        <v>588</v>
      </c>
      <c r="BO10" s="1" t="s">
        <v>588</v>
      </c>
      <c r="BP10" s="1" t="s">
        <v>588</v>
      </c>
      <c r="BQ10" s="1" t="s">
        <v>588</v>
      </c>
      <c r="BR10" s="1" t="s">
        <v>588</v>
      </c>
      <c r="BS10" t="s">
        <v>8</v>
      </c>
      <c r="BT10" t="s">
        <v>120</v>
      </c>
      <c r="BU10" t="s">
        <v>120</v>
      </c>
      <c r="BV10" s="1" t="s">
        <v>588</v>
      </c>
      <c r="BW10" s="1" t="s">
        <v>588</v>
      </c>
      <c r="BX10" s="1" t="s">
        <v>588</v>
      </c>
      <c r="BY10" s="1" t="s">
        <v>588</v>
      </c>
      <c r="BZ10" s="1" t="s">
        <v>588</v>
      </c>
    </row>
    <row r="11" spans="1:78" x14ac:dyDescent="0.25">
      <c r="A11">
        <v>201415</v>
      </c>
      <c r="B11" t="s">
        <v>125</v>
      </c>
      <c r="C11" t="s">
        <v>26</v>
      </c>
      <c r="D11" t="s">
        <v>1844</v>
      </c>
      <c r="E11" t="s">
        <v>1844</v>
      </c>
      <c r="F11">
        <v>3</v>
      </c>
      <c r="G11" t="s">
        <v>1870</v>
      </c>
      <c r="H11" s="11" t="s">
        <v>2050</v>
      </c>
      <c r="I11" s="8">
        <v>42008</v>
      </c>
      <c r="J11" s="11">
        <v>4</v>
      </c>
      <c r="K11" s="11">
        <v>1</v>
      </c>
      <c r="L11" s="11">
        <v>2015</v>
      </c>
      <c r="M11" s="11" t="s">
        <v>1915</v>
      </c>
      <c r="N11" t="s">
        <v>12</v>
      </c>
      <c r="O11" t="s">
        <v>19</v>
      </c>
      <c r="P11" t="s">
        <v>588</v>
      </c>
      <c r="Q11" t="s">
        <v>588</v>
      </c>
      <c r="R11" t="s">
        <v>588</v>
      </c>
      <c r="S11" t="s">
        <v>588</v>
      </c>
      <c r="T11" t="s">
        <v>1847</v>
      </c>
      <c r="U11">
        <v>3</v>
      </c>
      <c r="V11" s="1" t="s">
        <v>588</v>
      </c>
      <c r="W11" t="s">
        <v>588</v>
      </c>
      <c r="X11">
        <v>2</v>
      </c>
      <c r="Y11">
        <v>2</v>
      </c>
      <c r="Z11" t="s">
        <v>41</v>
      </c>
      <c r="AA11" s="1">
        <v>42008</v>
      </c>
      <c r="AB11" s="11">
        <v>4</v>
      </c>
      <c r="AC11" s="11">
        <v>1</v>
      </c>
      <c r="AD11" s="11">
        <v>2015</v>
      </c>
      <c r="AE11" s="13" t="s">
        <v>1915</v>
      </c>
      <c r="AF11" t="s">
        <v>12</v>
      </c>
      <c r="AG11" s="1">
        <v>42019</v>
      </c>
      <c r="AH11" s="11">
        <v>15</v>
      </c>
      <c r="AI11" s="11">
        <v>1</v>
      </c>
      <c r="AJ11" s="11">
        <v>2015</v>
      </c>
      <c r="AK11" s="13" t="s">
        <v>1913</v>
      </c>
      <c r="AL11" t="s">
        <v>12</v>
      </c>
      <c r="AM11" s="1" t="s">
        <v>41</v>
      </c>
      <c r="AN11" t="s">
        <v>8</v>
      </c>
      <c r="AO11" t="s">
        <v>11</v>
      </c>
      <c r="AP11" s="1" t="s">
        <v>588</v>
      </c>
      <c r="AQ11" s="1" t="s">
        <v>588</v>
      </c>
      <c r="AR11" s="1" t="s">
        <v>588</v>
      </c>
      <c r="AS11" s="1" t="s">
        <v>588</v>
      </c>
      <c r="AT11" s="1" t="s">
        <v>588</v>
      </c>
      <c r="AU11" s="1" t="s">
        <v>588</v>
      </c>
      <c r="AV11" s="1" t="s">
        <v>588</v>
      </c>
      <c r="AW11" s="1" t="s">
        <v>588</v>
      </c>
      <c r="AX11" s="1" t="s">
        <v>588</v>
      </c>
      <c r="AY11" s="1" t="s">
        <v>588</v>
      </c>
      <c r="AZ11" s="1" t="s">
        <v>588</v>
      </c>
      <c r="BA11" s="1" t="s">
        <v>588</v>
      </c>
      <c r="BB11" s="1" t="s">
        <v>588</v>
      </c>
      <c r="BC11" s="1" t="s">
        <v>588</v>
      </c>
      <c r="BD11" s="1" t="s">
        <v>588</v>
      </c>
      <c r="BE11" s="1" t="s">
        <v>588</v>
      </c>
      <c r="BF11" s="1" t="s">
        <v>588</v>
      </c>
      <c r="BG11" s="1" t="s">
        <v>588</v>
      </c>
      <c r="BH11" s="1" t="s">
        <v>588</v>
      </c>
      <c r="BI11" s="1" t="s">
        <v>588</v>
      </c>
      <c r="BJ11" s="1" t="s">
        <v>588</v>
      </c>
      <c r="BK11" s="1" t="s">
        <v>588</v>
      </c>
      <c r="BL11" s="1" t="s">
        <v>588</v>
      </c>
      <c r="BM11" s="1" t="s">
        <v>588</v>
      </c>
      <c r="BN11" s="1" t="s">
        <v>588</v>
      </c>
      <c r="BO11" s="1" t="s">
        <v>588</v>
      </c>
      <c r="BP11" s="1" t="s">
        <v>588</v>
      </c>
      <c r="BQ11" s="1" t="s">
        <v>588</v>
      </c>
      <c r="BR11" s="1" t="s">
        <v>588</v>
      </c>
      <c r="BS11" t="s">
        <v>8</v>
      </c>
      <c r="BT11" t="s">
        <v>126</v>
      </c>
      <c r="BU11" t="s">
        <v>126</v>
      </c>
      <c r="BV11" s="1" t="s">
        <v>588</v>
      </c>
      <c r="BW11" s="1" t="s">
        <v>588</v>
      </c>
      <c r="BX11" s="1" t="s">
        <v>588</v>
      </c>
      <c r="BY11" s="1" t="s">
        <v>588</v>
      </c>
      <c r="BZ11" s="1" t="s">
        <v>588</v>
      </c>
    </row>
    <row r="12" spans="1:78" x14ac:dyDescent="0.25">
      <c r="A12">
        <v>201415</v>
      </c>
      <c r="B12" t="s">
        <v>127</v>
      </c>
      <c r="C12" t="s">
        <v>1906</v>
      </c>
      <c r="D12" t="s">
        <v>31</v>
      </c>
      <c r="E12" t="s">
        <v>30</v>
      </c>
      <c r="F12">
        <v>1</v>
      </c>
      <c r="G12" t="s">
        <v>1871</v>
      </c>
      <c r="H12" s="11" t="s">
        <v>2051</v>
      </c>
      <c r="I12" s="8">
        <v>41955</v>
      </c>
      <c r="J12" s="11">
        <v>12</v>
      </c>
      <c r="K12" s="11">
        <v>11</v>
      </c>
      <c r="L12" s="11">
        <v>2014</v>
      </c>
      <c r="M12" s="11" t="s">
        <v>1951</v>
      </c>
      <c r="N12" t="s">
        <v>17</v>
      </c>
      <c r="O12" t="s">
        <v>10</v>
      </c>
      <c r="P12">
        <v>-38.644939000000001</v>
      </c>
      <c r="Q12">
        <v>145.713303</v>
      </c>
      <c r="R12" t="s">
        <v>588</v>
      </c>
      <c r="S12" t="s">
        <v>588</v>
      </c>
      <c r="T12">
        <v>3</v>
      </c>
      <c r="U12">
        <v>3</v>
      </c>
      <c r="V12" s="1" t="s">
        <v>588</v>
      </c>
      <c r="W12" t="s">
        <v>588</v>
      </c>
      <c r="X12">
        <v>6</v>
      </c>
      <c r="Y12">
        <v>6</v>
      </c>
      <c r="Z12" t="s">
        <v>41</v>
      </c>
      <c r="AA12" s="1">
        <v>41969</v>
      </c>
      <c r="AB12" s="11">
        <v>26</v>
      </c>
      <c r="AC12" s="11">
        <v>11</v>
      </c>
      <c r="AD12" s="11">
        <v>2014</v>
      </c>
      <c r="AE12" s="13" t="s">
        <v>1952</v>
      </c>
      <c r="AF12" t="s">
        <v>17</v>
      </c>
      <c r="AG12" s="1">
        <v>41971</v>
      </c>
      <c r="AH12" s="11">
        <v>28</v>
      </c>
      <c r="AI12" s="11">
        <v>11</v>
      </c>
      <c r="AJ12" s="11">
        <v>2014</v>
      </c>
      <c r="AK12" s="13" t="s">
        <v>1914</v>
      </c>
      <c r="AL12" t="s">
        <v>17</v>
      </c>
      <c r="AM12" s="1" t="s">
        <v>41</v>
      </c>
      <c r="AN12" t="s">
        <v>8</v>
      </c>
      <c r="AO12" t="s">
        <v>1615</v>
      </c>
      <c r="AP12" s="1" t="s">
        <v>588</v>
      </c>
      <c r="AQ12" s="1" t="s">
        <v>588</v>
      </c>
      <c r="AR12" s="1" t="s">
        <v>588</v>
      </c>
      <c r="AS12" s="1" t="s">
        <v>588</v>
      </c>
      <c r="AT12" s="1" t="s">
        <v>588</v>
      </c>
      <c r="AU12" s="1" t="s">
        <v>588</v>
      </c>
      <c r="AV12" s="1" t="s">
        <v>588</v>
      </c>
      <c r="AW12" s="1" t="s">
        <v>588</v>
      </c>
      <c r="AX12" s="1" t="s">
        <v>588</v>
      </c>
      <c r="AY12" s="1" t="s">
        <v>588</v>
      </c>
      <c r="AZ12" s="1" t="s">
        <v>588</v>
      </c>
      <c r="BA12" s="1" t="s">
        <v>588</v>
      </c>
      <c r="BB12" s="1" t="s">
        <v>588</v>
      </c>
      <c r="BC12" s="1" t="s">
        <v>588</v>
      </c>
      <c r="BD12" s="1" t="s">
        <v>588</v>
      </c>
      <c r="BE12" s="1" t="s">
        <v>588</v>
      </c>
      <c r="BF12" s="1" t="s">
        <v>588</v>
      </c>
      <c r="BG12" s="1" t="s">
        <v>588</v>
      </c>
      <c r="BH12" s="1" t="s">
        <v>588</v>
      </c>
      <c r="BI12" s="1" t="s">
        <v>588</v>
      </c>
      <c r="BJ12" s="1" t="s">
        <v>588</v>
      </c>
      <c r="BK12" s="1" t="s">
        <v>588</v>
      </c>
      <c r="BL12" s="1" t="s">
        <v>588</v>
      </c>
      <c r="BM12" s="1" t="s">
        <v>588</v>
      </c>
      <c r="BN12" s="1" t="s">
        <v>588</v>
      </c>
      <c r="BO12" s="1" t="s">
        <v>588</v>
      </c>
      <c r="BP12" s="1" t="s">
        <v>588</v>
      </c>
      <c r="BQ12" s="1" t="s">
        <v>588</v>
      </c>
      <c r="BR12" s="1" t="s">
        <v>588</v>
      </c>
      <c r="BS12" t="s">
        <v>8</v>
      </c>
      <c r="BT12" t="s">
        <v>120</v>
      </c>
      <c r="BU12" t="s">
        <v>120</v>
      </c>
      <c r="BV12" s="1" t="s">
        <v>588</v>
      </c>
      <c r="BW12" s="1" t="s">
        <v>588</v>
      </c>
      <c r="BX12" s="1" t="s">
        <v>588</v>
      </c>
      <c r="BY12" s="1" t="s">
        <v>588</v>
      </c>
      <c r="BZ12" s="1" t="s">
        <v>588</v>
      </c>
    </row>
    <row r="13" spans="1:78" x14ac:dyDescent="0.25">
      <c r="A13">
        <v>201415</v>
      </c>
      <c r="B13" t="s">
        <v>127</v>
      </c>
      <c r="C13" t="s">
        <v>1906</v>
      </c>
      <c r="D13" t="s">
        <v>31</v>
      </c>
      <c r="E13" t="s">
        <v>30</v>
      </c>
      <c r="F13">
        <v>2</v>
      </c>
      <c r="G13" t="s">
        <v>1872</v>
      </c>
      <c r="H13" s="11" t="s">
        <v>2052</v>
      </c>
      <c r="I13" s="8">
        <v>41982</v>
      </c>
      <c r="J13" s="11">
        <v>9</v>
      </c>
      <c r="K13" s="11">
        <v>12</v>
      </c>
      <c r="L13" s="11">
        <v>2014</v>
      </c>
      <c r="M13" s="11" t="s">
        <v>1940</v>
      </c>
      <c r="N13" t="s">
        <v>7</v>
      </c>
      <c r="O13" t="s">
        <v>10</v>
      </c>
      <c r="P13">
        <v>-38.646301000000001</v>
      </c>
      <c r="Q13">
        <v>145.71160900000001</v>
      </c>
      <c r="R13" t="s">
        <v>588</v>
      </c>
      <c r="S13" t="s">
        <v>588</v>
      </c>
      <c r="T13">
        <v>3</v>
      </c>
      <c r="U13">
        <v>3</v>
      </c>
      <c r="V13" s="1">
        <v>41984</v>
      </c>
      <c r="W13" t="s">
        <v>223</v>
      </c>
      <c r="X13">
        <v>6</v>
      </c>
      <c r="Y13">
        <v>6</v>
      </c>
      <c r="Z13" t="s">
        <v>41</v>
      </c>
      <c r="AA13" s="1">
        <v>42004</v>
      </c>
      <c r="AB13" s="11">
        <v>31</v>
      </c>
      <c r="AC13" s="11">
        <v>12</v>
      </c>
      <c r="AD13" s="11">
        <v>2014</v>
      </c>
      <c r="AE13" s="13" t="s">
        <v>1912</v>
      </c>
      <c r="AF13" t="s">
        <v>7</v>
      </c>
      <c r="AG13" s="1">
        <v>42008</v>
      </c>
      <c r="AH13" s="11">
        <v>4</v>
      </c>
      <c r="AI13" s="11">
        <v>1</v>
      </c>
      <c r="AJ13" s="11">
        <v>2015</v>
      </c>
      <c r="AK13" s="13" t="s">
        <v>1915</v>
      </c>
      <c r="AL13" t="s">
        <v>12</v>
      </c>
      <c r="AM13" s="1" t="s">
        <v>41</v>
      </c>
      <c r="AN13" t="s">
        <v>8</v>
      </c>
      <c r="AO13" t="s">
        <v>32</v>
      </c>
      <c r="AP13" s="1" t="s">
        <v>588</v>
      </c>
      <c r="AQ13" s="1" t="s">
        <v>588</v>
      </c>
      <c r="AR13" s="1" t="s">
        <v>588</v>
      </c>
      <c r="AS13" s="1" t="s">
        <v>588</v>
      </c>
      <c r="AT13" s="1" t="s">
        <v>588</v>
      </c>
      <c r="AU13" s="1" t="s">
        <v>588</v>
      </c>
      <c r="AV13" s="1" t="s">
        <v>588</v>
      </c>
      <c r="AW13" s="1" t="s">
        <v>588</v>
      </c>
      <c r="AX13" s="1" t="s">
        <v>588</v>
      </c>
      <c r="AY13" s="1" t="s">
        <v>588</v>
      </c>
      <c r="AZ13" s="1" t="s">
        <v>588</v>
      </c>
      <c r="BA13" s="1" t="s">
        <v>588</v>
      </c>
      <c r="BB13" s="1" t="s">
        <v>588</v>
      </c>
      <c r="BC13" s="1" t="s">
        <v>588</v>
      </c>
      <c r="BD13" s="1" t="s">
        <v>588</v>
      </c>
      <c r="BE13" s="1" t="s">
        <v>588</v>
      </c>
      <c r="BF13" s="1" t="s">
        <v>588</v>
      </c>
      <c r="BG13" s="1" t="s">
        <v>588</v>
      </c>
      <c r="BH13" s="1" t="s">
        <v>588</v>
      </c>
      <c r="BI13" s="1" t="s">
        <v>588</v>
      </c>
      <c r="BJ13" s="1" t="s">
        <v>588</v>
      </c>
      <c r="BK13" s="1" t="s">
        <v>588</v>
      </c>
      <c r="BL13" s="1" t="s">
        <v>588</v>
      </c>
      <c r="BM13" s="1" t="s">
        <v>588</v>
      </c>
      <c r="BN13" s="1" t="s">
        <v>588</v>
      </c>
      <c r="BO13" s="1" t="s">
        <v>588</v>
      </c>
      <c r="BP13" s="1" t="s">
        <v>588</v>
      </c>
      <c r="BQ13" s="1" t="s">
        <v>588</v>
      </c>
      <c r="BR13" s="1" t="s">
        <v>588</v>
      </c>
      <c r="BS13" t="s">
        <v>8</v>
      </c>
      <c r="BT13" t="s">
        <v>120</v>
      </c>
      <c r="BU13" t="s">
        <v>120</v>
      </c>
      <c r="BV13" s="1" t="s">
        <v>588</v>
      </c>
      <c r="BW13" s="1" t="s">
        <v>588</v>
      </c>
      <c r="BX13" s="1" t="s">
        <v>588</v>
      </c>
      <c r="BY13" s="1" t="s">
        <v>588</v>
      </c>
      <c r="BZ13" s="1" t="s">
        <v>588</v>
      </c>
    </row>
    <row r="14" spans="1:78" x14ac:dyDescent="0.25">
      <c r="A14">
        <v>201415</v>
      </c>
      <c r="B14" t="s">
        <v>128</v>
      </c>
      <c r="C14" t="s">
        <v>33</v>
      </c>
      <c r="D14" t="s">
        <v>1844</v>
      </c>
      <c r="E14" t="s">
        <v>1844</v>
      </c>
      <c r="F14">
        <v>1</v>
      </c>
      <c r="G14" t="s">
        <v>1873</v>
      </c>
      <c r="H14" s="11" t="s">
        <v>2053</v>
      </c>
      <c r="I14" s="8">
        <v>41978</v>
      </c>
      <c r="J14" s="11">
        <v>5</v>
      </c>
      <c r="K14" s="11">
        <v>12</v>
      </c>
      <c r="L14" s="11">
        <v>2014</v>
      </c>
      <c r="M14" s="11" t="s">
        <v>1943</v>
      </c>
      <c r="N14" t="s">
        <v>7</v>
      </c>
      <c r="O14" t="s">
        <v>10</v>
      </c>
      <c r="P14" t="s">
        <v>588</v>
      </c>
      <c r="Q14" t="s">
        <v>588</v>
      </c>
      <c r="R14" t="s">
        <v>588</v>
      </c>
      <c r="S14" t="s">
        <v>588</v>
      </c>
      <c r="T14">
        <v>3</v>
      </c>
      <c r="U14">
        <v>3</v>
      </c>
      <c r="V14" s="1">
        <v>41973</v>
      </c>
      <c r="W14" t="s">
        <v>219</v>
      </c>
      <c r="X14">
        <v>7</v>
      </c>
      <c r="Y14">
        <v>6</v>
      </c>
      <c r="Z14" t="s">
        <v>8</v>
      </c>
      <c r="AA14" s="1">
        <v>42000</v>
      </c>
      <c r="AB14" s="11">
        <v>27</v>
      </c>
      <c r="AC14" s="11">
        <v>12</v>
      </c>
      <c r="AD14" s="11">
        <v>2014</v>
      </c>
      <c r="AE14" s="13" t="s">
        <v>1955</v>
      </c>
      <c r="AF14" t="s">
        <v>7</v>
      </c>
      <c r="AG14" t="s">
        <v>588</v>
      </c>
      <c r="AH14" s="11" t="s">
        <v>588</v>
      </c>
      <c r="AI14" s="11" t="s">
        <v>588</v>
      </c>
      <c r="AJ14" s="11" t="s">
        <v>588</v>
      </c>
      <c r="AK14" s="13" t="s">
        <v>588</v>
      </c>
      <c r="AL14" t="s">
        <v>588</v>
      </c>
      <c r="AM14" s="1" t="s">
        <v>588</v>
      </c>
      <c r="AN14" t="s">
        <v>588</v>
      </c>
      <c r="AO14" t="s">
        <v>588</v>
      </c>
      <c r="AP14" s="1">
        <v>42001</v>
      </c>
      <c r="AQ14" s="1" t="s">
        <v>7</v>
      </c>
      <c r="AR14" t="s">
        <v>195</v>
      </c>
      <c r="AS14">
        <v>3</v>
      </c>
      <c r="AT14">
        <v>3</v>
      </c>
      <c r="AU14" s="1">
        <v>42001</v>
      </c>
      <c r="AV14" s="1">
        <v>42001</v>
      </c>
      <c r="AW14" s="1" t="s">
        <v>7</v>
      </c>
      <c r="AX14" s="1" t="s">
        <v>41</v>
      </c>
      <c r="AY14" s="1" t="s">
        <v>8</v>
      </c>
      <c r="AZ14" s="1" t="s">
        <v>1848</v>
      </c>
      <c r="BA14" s="1">
        <v>42001</v>
      </c>
      <c r="BB14" s="1">
        <v>42002</v>
      </c>
      <c r="BC14" s="1" t="s">
        <v>7</v>
      </c>
      <c r="BD14" s="1" t="s">
        <v>41</v>
      </c>
      <c r="BE14" s="1" t="s">
        <v>8</v>
      </c>
      <c r="BF14" s="1" t="s">
        <v>1848</v>
      </c>
      <c r="BG14" s="1">
        <v>42001</v>
      </c>
      <c r="BH14" s="1">
        <v>42002</v>
      </c>
      <c r="BI14" s="1" t="s">
        <v>7</v>
      </c>
      <c r="BJ14" s="1" t="s">
        <v>41</v>
      </c>
      <c r="BK14" s="1" t="s">
        <v>8</v>
      </c>
      <c r="BL14" s="1" t="s">
        <v>1848</v>
      </c>
      <c r="BM14">
        <v>2</v>
      </c>
      <c r="BN14">
        <v>2</v>
      </c>
      <c r="BO14" s="1" t="s">
        <v>41</v>
      </c>
      <c r="BP14" s="1" t="s">
        <v>588</v>
      </c>
      <c r="BQ14" s="1" t="s">
        <v>588</v>
      </c>
      <c r="BR14" s="1" t="s">
        <v>588</v>
      </c>
      <c r="BS14" t="s">
        <v>8</v>
      </c>
      <c r="BT14" t="s">
        <v>120</v>
      </c>
      <c r="BU14" t="s">
        <v>120</v>
      </c>
      <c r="BV14" t="s">
        <v>8</v>
      </c>
      <c r="BW14" t="s">
        <v>120</v>
      </c>
      <c r="BX14" t="s">
        <v>120</v>
      </c>
      <c r="BY14" s="1" t="s">
        <v>588</v>
      </c>
      <c r="BZ14" s="1" t="s">
        <v>588</v>
      </c>
    </row>
    <row r="15" spans="1:78" x14ac:dyDescent="0.25">
      <c r="A15">
        <v>201415</v>
      </c>
      <c r="B15" t="s">
        <v>129</v>
      </c>
      <c r="C15" t="s">
        <v>35</v>
      </c>
      <c r="D15" t="s">
        <v>1844</v>
      </c>
      <c r="E15" t="s">
        <v>1844</v>
      </c>
      <c r="F15">
        <v>1</v>
      </c>
      <c r="G15" t="s">
        <v>1874</v>
      </c>
      <c r="H15" s="11" t="s">
        <v>2054</v>
      </c>
      <c r="I15" s="8">
        <v>41985</v>
      </c>
      <c r="J15" s="11">
        <v>12</v>
      </c>
      <c r="K15" s="11">
        <v>12</v>
      </c>
      <c r="L15" s="11">
        <v>2014</v>
      </c>
      <c r="M15" s="11" t="s">
        <v>1957</v>
      </c>
      <c r="N15" t="s">
        <v>7</v>
      </c>
      <c r="O15" t="s">
        <v>36</v>
      </c>
      <c r="P15">
        <v>-38.672393999999997</v>
      </c>
      <c r="Q15">
        <v>145.63992300000001</v>
      </c>
      <c r="R15" t="s">
        <v>588</v>
      </c>
      <c r="S15" t="s">
        <v>588</v>
      </c>
      <c r="T15">
        <v>2</v>
      </c>
      <c r="U15">
        <v>2</v>
      </c>
      <c r="V15" s="1" t="s">
        <v>588</v>
      </c>
      <c r="W15" t="s">
        <v>588</v>
      </c>
      <c r="X15">
        <v>4</v>
      </c>
      <c r="Y15">
        <v>4</v>
      </c>
      <c r="Z15" t="s">
        <v>41</v>
      </c>
      <c r="AA15" s="1">
        <v>41999</v>
      </c>
      <c r="AB15" s="11">
        <v>26</v>
      </c>
      <c r="AC15" s="11">
        <v>12</v>
      </c>
      <c r="AD15" s="11">
        <v>2014</v>
      </c>
      <c r="AE15" s="13" t="s">
        <v>1908</v>
      </c>
      <c r="AF15" t="s">
        <v>7</v>
      </c>
      <c r="AG15" s="1">
        <v>42013</v>
      </c>
      <c r="AH15" s="11">
        <v>9</v>
      </c>
      <c r="AI15" s="11">
        <v>1</v>
      </c>
      <c r="AJ15" s="11">
        <v>2015</v>
      </c>
      <c r="AK15" s="13" t="s">
        <v>1916</v>
      </c>
      <c r="AL15" t="s">
        <v>12</v>
      </c>
      <c r="AM15" s="1" t="s">
        <v>41</v>
      </c>
      <c r="AN15" t="s">
        <v>8</v>
      </c>
      <c r="AO15" s="1" t="s">
        <v>1849</v>
      </c>
      <c r="AP15" s="1" t="s">
        <v>588</v>
      </c>
      <c r="AQ15" s="1" t="s">
        <v>588</v>
      </c>
      <c r="AR15" s="1" t="s">
        <v>588</v>
      </c>
      <c r="AS15" s="1" t="s">
        <v>588</v>
      </c>
      <c r="AT15" s="1" t="s">
        <v>588</v>
      </c>
      <c r="AU15" s="1" t="s">
        <v>588</v>
      </c>
      <c r="AV15" s="1" t="s">
        <v>588</v>
      </c>
      <c r="AW15" s="1" t="s">
        <v>588</v>
      </c>
      <c r="AX15" s="1" t="s">
        <v>588</v>
      </c>
      <c r="AY15" s="1" t="s">
        <v>588</v>
      </c>
      <c r="AZ15" s="1" t="s">
        <v>588</v>
      </c>
      <c r="BA15" s="1" t="s">
        <v>588</v>
      </c>
      <c r="BB15" s="1" t="s">
        <v>588</v>
      </c>
      <c r="BC15" s="1" t="s">
        <v>588</v>
      </c>
      <c r="BD15" s="1" t="s">
        <v>588</v>
      </c>
      <c r="BE15" s="1" t="s">
        <v>588</v>
      </c>
      <c r="BF15" s="1" t="s">
        <v>588</v>
      </c>
      <c r="BG15" s="1" t="s">
        <v>588</v>
      </c>
      <c r="BH15" s="1" t="s">
        <v>588</v>
      </c>
      <c r="BI15" s="1" t="s">
        <v>588</v>
      </c>
      <c r="BJ15" s="1" t="s">
        <v>588</v>
      </c>
      <c r="BK15" s="1" t="s">
        <v>588</v>
      </c>
      <c r="BL15" s="1" t="s">
        <v>588</v>
      </c>
      <c r="BM15" s="1" t="s">
        <v>588</v>
      </c>
      <c r="BN15" s="1" t="s">
        <v>588</v>
      </c>
      <c r="BO15" s="1" t="s">
        <v>588</v>
      </c>
      <c r="BP15" s="1" t="s">
        <v>588</v>
      </c>
      <c r="BQ15" s="1" t="s">
        <v>588</v>
      </c>
      <c r="BR15" s="1" t="s">
        <v>588</v>
      </c>
      <c r="BS15" t="s">
        <v>8</v>
      </c>
      <c r="BT15" t="s">
        <v>120</v>
      </c>
      <c r="BU15" t="s">
        <v>120</v>
      </c>
      <c r="BV15" s="1" t="s">
        <v>588</v>
      </c>
      <c r="BW15" s="1" t="s">
        <v>588</v>
      </c>
      <c r="BX15" s="1" t="s">
        <v>588</v>
      </c>
      <c r="BY15" s="1" t="s">
        <v>588</v>
      </c>
      <c r="BZ15" s="1" t="s">
        <v>588</v>
      </c>
    </row>
    <row r="16" spans="1:78" x14ac:dyDescent="0.25">
      <c r="A16">
        <v>201415</v>
      </c>
      <c r="B16" t="s">
        <v>130</v>
      </c>
      <c r="C16" t="s">
        <v>23</v>
      </c>
      <c r="D16" t="s">
        <v>24</v>
      </c>
      <c r="E16" t="s">
        <v>1845</v>
      </c>
      <c r="F16">
        <v>3</v>
      </c>
      <c r="G16" t="s">
        <v>1875</v>
      </c>
      <c r="H16" s="11" t="s">
        <v>2055</v>
      </c>
      <c r="I16" s="8">
        <v>42043</v>
      </c>
      <c r="J16" s="11">
        <v>8</v>
      </c>
      <c r="K16" s="11">
        <v>2</v>
      </c>
      <c r="L16" s="11">
        <v>2015</v>
      </c>
      <c r="M16" s="11" t="s">
        <v>1958</v>
      </c>
      <c r="N16" t="s">
        <v>21</v>
      </c>
      <c r="O16" t="s">
        <v>10</v>
      </c>
      <c r="P16" t="s">
        <v>588</v>
      </c>
      <c r="Q16" t="s">
        <v>588</v>
      </c>
      <c r="R16" t="s">
        <v>588</v>
      </c>
      <c r="S16" t="s">
        <v>588</v>
      </c>
      <c r="T16">
        <v>2</v>
      </c>
      <c r="U16">
        <v>3</v>
      </c>
      <c r="V16" s="1" t="s">
        <v>588</v>
      </c>
      <c r="W16" t="s">
        <v>588</v>
      </c>
      <c r="X16">
        <v>4</v>
      </c>
      <c r="Y16">
        <v>4</v>
      </c>
      <c r="Z16" t="s">
        <v>8</v>
      </c>
      <c r="AA16" s="1">
        <v>42057</v>
      </c>
      <c r="AB16" s="11">
        <v>22</v>
      </c>
      <c r="AC16" s="11">
        <v>2</v>
      </c>
      <c r="AD16" s="11">
        <v>2015</v>
      </c>
      <c r="AE16" s="13" t="s">
        <v>1959</v>
      </c>
      <c r="AF16" t="s">
        <v>21</v>
      </c>
      <c r="AG16" s="1" t="s">
        <v>588</v>
      </c>
      <c r="AH16" s="11" t="s">
        <v>588</v>
      </c>
      <c r="AI16" s="11" t="s">
        <v>588</v>
      </c>
      <c r="AJ16" s="11" t="s">
        <v>588</v>
      </c>
      <c r="AK16" s="13" t="s">
        <v>588</v>
      </c>
      <c r="AL16" t="s">
        <v>588</v>
      </c>
      <c r="AM16" s="1" t="s">
        <v>588</v>
      </c>
      <c r="AN16" t="s">
        <v>588</v>
      </c>
      <c r="AO16" s="1" t="s">
        <v>588</v>
      </c>
      <c r="AP16" s="1">
        <v>42066</v>
      </c>
      <c r="AQ16" s="1" t="s">
        <v>22</v>
      </c>
      <c r="AR16" t="s">
        <v>195</v>
      </c>
      <c r="AS16">
        <v>1</v>
      </c>
      <c r="AT16">
        <v>2</v>
      </c>
      <c r="AU16" s="1">
        <v>42086</v>
      </c>
      <c r="AV16" s="1">
        <v>42096</v>
      </c>
      <c r="AW16" s="1" t="s">
        <v>72</v>
      </c>
      <c r="AX16" s="1" t="s">
        <v>41</v>
      </c>
      <c r="AY16" s="1" t="s">
        <v>41</v>
      </c>
      <c r="AZ16" s="1" t="s">
        <v>20</v>
      </c>
      <c r="BA16" s="1" t="s">
        <v>588</v>
      </c>
      <c r="BB16" s="1" t="s">
        <v>588</v>
      </c>
      <c r="BC16" s="1" t="s">
        <v>588</v>
      </c>
      <c r="BD16" s="1" t="s">
        <v>588</v>
      </c>
      <c r="BE16" s="1" t="s">
        <v>588</v>
      </c>
      <c r="BF16" s="1" t="s">
        <v>588</v>
      </c>
      <c r="BG16" s="1" t="s">
        <v>588</v>
      </c>
      <c r="BH16" s="1" t="s">
        <v>588</v>
      </c>
      <c r="BI16" s="1" t="s">
        <v>588</v>
      </c>
      <c r="BJ16" s="1" t="s">
        <v>588</v>
      </c>
      <c r="BK16" s="1" t="s">
        <v>588</v>
      </c>
      <c r="BL16" s="1" t="s">
        <v>588</v>
      </c>
      <c r="BM16">
        <v>7</v>
      </c>
      <c r="BN16">
        <v>7</v>
      </c>
      <c r="BO16" s="1" t="s">
        <v>41</v>
      </c>
      <c r="BP16" s="1" t="s">
        <v>588</v>
      </c>
      <c r="BQ16" s="1" t="s">
        <v>588</v>
      </c>
      <c r="BR16" s="1" t="s">
        <v>588</v>
      </c>
      <c r="BS16" t="s">
        <v>8</v>
      </c>
      <c r="BT16" t="s">
        <v>120</v>
      </c>
      <c r="BU16" t="s">
        <v>120</v>
      </c>
      <c r="BV16" t="s">
        <v>8</v>
      </c>
      <c r="BW16" t="s">
        <v>120</v>
      </c>
      <c r="BX16" t="s">
        <v>120</v>
      </c>
      <c r="BY16" s="1" t="s">
        <v>588</v>
      </c>
      <c r="BZ16" s="1" t="s">
        <v>588</v>
      </c>
    </row>
    <row r="17" spans="1:78" x14ac:dyDescent="0.25">
      <c r="A17">
        <v>201415</v>
      </c>
      <c r="B17" t="s">
        <v>131</v>
      </c>
      <c r="C17" t="s">
        <v>37</v>
      </c>
      <c r="D17" t="s">
        <v>38</v>
      </c>
      <c r="E17" t="s">
        <v>1844</v>
      </c>
      <c r="F17">
        <v>1</v>
      </c>
      <c r="G17" t="s">
        <v>1876</v>
      </c>
      <c r="H17" s="11" t="s">
        <v>2056</v>
      </c>
      <c r="I17" s="8">
        <v>41976</v>
      </c>
      <c r="J17" s="11">
        <v>3</v>
      </c>
      <c r="K17" s="11">
        <v>12</v>
      </c>
      <c r="L17" s="11">
        <v>2014</v>
      </c>
      <c r="M17" s="11" t="s">
        <v>1937</v>
      </c>
      <c r="N17" t="s">
        <v>7</v>
      </c>
      <c r="O17" t="s">
        <v>10</v>
      </c>
      <c r="P17">
        <v>-38.656551</v>
      </c>
      <c r="Q17">
        <v>145.574738</v>
      </c>
      <c r="R17" t="s">
        <v>588</v>
      </c>
      <c r="S17" t="s">
        <v>588</v>
      </c>
      <c r="T17">
        <v>3</v>
      </c>
      <c r="U17">
        <v>3</v>
      </c>
      <c r="V17" s="1" t="s">
        <v>588</v>
      </c>
      <c r="W17" t="s">
        <v>588</v>
      </c>
      <c r="X17">
        <v>9</v>
      </c>
      <c r="Y17">
        <v>9</v>
      </c>
      <c r="Z17" t="s">
        <v>41</v>
      </c>
      <c r="AA17" s="1">
        <v>42002</v>
      </c>
      <c r="AB17" s="11">
        <v>29</v>
      </c>
      <c r="AC17" s="11">
        <v>12</v>
      </c>
      <c r="AD17" s="11">
        <v>2014</v>
      </c>
      <c r="AE17" s="13" t="s">
        <v>1961</v>
      </c>
      <c r="AF17" t="s">
        <v>7</v>
      </c>
      <c r="AG17" s="1">
        <v>42006</v>
      </c>
      <c r="AH17" s="11">
        <v>2</v>
      </c>
      <c r="AI17" s="11">
        <v>1</v>
      </c>
      <c r="AJ17" s="11">
        <v>2015</v>
      </c>
      <c r="AK17" s="13" t="s">
        <v>1917</v>
      </c>
      <c r="AL17" t="s">
        <v>12</v>
      </c>
      <c r="AM17" s="1" t="s">
        <v>1850</v>
      </c>
      <c r="AN17" t="s">
        <v>8</v>
      </c>
      <c r="AO17" s="1" t="s">
        <v>588</v>
      </c>
      <c r="AP17" s="1" t="s">
        <v>588</v>
      </c>
      <c r="AQ17" s="1" t="s">
        <v>588</v>
      </c>
      <c r="AR17" s="1" t="s">
        <v>588</v>
      </c>
      <c r="AS17" s="1" t="s">
        <v>588</v>
      </c>
      <c r="AT17" s="1" t="s">
        <v>588</v>
      </c>
      <c r="AU17" s="1" t="s">
        <v>588</v>
      </c>
      <c r="AV17" s="1" t="s">
        <v>588</v>
      </c>
      <c r="AW17" s="1" t="s">
        <v>588</v>
      </c>
      <c r="AX17" s="1" t="s">
        <v>588</v>
      </c>
      <c r="AY17" s="1" t="s">
        <v>588</v>
      </c>
      <c r="AZ17" s="1" t="s">
        <v>588</v>
      </c>
      <c r="BA17" s="1" t="s">
        <v>588</v>
      </c>
      <c r="BB17" s="1" t="s">
        <v>588</v>
      </c>
      <c r="BC17" s="1" t="s">
        <v>588</v>
      </c>
      <c r="BD17" s="1" t="s">
        <v>588</v>
      </c>
      <c r="BE17" s="1" t="s">
        <v>588</v>
      </c>
      <c r="BF17" s="1" t="s">
        <v>588</v>
      </c>
      <c r="BG17" s="1" t="s">
        <v>588</v>
      </c>
      <c r="BH17" s="1" t="s">
        <v>588</v>
      </c>
      <c r="BI17" s="1" t="s">
        <v>588</v>
      </c>
      <c r="BJ17" s="1" t="s">
        <v>588</v>
      </c>
      <c r="BK17" s="1" t="s">
        <v>588</v>
      </c>
      <c r="BL17" s="1" t="s">
        <v>588</v>
      </c>
      <c r="BM17" s="1" t="s">
        <v>588</v>
      </c>
      <c r="BN17" s="1" t="s">
        <v>588</v>
      </c>
      <c r="BO17" s="1" t="s">
        <v>588</v>
      </c>
      <c r="BP17" s="1" t="s">
        <v>588</v>
      </c>
      <c r="BQ17" s="1" t="s">
        <v>588</v>
      </c>
      <c r="BR17" s="1" t="s">
        <v>588</v>
      </c>
      <c r="BS17" t="s">
        <v>8</v>
      </c>
      <c r="BT17" t="s">
        <v>120</v>
      </c>
      <c r="BU17" t="s">
        <v>120</v>
      </c>
      <c r="BV17" s="1" t="s">
        <v>588</v>
      </c>
      <c r="BW17" s="1" t="s">
        <v>588</v>
      </c>
      <c r="BX17" s="1" t="s">
        <v>588</v>
      </c>
      <c r="BY17" s="1" t="s">
        <v>588</v>
      </c>
      <c r="BZ17" s="1" t="s">
        <v>588</v>
      </c>
    </row>
    <row r="18" spans="1:78" x14ac:dyDescent="0.25">
      <c r="A18">
        <v>201415</v>
      </c>
      <c r="B18" t="s">
        <v>131</v>
      </c>
      <c r="C18" t="s">
        <v>37</v>
      </c>
      <c r="D18" t="s">
        <v>38</v>
      </c>
      <c r="E18" t="s">
        <v>1844</v>
      </c>
      <c r="F18">
        <v>2</v>
      </c>
      <c r="G18" t="s">
        <v>1877</v>
      </c>
      <c r="H18" s="11" t="s">
        <v>2057</v>
      </c>
      <c r="I18" s="8">
        <v>42016</v>
      </c>
      <c r="J18" s="11">
        <v>12</v>
      </c>
      <c r="K18" s="11">
        <v>1</v>
      </c>
      <c r="L18" s="11">
        <v>2015</v>
      </c>
      <c r="M18" s="11" t="s">
        <v>1963</v>
      </c>
      <c r="N18" t="s">
        <v>12</v>
      </c>
      <c r="O18" t="s">
        <v>10</v>
      </c>
      <c r="P18" t="s">
        <v>588</v>
      </c>
      <c r="Q18" t="s">
        <v>588</v>
      </c>
      <c r="R18" t="s">
        <v>588</v>
      </c>
      <c r="S18" t="s">
        <v>588</v>
      </c>
      <c r="T18">
        <v>2</v>
      </c>
      <c r="U18">
        <v>3</v>
      </c>
      <c r="V18" s="1" t="s">
        <v>588</v>
      </c>
      <c r="W18" t="s">
        <v>588</v>
      </c>
      <c r="X18">
        <v>2</v>
      </c>
      <c r="Y18">
        <v>2</v>
      </c>
      <c r="Z18" t="s">
        <v>41</v>
      </c>
      <c r="AA18" s="1">
        <v>42016</v>
      </c>
      <c r="AB18" s="11">
        <v>12</v>
      </c>
      <c r="AC18" s="11">
        <v>1</v>
      </c>
      <c r="AD18" s="11">
        <v>2015</v>
      </c>
      <c r="AE18" s="13" t="s">
        <v>1963</v>
      </c>
      <c r="AF18" t="s">
        <v>12</v>
      </c>
      <c r="AG18" s="1">
        <v>42027</v>
      </c>
      <c r="AH18" s="11">
        <v>23</v>
      </c>
      <c r="AI18" s="11">
        <v>1</v>
      </c>
      <c r="AJ18" s="11">
        <v>2015</v>
      </c>
      <c r="AK18" s="13" t="s">
        <v>1918</v>
      </c>
      <c r="AL18" t="s">
        <v>12</v>
      </c>
      <c r="AM18" s="1" t="s">
        <v>41</v>
      </c>
      <c r="AN18" t="s">
        <v>41</v>
      </c>
      <c r="AO18" s="1" t="s">
        <v>20</v>
      </c>
      <c r="AP18" s="1" t="s">
        <v>588</v>
      </c>
      <c r="AQ18" s="1" t="s">
        <v>588</v>
      </c>
      <c r="AR18" s="1" t="s">
        <v>588</v>
      </c>
      <c r="AS18" s="1" t="s">
        <v>588</v>
      </c>
      <c r="AT18" s="1" t="s">
        <v>588</v>
      </c>
      <c r="AU18" s="1" t="s">
        <v>588</v>
      </c>
      <c r="AV18" s="1" t="s">
        <v>588</v>
      </c>
      <c r="AW18" s="1" t="s">
        <v>588</v>
      </c>
      <c r="AX18" s="1" t="s">
        <v>588</v>
      </c>
      <c r="AY18" s="1" t="s">
        <v>588</v>
      </c>
      <c r="AZ18" s="1" t="s">
        <v>588</v>
      </c>
      <c r="BA18" s="1" t="s">
        <v>588</v>
      </c>
      <c r="BB18" s="1" t="s">
        <v>588</v>
      </c>
      <c r="BC18" s="1" t="s">
        <v>588</v>
      </c>
      <c r="BD18" s="1" t="s">
        <v>588</v>
      </c>
      <c r="BE18" s="1" t="s">
        <v>588</v>
      </c>
      <c r="BF18" s="1" t="s">
        <v>588</v>
      </c>
      <c r="BG18" s="1" t="s">
        <v>588</v>
      </c>
      <c r="BH18" s="1" t="s">
        <v>588</v>
      </c>
      <c r="BI18" s="1" t="s">
        <v>588</v>
      </c>
      <c r="BJ18" s="1" t="s">
        <v>588</v>
      </c>
      <c r="BK18" s="1" t="s">
        <v>588</v>
      </c>
      <c r="BL18" s="1" t="s">
        <v>588</v>
      </c>
      <c r="BM18" s="1" t="s">
        <v>588</v>
      </c>
      <c r="BN18" s="1" t="s">
        <v>588</v>
      </c>
      <c r="BO18" s="1" t="s">
        <v>588</v>
      </c>
      <c r="BP18" s="1" t="s">
        <v>588</v>
      </c>
      <c r="BQ18" s="1" t="s">
        <v>588</v>
      </c>
      <c r="BR18" s="1" t="s">
        <v>588</v>
      </c>
      <c r="BS18" t="s">
        <v>8</v>
      </c>
      <c r="BT18" t="s">
        <v>120</v>
      </c>
      <c r="BU18" t="s">
        <v>120</v>
      </c>
      <c r="BV18" s="1" t="s">
        <v>588</v>
      </c>
      <c r="BW18" s="1" t="s">
        <v>588</v>
      </c>
      <c r="BX18" s="1" t="s">
        <v>588</v>
      </c>
      <c r="BY18" s="1" t="s">
        <v>588</v>
      </c>
      <c r="BZ18" s="1" t="s">
        <v>588</v>
      </c>
    </row>
    <row r="19" spans="1:78" x14ac:dyDescent="0.25">
      <c r="A19">
        <v>201415</v>
      </c>
      <c r="B19" t="s">
        <v>131</v>
      </c>
      <c r="C19" t="s">
        <v>37</v>
      </c>
      <c r="D19" t="s">
        <v>38</v>
      </c>
      <c r="E19" t="s">
        <v>1844</v>
      </c>
      <c r="F19">
        <v>3</v>
      </c>
      <c r="G19" t="s">
        <v>1878</v>
      </c>
      <c r="H19" s="11" t="s">
        <v>2058</v>
      </c>
      <c r="I19" s="8">
        <v>42037</v>
      </c>
      <c r="J19" s="11">
        <v>2</v>
      </c>
      <c r="K19" s="11">
        <v>2</v>
      </c>
      <c r="L19" s="11">
        <v>2015</v>
      </c>
      <c r="M19" s="11" t="s">
        <v>1964</v>
      </c>
      <c r="N19" t="s">
        <v>21</v>
      </c>
      <c r="O19" t="s">
        <v>10</v>
      </c>
      <c r="P19">
        <v>-38.658378999999996</v>
      </c>
      <c r="Q19">
        <v>145.573654</v>
      </c>
      <c r="R19" t="s">
        <v>588</v>
      </c>
      <c r="S19" t="s">
        <v>588</v>
      </c>
      <c r="T19">
        <v>3</v>
      </c>
      <c r="U19">
        <v>3</v>
      </c>
      <c r="V19" s="1">
        <v>42010</v>
      </c>
      <c r="W19" t="s">
        <v>223</v>
      </c>
      <c r="X19">
        <v>4</v>
      </c>
      <c r="Y19">
        <v>4</v>
      </c>
      <c r="Z19" t="s">
        <v>41</v>
      </c>
      <c r="AA19" s="1">
        <v>42048</v>
      </c>
      <c r="AB19" s="11">
        <v>13</v>
      </c>
      <c r="AC19" s="11">
        <v>2</v>
      </c>
      <c r="AD19" s="11">
        <v>2015</v>
      </c>
      <c r="AE19" s="13" t="s">
        <v>1930</v>
      </c>
      <c r="AF19" t="s">
        <v>21</v>
      </c>
      <c r="AG19" s="1">
        <v>42053</v>
      </c>
      <c r="AH19" s="11">
        <v>18</v>
      </c>
      <c r="AI19" s="11">
        <v>2</v>
      </c>
      <c r="AJ19" s="11">
        <v>2015</v>
      </c>
      <c r="AK19" s="13" t="s">
        <v>1919</v>
      </c>
      <c r="AL19" t="s">
        <v>21</v>
      </c>
      <c r="AM19" s="1" t="s">
        <v>41</v>
      </c>
      <c r="AN19" t="s">
        <v>8</v>
      </c>
      <c r="AO19" t="s">
        <v>32</v>
      </c>
      <c r="AP19" s="1" t="s">
        <v>588</v>
      </c>
      <c r="AQ19" s="1" t="s">
        <v>588</v>
      </c>
      <c r="AR19" s="1" t="s">
        <v>588</v>
      </c>
      <c r="AS19" s="1" t="s">
        <v>588</v>
      </c>
      <c r="AT19" s="1" t="s">
        <v>588</v>
      </c>
      <c r="AU19" s="1" t="s">
        <v>588</v>
      </c>
      <c r="AV19" s="1" t="s">
        <v>588</v>
      </c>
      <c r="AW19" s="1" t="s">
        <v>588</v>
      </c>
      <c r="AX19" s="1" t="s">
        <v>588</v>
      </c>
      <c r="AY19" s="1" t="s">
        <v>588</v>
      </c>
      <c r="AZ19" s="1" t="s">
        <v>588</v>
      </c>
      <c r="BA19" s="1" t="s">
        <v>588</v>
      </c>
      <c r="BB19" s="1" t="s">
        <v>588</v>
      </c>
      <c r="BC19" s="1" t="s">
        <v>588</v>
      </c>
      <c r="BD19" s="1" t="s">
        <v>588</v>
      </c>
      <c r="BE19" s="1" t="s">
        <v>588</v>
      </c>
      <c r="BF19" s="1" t="s">
        <v>588</v>
      </c>
      <c r="BG19" s="1" t="s">
        <v>588</v>
      </c>
      <c r="BH19" s="1" t="s">
        <v>588</v>
      </c>
      <c r="BI19" s="1" t="s">
        <v>588</v>
      </c>
      <c r="BJ19" s="1" t="s">
        <v>588</v>
      </c>
      <c r="BK19" s="1" t="s">
        <v>588</v>
      </c>
      <c r="BL19" s="1" t="s">
        <v>588</v>
      </c>
      <c r="BM19" s="1" t="s">
        <v>588</v>
      </c>
      <c r="BN19" s="1" t="s">
        <v>588</v>
      </c>
      <c r="BO19" s="1" t="s">
        <v>588</v>
      </c>
      <c r="BP19" s="1" t="s">
        <v>588</v>
      </c>
      <c r="BQ19" s="1" t="s">
        <v>588</v>
      </c>
      <c r="BR19" s="1" t="s">
        <v>588</v>
      </c>
      <c r="BS19" t="s">
        <v>8</v>
      </c>
      <c r="BT19" t="s">
        <v>120</v>
      </c>
      <c r="BU19" t="s">
        <v>120</v>
      </c>
      <c r="BV19" s="1" t="s">
        <v>588</v>
      </c>
      <c r="BW19" s="1" t="s">
        <v>588</v>
      </c>
      <c r="BX19" s="1" t="s">
        <v>588</v>
      </c>
      <c r="BY19" s="1" t="s">
        <v>588</v>
      </c>
      <c r="BZ19" s="1" t="s">
        <v>588</v>
      </c>
    </row>
    <row r="20" spans="1:78" x14ac:dyDescent="0.25">
      <c r="A20">
        <v>201415</v>
      </c>
      <c r="B20" t="s">
        <v>132</v>
      </c>
      <c r="C20" t="s">
        <v>43</v>
      </c>
      <c r="D20" t="s">
        <v>1844</v>
      </c>
      <c r="E20" t="s">
        <v>1844</v>
      </c>
      <c r="F20">
        <v>1</v>
      </c>
      <c r="G20" t="s">
        <v>1879</v>
      </c>
      <c r="H20" s="11" t="s">
        <v>2059</v>
      </c>
      <c r="I20" s="8">
        <v>41932</v>
      </c>
      <c r="J20" s="11">
        <v>20</v>
      </c>
      <c r="K20" s="11">
        <v>10</v>
      </c>
      <c r="L20" s="11">
        <v>2014</v>
      </c>
      <c r="M20" s="11" t="s">
        <v>1966</v>
      </c>
      <c r="N20" t="s">
        <v>29</v>
      </c>
      <c r="O20" t="s">
        <v>36</v>
      </c>
      <c r="P20">
        <v>-38.730983999999999</v>
      </c>
      <c r="Q20">
        <v>145.536362</v>
      </c>
      <c r="R20" t="s">
        <v>588</v>
      </c>
      <c r="S20" t="s">
        <v>588</v>
      </c>
      <c r="T20">
        <v>3</v>
      </c>
      <c r="U20">
        <v>3</v>
      </c>
      <c r="V20" s="1" t="s">
        <v>588</v>
      </c>
      <c r="W20" t="s">
        <v>588</v>
      </c>
      <c r="X20">
        <v>3</v>
      </c>
      <c r="Y20">
        <v>3</v>
      </c>
      <c r="Z20" t="s">
        <v>8</v>
      </c>
      <c r="AA20" s="1">
        <v>41949</v>
      </c>
      <c r="AB20" s="11">
        <v>6</v>
      </c>
      <c r="AC20" s="11">
        <v>11</v>
      </c>
      <c r="AD20" s="11">
        <v>2014</v>
      </c>
      <c r="AE20" s="13" t="s">
        <v>1967</v>
      </c>
      <c r="AF20" t="s">
        <v>17</v>
      </c>
      <c r="AG20" s="1" t="s">
        <v>588</v>
      </c>
      <c r="AH20" s="11" t="s">
        <v>588</v>
      </c>
      <c r="AI20" s="11" t="s">
        <v>588</v>
      </c>
      <c r="AJ20" s="11" t="s">
        <v>588</v>
      </c>
      <c r="AK20" s="13" t="s">
        <v>588</v>
      </c>
      <c r="AL20" t="s">
        <v>588</v>
      </c>
      <c r="AM20" s="1" t="s">
        <v>588</v>
      </c>
      <c r="AN20" t="s">
        <v>588</v>
      </c>
      <c r="AO20" s="1" t="s">
        <v>588</v>
      </c>
      <c r="AP20" s="1">
        <v>41954</v>
      </c>
      <c r="AQ20" s="1" t="s">
        <v>17</v>
      </c>
      <c r="AR20" t="s">
        <v>195</v>
      </c>
      <c r="AS20">
        <v>1</v>
      </c>
      <c r="AT20">
        <v>3</v>
      </c>
      <c r="AU20" s="1">
        <v>41954</v>
      </c>
      <c r="AV20" s="1">
        <v>41956</v>
      </c>
      <c r="AW20" s="1" t="s">
        <v>17</v>
      </c>
      <c r="AX20" s="1" t="s">
        <v>41</v>
      </c>
      <c r="AY20" s="1" t="s">
        <v>8</v>
      </c>
      <c r="AZ20" s="1" t="s">
        <v>48</v>
      </c>
      <c r="BA20" s="1" t="s">
        <v>588</v>
      </c>
      <c r="BB20" s="1" t="s">
        <v>588</v>
      </c>
      <c r="BC20" s="1" t="s">
        <v>588</v>
      </c>
      <c r="BD20" s="1" t="s">
        <v>588</v>
      </c>
      <c r="BE20" s="1" t="s">
        <v>588</v>
      </c>
      <c r="BF20" s="1" t="s">
        <v>588</v>
      </c>
      <c r="BG20" s="1" t="s">
        <v>588</v>
      </c>
      <c r="BH20" s="1" t="s">
        <v>588</v>
      </c>
      <c r="BI20" s="1" t="s">
        <v>588</v>
      </c>
      <c r="BJ20" s="1" t="s">
        <v>588</v>
      </c>
      <c r="BK20" s="1" t="s">
        <v>588</v>
      </c>
      <c r="BL20" s="1" t="s">
        <v>588</v>
      </c>
      <c r="BM20">
        <v>2</v>
      </c>
      <c r="BN20">
        <v>2</v>
      </c>
      <c r="BO20" s="1" t="s">
        <v>41</v>
      </c>
      <c r="BP20" s="1" t="s">
        <v>588</v>
      </c>
      <c r="BQ20" s="1" t="s">
        <v>588</v>
      </c>
      <c r="BR20" s="1" t="s">
        <v>588</v>
      </c>
      <c r="BS20" t="s">
        <v>41</v>
      </c>
      <c r="BT20" t="s">
        <v>42</v>
      </c>
      <c r="BU20" t="s">
        <v>42</v>
      </c>
      <c r="BV20" t="s">
        <v>41</v>
      </c>
      <c r="BW20" t="s">
        <v>42</v>
      </c>
      <c r="BX20" t="s">
        <v>42</v>
      </c>
      <c r="BY20" s="1" t="s">
        <v>588</v>
      </c>
      <c r="BZ20" s="1" t="s">
        <v>588</v>
      </c>
    </row>
    <row r="21" spans="1:78" x14ac:dyDescent="0.25">
      <c r="A21">
        <v>201415</v>
      </c>
      <c r="B21" t="s">
        <v>45</v>
      </c>
      <c r="C21" t="s">
        <v>45</v>
      </c>
      <c r="D21" t="s">
        <v>1844</v>
      </c>
      <c r="E21" t="s">
        <v>1844</v>
      </c>
      <c r="F21">
        <v>1</v>
      </c>
      <c r="G21" t="s">
        <v>1880</v>
      </c>
      <c r="H21" s="11" t="s">
        <v>2060</v>
      </c>
      <c r="I21" s="8">
        <v>42013</v>
      </c>
      <c r="J21" s="11">
        <v>9</v>
      </c>
      <c r="K21" s="11">
        <v>1</v>
      </c>
      <c r="L21" s="11">
        <v>2015</v>
      </c>
      <c r="M21" s="11" t="s">
        <v>1916</v>
      </c>
      <c r="N21" t="s">
        <v>12</v>
      </c>
      <c r="O21" t="s">
        <v>10</v>
      </c>
      <c r="P21">
        <v>-38.401000000000003</v>
      </c>
      <c r="Q21">
        <v>145.35359</v>
      </c>
      <c r="R21" t="s">
        <v>588</v>
      </c>
      <c r="S21" t="s">
        <v>588</v>
      </c>
      <c r="T21">
        <v>2</v>
      </c>
      <c r="U21">
        <v>3</v>
      </c>
      <c r="V21" s="1" t="s">
        <v>588</v>
      </c>
      <c r="W21" t="s">
        <v>588</v>
      </c>
      <c r="X21">
        <v>2</v>
      </c>
      <c r="Y21">
        <v>2</v>
      </c>
      <c r="Z21" t="s">
        <v>41</v>
      </c>
      <c r="AA21" s="1">
        <v>42013</v>
      </c>
      <c r="AB21" s="11">
        <v>9</v>
      </c>
      <c r="AC21" s="11">
        <v>1</v>
      </c>
      <c r="AD21" s="11">
        <v>2015</v>
      </c>
      <c r="AE21" s="13" t="s">
        <v>1916</v>
      </c>
      <c r="AF21" t="s">
        <v>12</v>
      </c>
      <c r="AG21" s="1">
        <v>42024</v>
      </c>
      <c r="AH21" s="11">
        <v>20</v>
      </c>
      <c r="AI21" s="11">
        <v>1</v>
      </c>
      <c r="AJ21" s="11">
        <v>2015</v>
      </c>
      <c r="AK21" s="13" t="s">
        <v>1920</v>
      </c>
      <c r="AL21" t="s">
        <v>12</v>
      </c>
      <c r="AM21" s="1" t="s">
        <v>41</v>
      </c>
      <c r="AN21" t="s">
        <v>41</v>
      </c>
      <c r="AO21" s="1" t="s">
        <v>20</v>
      </c>
      <c r="AP21" s="1" t="s">
        <v>588</v>
      </c>
      <c r="AQ21" s="1" t="s">
        <v>588</v>
      </c>
      <c r="AR21" s="1" t="s">
        <v>588</v>
      </c>
      <c r="AS21" s="1" t="s">
        <v>588</v>
      </c>
      <c r="AT21" s="1" t="s">
        <v>588</v>
      </c>
      <c r="AU21" s="1" t="s">
        <v>588</v>
      </c>
      <c r="AV21" s="1" t="s">
        <v>588</v>
      </c>
      <c r="AW21" s="1" t="s">
        <v>588</v>
      </c>
      <c r="AX21" s="1" t="s">
        <v>588</v>
      </c>
      <c r="AY21" s="1" t="s">
        <v>588</v>
      </c>
      <c r="AZ21" s="1" t="s">
        <v>588</v>
      </c>
      <c r="BA21" s="1" t="s">
        <v>588</v>
      </c>
      <c r="BB21" s="1" t="s">
        <v>588</v>
      </c>
      <c r="BC21" s="1" t="s">
        <v>588</v>
      </c>
      <c r="BD21" s="1" t="s">
        <v>588</v>
      </c>
      <c r="BE21" s="1" t="s">
        <v>588</v>
      </c>
      <c r="BF21" s="1" t="s">
        <v>588</v>
      </c>
      <c r="BG21" s="1" t="s">
        <v>588</v>
      </c>
      <c r="BH21" s="1" t="s">
        <v>588</v>
      </c>
      <c r="BI21" s="1" t="s">
        <v>588</v>
      </c>
      <c r="BJ21" s="1" t="s">
        <v>588</v>
      </c>
      <c r="BK21" s="1" t="s">
        <v>588</v>
      </c>
      <c r="BL21" s="1" t="s">
        <v>588</v>
      </c>
      <c r="BM21" s="1" t="s">
        <v>588</v>
      </c>
      <c r="BN21" s="1" t="s">
        <v>588</v>
      </c>
      <c r="BO21" s="1" t="s">
        <v>588</v>
      </c>
      <c r="BP21" s="1" t="s">
        <v>588</v>
      </c>
      <c r="BQ21" s="1" t="s">
        <v>588</v>
      </c>
      <c r="BR21" s="1" t="s">
        <v>588</v>
      </c>
      <c r="BS21" t="s">
        <v>41</v>
      </c>
      <c r="BT21" t="s">
        <v>42</v>
      </c>
      <c r="BU21" t="s">
        <v>42</v>
      </c>
      <c r="BV21" s="1" t="s">
        <v>588</v>
      </c>
      <c r="BW21" s="1" t="s">
        <v>588</v>
      </c>
      <c r="BX21" s="1" t="s">
        <v>588</v>
      </c>
      <c r="BY21" s="1" t="s">
        <v>588</v>
      </c>
      <c r="BZ21" s="1" t="s">
        <v>588</v>
      </c>
    </row>
    <row r="22" spans="1:78" x14ac:dyDescent="0.25">
      <c r="A22">
        <v>201415</v>
      </c>
      <c r="B22" t="s">
        <v>578</v>
      </c>
      <c r="C22" t="s">
        <v>242</v>
      </c>
      <c r="D22" t="s">
        <v>1851</v>
      </c>
      <c r="E22" t="s">
        <v>1844</v>
      </c>
      <c r="F22">
        <v>1</v>
      </c>
      <c r="G22" t="s">
        <v>1881</v>
      </c>
      <c r="H22" s="11" t="s">
        <v>2061</v>
      </c>
      <c r="I22" s="1">
        <v>41937</v>
      </c>
      <c r="J22" s="11">
        <v>25</v>
      </c>
      <c r="K22" s="11">
        <v>10</v>
      </c>
      <c r="L22" s="11">
        <v>2014</v>
      </c>
      <c r="M22" s="11" t="s">
        <v>1969</v>
      </c>
      <c r="N22" t="s">
        <v>29</v>
      </c>
      <c r="O22" t="s">
        <v>10</v>
      </c>
      <c r="P22" t="s">
        <v>588</v>
      </c>
      <c r="Q22" t="s">
        <v>588</v>
      </c>
      <c r="R22" t="s">
        <v>588</v>
      </c>
      <c r="S22" t="s">
        <v>588</v>
      </c>
      <c r="T22">
        <v>2</v>
      </c>
      <c r="U22">
        <v>3</v>
      </c>
      <c r="V22" t="s">
        <v>588</v>
      </c>
      <c r="W22" t="s">
        <v>588</v>
      </c>
      <c r="X22">
        <v>2</v>
      </c>
      <c r="Y22">
        <v>2</v>
      </c>
      <c r="Z22" t="s">
        <v>41</v>
      </c>
      <c r="AA22" s="1">
        <v>41937</v>
      </c>
      <c r="AB22" s="11">
        <v>25</v>
      </c>
      <c r="AC22" s="11">
        <v>10</v>
      </c>
      <c r="AD22" s="11">
        <v>2014</v>
      </c>
      <c r="AE22" s="13" t="s">
        <v>1969</v>
      </c>
      <c r="AF22" t="s">
        <v>29</v>
      </c>
      <c r="AG22" s="1">
        <v>41954</v>
      </c>
      <c r="AH22" s="11">
        <v>11</v>
      </c>
      <c r="AI22" s="11">
        <v>11</v>
      </c>
      <c r="AJ22" s="11">
        <v>2014</v>
      </c>
      <c r="AK22" s="13" t="s">
        <v>1921</v>
      </c>
      <c r="AL22" t="s">
        <v>17</v>
      </c>
      <c r="AM22" s="1" t="s">
        <v>41</v>
      </c>
      <c r="AN22" t="s">
        <v>8</v>
      </c>
      <c r="AO22" t="s">
        <v>11</v>
      </c>
      <c r="AP22" t="s">
        <v>588</v>
      </c>
      <c r="AQ22" t="s">
        <v>588</v>
      </c>
      <c r="AR22" t="s">
        <v>588</v>
      </c>
      <c r="AS22" t="s">
        <v>588</v>
      </c>
      <c r="AT22" t="s">
        <v>588</v>
      </c>
      <c r="AU22" t="s">
        <v>588</v>
      </c>
      <c r="AV22" t="s">
        <v>588</v>
      </c>
      <c r="AW22" t="s">
        <v>588</v>
      </c>
      <c r="AX22" t="s">
        <v>588</v>
      </c>
      <c r="AY22" t="s">
        <v>588</v>
      </c>
      <c r="AZ22" t="s">
        <v>588</v>
      </c>
      <c r="BA22" t="s">
        <v>588</v>
      </c>
      <c r="BB22" t="s">
        <v>588</v>
      </c>
      <c r="BC22" t="s">
        <v>588</v>
      </c>
      <c r="BD22" t="s">
        <v>588</v>
      </c>
      <c r="BE22" t="s">
        <v>588</v>
      </c>
      <c r="BF22" t="s">
        <v>588</v>
      </c>
      <c r="BG22" s="1" t="s">
        <v>588</v>
      </c>
      <c r="BH22" s="1" t="s">
        <v>588</v>
      </c>
      <c r="BI22" t="s">
        <v>588</v>
      </c>
      <c r="BJ22" t="s">
        <v>588</v>
      </c>
      <c r="BK22" t="s">
        <v>588</v>
      </c>
      <c r="BL22" t="s">
        <v>588</v>
      </c>
      <c r="BM22" t="s">
        <v>588</v>
      </c>
      <c r="BN22" t="s">
        <v>588</v>
      </c>
      <c r="BO22" t="s">
        <v>588</v>
      </c>
      <c r="BP22" t="s">
        <v>588</v>
      </c>
      <c r="BQ22" s="1" t="s">
        <v>588</v>
      </c>
      <c r="BR22" t="s">
        <v>588</v>
      </c>
      <c r="BS22" t="s">
        <v>8</v>
      </c>
      <c r="BT22" t="s">
        <v>120</v>
      </c>
      <c r="BU22" t="s">
        <v>120</v>
      </c>
      <c r="BV22" t="s">
        <v>588</v>
      </c>
      <c r="BW22" t="s">
        <v>588</v>
      </c>
      <c r="BX22" t="s">
        <v>588</v>
      </c>
      <c r="BY22" t="s">
        <v>588</v>
      </c>
      <c r="BZ22" t="s">
        <v>588</v>
      </c>
    </row>
    <row r="23" spans="1:78" x14ac:dyDescent="0.25">
      <c r="A23">
        <v>201415</v>
      </c>
      <c r="B23" t="s">
        <v>578</v>
      </c>
      <c r="C23" t="s">
        <v>242</v>
      </c>
      <c r="D23" t="s">
        <v>1851</v>
      </c>
      <c r="E23" t="s">
        <v>1844</v>
      </c>
      <c r="F23">
        <v>2</v>
      </c>
      <c r="G23" t="s">
        <v>1882</v>
      </c>
      <c r="H23" s="11" t="s">
        <v>2062</v>
      </c>
      <c r="I23" s="1">
        <v>41954</v>
      </c>
      <c r="J23" s="11">
        <v>11</v>
      </c>
      <c r="K23" s="11">
        <v>11</v>
      </c>
      <c r="L23" s="11">
        <v>2014</v>
      </c>
      <c r="M23" s="11" t="s">
        <v>1921</v>
      </c>
      <c r="N23" t="s">
        <v>17</v>
      </c>
      <c r="O23" t="s">
        <v>51</v>
      </c>
      <c r="P23" t="s">
        <v>588</v>
      </c>
      <c r="Q23" t="s">
        <v>588</v>
      </c>
      <c r="R23" t="s">
        <v>588</v>
      </c>
      <c r="S23" t="s">
        <v>588</v>
      </c>
      <c r="T23">
        <v>2</v>
      </c>
      <c r="U23">
        <v>3</v>
      </c>
      <c r="V23" t="s">
        <v>588</v>
      </c>
      <c r="W23" t="s">
        <v>588</v>
      </c>
      <c r="X23">
        <v>2</v>
      </c>
      <c r="Y23">
        <v>2</v>
      </c>
      <c r="Z23" t="s">
        <v>41</v>
      </c>
      <c r="AA23" s="1">
        <v>41954</v>
      </c>
      <c r="AB23" s="11">
        <v>11</v>
      </c>
      <c r="AC23" s="11">
        <v>11</v>
      </c>
      <c r="AD23" s="11">
        <v>2014</v>
      </c>
      <c r="AE23" s="13" t="s">
        <v>1921</v>
      </c>
      <c r="AF23" t="s">
        <v>17</v>
      </c>
      <c r="AG23" s="1">
        <v>41981</v>
      </c>
      <c r="AH23" s="11">
        <v>8</v>
      </c>
      <c r="AI23" s="11">
        <v>12</v>
      </c>
      <c r="AJ23" s="11">
        <v>2014</v>
      </c>
      <c r="AK23" s="13" t="s">
        <v>1922</v>
      </c>
      <c r="AL23" t="s">
        <v>7</v>
      </c>
      <c r="AM23" s="1" t="s">
        <v>41</v>
      </c>
      <c r="AN23" t="s">
        <v>41</v>
      </c>
      <c r="AO23" s="1" t="s">
        <v>20</v>
      </c>
      <c r="AP23" t="s">
        <v>588</v>
      </c>
      <c r="AQ23" s="1" t="s">
        <v>588</v>
      </c>
      <c r="AR23" t="s">
        <v>588</v>
      </c>
      <c r="AS23" t="s">
        <v>588</v>
      </c>
      <c r="AT23" t="s">
        <v>588</v>
      </c>
      <c r="AU23" s="1" t="s">
        <v>588</v>
      </c>
      <c r="AV23" t="s">
        <v>588</v>
      </c>
      <c r="AW23" s="1" t="s">
        <v>588</v>
      </c>
      <c r="AX23" t="s">
        <v>588</v>
      </c>
      <c r="AY23" s="1" t="s">
        <v>588</v>
      </c>
      <c r="AZ23" t="s">
        <v>588</v>
      </c>
      <c r="BA23" s="1" t="s">
        <v>588</v>
      </c>
      <c r="BB23" t="s">
        <v>588</v>
      </c>
      <c r="BC23" s="1" t="s">
        <v>588</v>
      </c>
      <c r="BD23" t="s">
        <v>588</v>
      </c>
      <c r="BE23" s="1" t="s">
        <v>588</v>
      </c>
      <c r="BF23" t="s">
        <v>588</v>
      </c>
      <c r="BG23" s="1" t="s">
        <v>588</v>
      </c>
      <c r="BH23" s="1" t="s">
        <v>588</v>
      </c>
      <c r="BI23" s="1" t="s">
        <v>588</v>
      </c>
      <c r="BJ23" s="1" t="s">
        <v>588</v>
      </c>
      <c r="BK23" s="1" t="s">
        <v>588</v>
      </c>
      <c r="BL23" s="1" t="s">
        <v>588</v>
      </c>
      <c r="BM23" t="s">
        <v>588</v>
      </c>
      <c r="BN23" t="s">
        <v>588</v>
      </c>
      <c r="BO23" s="1" t="s">
        <v>588</v>
      </c>
      <c r="BP23" t="s">
        <v>588</v>
      </c>
      <c r="BQ23" s="1" t="s">
        <v>588</v>
      </c>
      <c r="BR23" s="1" t="s">
        <v>588</v>
      </c>
      <c r="BS23" t="s">
        <v>8</v>
      </c>
      <c r="BT23" t="s">
        <v>123</v>
      </c>
      <c r="BU23" t="s">
        <v>123</v>
      </c>
      <c r="BV23" s="1" t="s">
        <v>588</v>
      </c>
      <c r="BW23" s="1" t="s">
        <v>588</v>
      </c>
      <c r="BX23" s="1" t="s">
        <v>588</v>
      </c>
      <c r="BY23" s="1" t="s">
        <v>588</v>
      </c>
      <c r="BZ23" s="1" t="s">
        <v>588</v>
      </c>
    </row>
    <row r="24" spans="1:78" x14ac:dyDescent="0.25">
      <c r="A24">
        <v>201415</v>
      </c>
      <c r="B24" t="s">
        <v>578</v>
      </c>
      <c r="C24" t="s">
        <v>242</v>
      </c>
      <c r="D24" t="s">
        <v>1851</v>
      </c>
      <c r="E24" t="s">
        <v>1844</v>
      </c>
      <c r="F24">
        <v>3</v>
      </c>
      <c r="G24" t="s">
        <v>1883</v>
      </c>
      <c r="H24" s="11" t="s">
        <v>2063</v>
      </c>
      <c r="I24" s="1">
        <v>42001</v>
      </c>
      <c r="J24" s="11">
        <v>28</v>
      </c>
      <c r="K24" s="11">
        <v>12</v>
      </c>
      <c r="L24" s="11">
        <v>2014</v>
      </c>
      <c r="M24" s="11" t="s">
        <v>1933</v>
      </c>
      <c r="N24" t="s">
        <v>7</v>
      </c>
      <c r="O24" t="s">
        <v>10</v>
      </c>
      <c r="P24" t="s">
        <v>588</v>
      </c>
      <c r="Q24" t="s">
        <v>588</v>
      </c>
      <c r="R24" t="s">
        <v>588</v>
      </c>
      <c r="S24" t="s">
        <v>588</v>
      </c>
      <c r="T24">
        <v>3</v>
      </c>
      <c r="U24">
        <v>3</v>
      </c>
      <c r="V24" t="s">
        <v>588</v>
      </c>
      <c r="W24" t="s">
        <v>588</v>
      </c>
      <c r="X24">
        <v>2</v>
      </c>
      <c r="Y24">
        <v>2</v>
      </c>
      <c r="Z24" t="s">
        <v>41</v>
      </c>
      <c r="AA24" s="1">
        <v>42001</v>
      </c>
      <c r="AB24" s="11">
        <v>28</v>
      </c>
      <c r="AC24" s="11">
        <v>12</v>
      </c>
      <c r="AD24" s="11">
        <v>2014</v>
      </c>
      <c r="AE24" s="13" t="s">
        <v>1933</v>
      </c>
      <c r="AF24" t="s">
        <v>7</v>
      </c>
      <c r="AG24" s="1">
        <v>42010</v>
      </c>
      <c r="AH24" s="11">
        <v>6</v>
      </c>
      <c r="AI24" s="11">
        <v>1</v>
      </c>
      <c r="AJ24" s="11">
        <v>2015</v>
      </c>
      <c r="AK24" s="13" t="s">
        <v>1923</v>
      </c>
      <c r="AL24" t="s">
        <v>12</v>
      </c>
      <c r="AM24" s="1" t="s">
        <v>41</v>
      </c>
      <c r="AN24" t="s">
        <v>8</v>
      </c>
      <c r="AO24" t="s">
        <v>11</v>
      </c>
      <c r="AP24" t="s">
        <v>588</v>
      </c>
      <c r="AQ24" t="s">
        <v>588</v>
      </c>
      <c r="AR24" t="s">
        <v>588</v>
      </c>
      <c r="AS24" t="s">
        <v>588</v>
      </c>
      <c r="AT24" t="s">
        <v>588</v>
      </c>
      <c r="AU24" t="s">
        <v>588</v>
      </c>
      <c r="AV24" t="s">
        <v>588</v>
      </c>
      <c r="AW24" t="s">
        <v>588</v>
      </c>
      <c r="AX24" t="s">
        <v>588</v>
      </c>
      <c r="AY24" t="s">
        <v>588</v>
      </c>
      <c r="AZ24" t="s">
        <v>588</v>
      </c>
      <c r="BA24" t="s">
        <v>588</v>
      </c>
      <c r="BB24" t="s">
        <v>588</v>
      </c>
      <c r="BC24" t="s">
        <v>588</v>
      </c>
      <c r="BD24" t="s">
        <v>588</v>
      </c>
      <c r="BE24" t="s">
        <v>588</v>
      </c>
      <c r="BF24" t="s">
        <v>588</v>
      </c>
      <c r="BG24" s="1" t="s">
        <v>588</v>
      </c>
      <c r="BH24" s="1" t="s">
        <v>588</v>
      </c>
      <c r="BI24" t="s">
        <v>588</v>
      </c>
      <c r="BJ24" t="s">
        <v>588</v>
      </c>
      <c r="BK24" t="s">
        <v>588</v>
      </c>
      <c r="BL24" t="s">
        <v>588</v>
      </c>
      <c r="BM24" t="s">
        <v>588</v>
      </c>
      <c r="BN24" t="s">
        <v>588</v>
      </c>
      <c r="BO24" t="s">
        <v>588</v>
      </c>
      <c r="BP24" t="s">
        <v>588</v>
      </c>
      <c r="BQ24" s="1" t="s">
        <v>588</v>
      </c>
      <c r="BR24" t="s">
        <v>588</v>
      </c>
      <c r="BS24" t="s">
        <v>8</v>
      </c>
      <c r="BT24" t="s">
        <v>120</v>
      </c>
      <c r="BU24" t="s">
        <v>120</v>
      </c>
      <c r="BV24" t="s">
        <v>588</v>
      </c>
      <c r="BW24" t="s">
        <v>588</v>
      </c>
      <c r="BX24" t="s">
        <v>588</v>
      </c>
      <c r="BY24" t="s">
        <v>588</v>
      </c>
      <c r="BZ24" t="s">
        <v>588</v>
      </c>
    </row>
    <row r="25" spans="1:78" x14ac:dyDescent="0.25">
      <c r="A25">
        <v>201415</v>
      </c>
      <c r="B25" t="s">
        <v>578</v>
      </c>
      <c r="C25" t="s">
        <v>242</v>
      </c>
      <c r="D25" t="s">
        <v>1851</v>
      </c>
      <c r="E25" t="s">
        <v>1844</v>
      </c>
      <c r="F25">
        <v>4</v>
      </c>
      <c r="G25" t="s">
        <v>1884</v>
      </c>
      <c r="H25" s="11" t="s">
        <v>2064</v>
      </c>
      <c r="I25" s="1">
        <v>42010</v>
      </c>
      <c r="J25" s="11">
        <v>6</v>
      </c>
      <c r="K25" s="11">
        <v>1</v>
      </c>
      <c r="L25" s="11">
        <v>2015</v>
      </c>
      <c r="M25" s="11" t="s">
        <v>1923</v>
      </c>
      <c r="N25" t="s">
        <v>12</v>
      </c>
      <c r="O25" t="s">
        <v>10</v>
      </c>
      <c r="P25" t="s">
        <v>588</v>
      </c>
      <c r="Q25" t="s">
        <v>588</v>
      </c>
      <c r="R25" t="s">
        <v>588</v>
      </c>
      <c r="S25" t="s">
        <v>588</v>
      </c>
      <c r="T25">
        <v>2</v>
      </c>
      <c r="U25">
        <v>3</v>
      </c>
      <c r="V25" t="s">
        <v>588</v>
      </c>
      <c r="W25" t="s">
        <v>588</v>
      </c>
      <c r="X25">
        <v>2</v>
      </c>
      <c r="Y25">
        <v>2</v>
      </c>
      <c r="Z25" t="s">
        <v>41</v>
      </c>
      <c r="AA25" s="1">
        <v>42010</v>
      </c>
      <c r="AB25" s="11">
        <v>6</v>
      </c>
      <c r="AC25" s="11">
        <v>1</v>
      </c>
      <c r="AD25" s="11">
        <v>2015</v>
      </c>
      <c r="AE25" s="13" t="s">
        <v>1923</v>
      </c>
      <c r="AF25" t="s">
        <v>12</v>
      </c>
      <c r="AG25" s="1">
        <v>42018</v>
      </c>
      <c r="AH25" s="11">
        <v>14</v>
      </c>
      <c r="AI25" s="11">
        <v>1</v>
      </c>
      <c r="AJ25" s="11">
        <v>2015</v>
      </c>
      <c r="AK25" s="13" t="s">
        <v>1924</v>
      </c>
      <c r="AL25" t="s">
        <v>12</v>
      </c>
      <c r="AM25" s="1" t="s">
        <v>41</v>
      </c>
      <c r="AN25" t="s">
        <v>41</v>
      </c>
      <c r="AO25" t="s">
        <v>20</v>
      </c>
      <c r="AP25" s="1" t="s">
        <v>588</v>
      </c>
      <c r="AQ25" t="s">
        <v>588</v>
      </c>
      <c r="AR25" t="s">
        <v>588</v>
      </c>
      <c r="AS25" t="s">
        <v>588</v>
      </c>
      <c r="AT25" t="s">
        <v>588</v>
      </c>
      <c r="AU25" t="s">
        <v>588</v>
      </c>
      <c r="AV25" t="s">
        <v>588</v>
      </c>
      <c r="AW25" t="s">
        <v>588</v>
      </c>
      <c r="AX25" t="s">
        <v>588</v>
      </c>
      <c r="AY25" t="s">
        <v>588</v>
      </c>
      <c r="AZ25" t="s">
        <v>588</v>
      </c>
      <c r="BA25" t="s">
        <v>588</v>
      </c>
      <c r="BB25" t="s">
        <v>588</v>
      </c>
      <c r="BC25" t="s">
        <v>588</v>
      </c>
      <c r="BD25" t="s">
        <v>588</v>
      </c>
      <c r="BE25" t="s">
        <v>588</v>
      </c>
      <c r="BF25" t="s">
        <v>588</v>
      </c>
      <c r="BG25" s="1" t="s">
        <v>588</v>
      </c>
      <c r="BH25" s="1" t="s">
        <v>588</v>
      </c>
      <c r="BI25" t="s">
        <v>588</v>
      </c>
      <c r="BJ25" t="s">
        <v>588</v>
      </c>
      <c r="BK25" t="s">
        <v>588</v>
      </c>
      <c r="BL25" t="s">
        <v>588</v>
      </c>
      <c r="BM25" t="s">
        <v>588</v>
      </c>
      <c r="BN25" t="s">
        <v>588</v>
      </c>
      <c r="BO25" t="s">
        <v>588</v>
      </c>
      <c r="BP25" t="s">
        <v>588</v>
      </c>
      <c r="BQ25" s="1" t="s">
        <v>588</v>
      </c>
      <c r="BR25" t="s">
        <v>588</v>
      </c>
      <c r="BS25" t="s">
        <v>8</v>
      </c>
      <c r="BT25" t="s">
        <v>120</v>
      </c>
      <c r="BU25" t="s">
        <v>120</v>
      </c>
      <c r="BV25" t="s">
        <v>588</v>
      </c>
      <c r="BW25" t="s">
        <v>588</v>
      </c>
      <c r="BX25" t="s">
        <v>588</v>
      </c>
      <c r="BY25" t="s">
        <v>588</v>
      </c>
      <c r="BZ25" t="s">
        <v>588</v>
      </c>
    </row>
    <row r="26" spans="1:78" x14ac:dyDescent="0.25">
      <c r="A26">
        <v>201415</v>
      </c>
      <c r="B26" t="s">
        <v>579</v>
      </c>
      <c r="C26" t="s">
        <v>559</v>
      </c>
      <c r="D26" t="s">
        <v>557</v>
      </c>
      <c r="E26" t="s">
        <v>1844</v>
      </c>
      <c r="F26">
        <v>1</v>
      </c>
      <c r="G26" t="s">
        <v>1885</v>
      </c>
      <c r="H26" s="11" t="s">
        <v>2065</v>
      </c>
      <c r="I26" s="1">
        <v>41927</v>
      </c>
      <c r="J26" s="11">
        <v>15</v>
      </c>
      <c r="K26" s="11">
        <v>10</v>
      </c>
      <c r="L26" s="11">
        <v>2014</v>
      </c>
      <c r="M26" s="11" t="s">
        <v>1974</v>
      </c>
      <c r="N26" t="s">
        <v>29</v>
      </c>
      <c r="O26" t="s">
        <v>36</v>
      </c>
      <c r="P26">
        <v>-38.536617</v>
      </c>
      <c r="Q26">
        <v>145.41606100000001</v>
      </c>
      <c r="R26" t="s">
        <v>588</v>
      </c>
      <c r="S26" t="s">
        <v>588</v>
      </c>
      <c r="T26">
        <v>2</v>
      </c>
      <c r="U26">
        <v>3</v>
      </c>
      <c r="V26" s="1" t="s">
        <v>588</v>
      </c>
      <c r="W26" t="s">
        <v>588</v>
      </c>
      <c r="X26">
        <v>2</v>
      </c>
      <c r="Y26">
        <v>2</v>
      </c>
      <c r="Z26" t="s">
        <v>41</v>
      </c>
      <c r="AA26" s="1">
        <v>41927</v>
      </c>
      <c r="AB26" s="11">
        <v>15</v>
      </c>
      <c r="AC26" s="11">
        <v>10</v>
      </c>
      <c r="AD26" s="11">
        <v>2014</v>
      </c>
      <c r="AE26" s="13" t="s">
        <v>1974</v>
      </c>
      <c r="AF26" t="s">
        <v>29</v>
      </c>
      <c r="AG26" s="1">
        <v>41943</v>
      </c>
      <c r="AH26" s="11">
        <v>31</v>
      </c>
      <c r="AI26" s="11">
        <v>10</v>
      </c>
      <c r="AJ26" s="11">
        <v>2014</v>
      </c>
      <c r="AK26" s="13" t="s">
        <v>1925</v>
      </c>
      <c r="AL26" t="s">
        <v>29</v>
      </c>
      <c r="AM26" s="1" t="s">
        <v>41</v>
      </c>
      <c r="AN26" t="s">
        <v>41</v>
      </c>
      <c r="AO26" t="s">
        <v>20</v>
      </c>
      <c r="AP26" t="s">
        <v>588</v>
      </c>
      <c r="AQ26" s="1" t="s">
        <v>588</v>
      </c>
      <c r="AR26" t="s">
        <v>588</v>
      </c>
      <c r="AS26" t="s">
        <v>588</v>
      </c>
      <c r="AT26" t="s">
        <v>588</v>
      </c>
      <c r="AU26" s="1" t="s">
        <v>588</v>
      </c>
      <c r="AV26" t="s">
        <v>588</v>
      </c>
      <c r="AW26" s="1" t="s">
        <v>588</v>
      </c>
      <c r="AX26" t="s">
        <v>588</v>
      </c>
      <c r="AY26" s="1" t="s">
        <v>588</v>
      </c>
      <c r="AZ26" t="s">
        <v>588</v>
      </c>
      <c r="BA26" s="1" t="s">
        <v>588</v>
      </c>
      <c r="BB26" t="s">
        <v>588</v>
      </c>
      <c r="BC26" s="1" t="s">
        <v>588</v>
      </c>
      <c r="BD26" t="s">
        <v>588</v>
      </c>
      <c r="BE26" s="1" t="s">
        <v>588</v>
      </c>
      <c r="BF26" t="s">
        <v>588</v>
      </c>
      <c r="BG26" s="1" t="s">
        <v>588</v>
      </c>
      <c r="BH26" s="1" t="s">
        <v>588</v>
      </c>
      <c r="BI26" s="1" t="s">
        <v>588</v>
      </c>
      <c r="BJ26" s="1" t="s">
        <v>588</v>
      </c>
      <c r="BK26" s="1" t="s">
        <v>588</v>
      </c>
      <c r="BL26" s="1" t="s">
        <v>588</v>
      </c>
      <c r="BM26" t="s">
        <v>588</v>
      </c>
      <c r="BN26" t="s">
        <v>588</v>
      </c>
      <c r="BO26" s="1" t="s">
        <v>588</v>
      </c>
      <c r="BP26" t="s">
        <v>588</v>
      </c>
      <c r="BQ26" s="1" t="s">
        <v>588</v>
      </c>
      <c r="BR26" s="1" t="s">
        <v>588</v>
      </c>
      <c r="BS26" t="s">
        <v>8</v>
      </c>
      <c r="BT26" t="s">
        <v>1617</v>
      </c>
      <c r="BU26" t="s">
        <v>1617</v>
      </c>
      <c r="BV26" s="1" t="s">
        <v>588</v>
      </c>
      <c r="BW26" s="1" t="s">
        <v>588</v>
      </c>
      <c r="BX26" s="1" t="s">
        <v>588</v>
      </c>
      <c r="BY26" s="1" t="s">
        <v>588</v>
      </c>
      <c r="BZ26" s="1" t="s">
        <v>588</v>
      </c>
    </row>
    <row r="27" spans="1:78" x14ac:dyDescent="0.25">
      <c r="A27">
        <v>201415</v>
      </c>
      <c r="B27" t="s">
        <v>579</v>
      </c>
      <c r="C27" t="s">
        <v>559</v>
      </c>
      <c r="D27" t="s">
        <v>557</v>
      </c>
      <c r="E27" t="s">
        <v>1844</v>
      </c>
      <c r="F27">
        <v>2</v>
      </c>
      <c r="G27" t="s">
        <v>1886</v>
      </c>
      <c r="H27" s="11" t="s">
        <v>2066</v>
      </c>
      <c r="I27" s="1">
        <v>41943</v>
      </c>
      <c r="J27" s="11">
        <v>31</v>
      </c>
      <c r="K27" s="11">
        <v>10</v>
      </c>
      <c r="L27" s="11">
        <v>2014</v>
      </c>
      <c r="M27" s="11" t="s">
        <v>1925</v>
      </c>
      <c r="N27" t="s">
        <v>29</v>
      </c>
      <c r="O27" t="s">
        <v>10</v>
      </c>
      <c r="P27" t="s">
        <v>588</v>
      </c>
      <c r="Q27" t="s">
        <v>588</v>
      </c>
      <c r="R27" t="s">
        <v>588</v>
      </c>
      <c r="S27" t="s">
        <v>588</v>
      </c>
      <c r="T27">
        <v>2</v>
      </c>
      <c r="U27">
        <v>3</v>
      </c>
      <c r="V27" s="1" t="s">
        <v>588</v>
      </c>
      <c r="W27" t="s">
        <v>588</v>
      </c>
      <c r="X27">
        <v>2</v>
      </c>
      <c r="Y27">
        <v>2</v>
      </c>
      <c r="Z27" t="s">
        <v>41</v>
      </c>
      <c r="AA27" s="1">
        <v>41943</v>
      </c>
      <c r="AB27" s="11">
        <v>31</v>
      </c>
      <c r="AC27" s="11">
        <v>10</v>
      </c>
      <c r="AD27" s="11">
        <v>2014</v>
      </c>
      <c r="AE27" s="13" t="s">
        <v>1925</v>
      </c>
      <c r="AF27" t="s">
        <v>29</v>
      </c>
      <c r="AG27" s="1">
        <v>41950</v>
      </c>
      <c r="AH27" s="11">
        <v>7</v>
      </c>
      <c r="AI27" s="11">
        <v>11</v>
      </c>
      <c r="AJ27" s="11">
        <v>2014</v>
      </c>
      <c r="AK27" s="13" t="s">
        <v>1926</v>
      </c>
      <c r="AL27" t="s">
        <v>17</v>
      </c>
      <c r="AM27" s="1" t="s">
        <v>41</v>
      </c>
      <c r="AN27" t="s">
        <v>41</v>
      </c>
      <c r="AO27" t="s">
        <v>20</v>
      </c>
      <c r="AP27" t="s">
        <v>588</v>
      </c>
      <c r="AQ27" s="1" t="s">
        <v>588</v>
      </c>
      <c r="AR27" t="s">
        <v>588</v>
      </c>
      <c r="AS27" t="s">
        <v>588</v>
      </c>
      <c r="AT27" t="s">
        <v>588</v>
      </c>
      <c r="AU27" s="1" t="s">
        <v>588</v>
      </c>
      <c r="AV27" t="s">
        <v>588</v>
      </c>
      <c r="AW27" s="1" t="s">
        <v>588</v>
      </c>
      <c r="AX27" t="s">
        <v>588</v>
      </c>
      <c r="AY27" s="1" t="s">
        <v>588</v>
      </c>
      <c r="AZ27" t="s">
        <v>588</v>
      </c>
      <c r="BA27" s="1" t="s">
        <v>588</v>
      </c>
      <c r="BB27" t="s">
        <v>588</v>
      </c>
      <c r="BC27" s="1" t="s">
        <v>588</v>
      </c>
      <c r="BD27" t="s">
        <v>588</v>
      </c>
      <c r="BE27" s="1" t="s">
        <v>588</v>
      </c>
      <c r="BF27" t="s">
        <v>588</v>
      </c>
      <c r="BG27" s="1" t="s">
        <v>588</v>
      </c>
      <c r="BH27" s="1" t="s">
        <v>588</v>
      </c>
      <c r="BI27" s="1" t="s">
        <v>588</v>
      </c>
      <c r="BJ27" s="1" t="s">
        <v>588</v>
      </c>
      <c r="BK27" s="1" t="s">
        <v>588</v>
      </c>
      <c r="BL27" s="1" t="s">
        <v>588</v>
      </c>
      <c r="BM27" t="s">
        <v>588</v>
      </c>
      <c r="BN27" t="s">
        <v>588</v>
      </c>
      <c r="BO27" s="1" t="s">
        <v>588</v>
      </c>
      <c r="BP27" t="s">
        <v>588</v>
      </c>
      <c r="BQ27" s="1" t="s">
        <v>588</v>
      </c>
      <c r="BR27" s="1" t="s">
        <v>588</v>
      </c>
      <c r="BS27" t="s">
        <v>8</v>
      </c>
      <c r="BT27" t="s">
        <v>123</v>
      </c>
      <c r="BU27" t="s">
        <v>123</v>
      </c>
      <c r="BV27" s="1" t="s">
        <v>588</v>
      </c>
      <c r="BW27" s="1" t="s">
        <v>588</v>
      </c>
      <c r="BX27" s="1" t="s">
        <v>588</v>
      </c>
      <c r="BY27" s="1" t="s">
        <v>588</v>
      </c>
      <c r="BZ27" s="1" t="s">
        <v>588</v>
      </c>
    </row>
    <row r="28" spans="1:78" x14ac:dyDescent="0.25">
      <c r="A28">
        <v>201415</v>
      </c>
      <c r="B28" t="s">
        <v>579</v>
      </c>
      <c r="C28" t="s">
        <v>559</v>
      </c>
      <c r="D28" t="s">
        <v>557</v>
      </c>
      <c r="E28" t="s">
        <v>1844</v>
      </c>
      <c r="F28">
        <v>3</v>
      </c>
      <c r="G28" t="s">
        <v>1887</v>
      </c>
      <c r="H28" s="11" t="s">
        <v>2067</v>
      </c>
      <c r="I28" s="1">
        <v>41988</v>
      </c>
      <c r="J28" s="11">
        <v>15</v>
      </c>
      <c r="K28" s="11">
        <v>12</v>
      </c>
      <c r="L28" s="11">
        <v>2014</v>
      </c>
      <c r="M28" s="11" t="s">
        <v>1931</v>
      </c>
      <c r="N28" t="s">
        <v>7</v>
      </c>
      <c r="O28" t="s">
        <v>10</v>
      </c>
      <c r="P28">
        <v>-38.508147999999998</v>
      </c>
      <c r="Q28">
        <v>145.29984999999999</v>
      </c>
      <c r="R28" t="s">
        <v>588</v>
      </c>
      <c r="S28" t="s">
        <v>588</v>
      </c>
      <c r="T28">
        <v>2</v>
      </c>
      <c r="U28">
        <v>3</v>
      </c>
      <c r="V28" t="s">
        <v>588</v>
      </c>
      <c r="W28" t="s">
        <v>588</v>
      </c>
      <c r="X28">
        <v>2</v>
      </c>
      <c r="Y28">
        <v>2</v>
      </c>
      <c r="Z28" t="s">
        <v>41</v>
      </c>
      <c r="AA28" s="1">
        <v>41988</v>
      </c>
      <c r="AB28" s="11">
        <v>15</v>
      </c>
      <c r="AC28" s="11">
        <v>12</v>
      </c>
      <c r="AD28" s="11">
        <v>2014</v>
      </c>
      <c r="AE28" s="13" t="s">
        <v>1931</v>
      </c>
      <c r="AF28" t="s">
        <v>7</v>
      </c>
      <c r="AG28" s="1">
        <v>41992</v>
      </c>
      <c r="AH28" s="11">
        <v>19</v>
      </c>
      <c r="AI28" s="11">
        <v>12</v>
      </c>
      <c r="AJ28" s="11">
        <v>2014</v>
      </c>
      <c r="AK28" s="13" t="s">
        <v>1927</v>
      </c>
      <c r="AL28" t="s">
        <v>7</v>
      </c>
      <c r="AM28" s="1" t="s">
        <v>41</v>
      </c>
      <c r="AN28" t="s">
        <v>8</v>
      </c>
      <c r="AO28" t="s">
        <v>32</v>
      </c>
      <c r="AP28" s="1" t="s">
        <v>588</v>
      </c>
      <c r="AQ28" s="1" t="s">
        <v>588</v>
      </c>
      <c r="AR28" s="1" t="s">
        <v>588</v>
      </c>
      <c r="AS28" t="s">
        <v>588</v>
      </c>
      <c r="AT28" t="s">
        <v>588</v>
      </c>
      <c r="AU28" s="1" t="s">
        <v>588</v>
      </c>
      <c r="AV28" s="1" t="s">
        <v>588</v>
      </c>
      <c r="AW28" s="1" t="s">
        <v>588</v>
      </c>
      <c r="AX28" s="1" t="s">
        <v>588</v>
      </c>
      <c r="AY28" s="1" t="s">
        <v>588</v>
      </c>
      <c r="AZ28" s="1" t="s">
        <v>588</v>
      </c>
      <c r="BA28" s="1" t="s">
        <v>588</v>
      </c>
      <c r="BB28" s="1" t="s">
        <v>588</v>
      </c>
      <c r="BC28" s="1" t="s">
        <v>588</v>
      </c>
      <c r="BD28" s="1" t="s">
        <v>588</v>
      </c>
      <c r="BE28" s="1" t="s">
        <v>588</v>
      </c>
      <c r="BF28" s="1" t="s">
        <v>588</v>
      </c>
      <c r="BG28" s="1" t="s">
        <v>588</v>
      </c>
      <c r="BH28" s="1" t="s">
        <v>588</v>
      </c>
      <c r="BI28" s="1" t="s">
        <v>588</v>
      </c>
      <c r="BJ28" s="1" t="s">
        <v>588</v>
      </c>
      <c r="BK28" s="1" t="s">
        <v>588</v>
      </c>
      <c r="BL28" s="1" t="s">
        <v>588</v>
      </c>
      <c r="BM28" t="s">
        <v>588</v>
      </c>
      <c r="BN28" t="s">
        <v>588</v>
      </c>
      <c r="BO28" s="1" t="s">
        <v>588</v>
      </c>
      <c r="BP28" t="s">
        <v>588</v>
      </c>
      <c r="BQ28" s="1" t="s">
        <v>588</v>
      </c>
      <c r="BR28" s="1" t="s">
        <v>588</v>
      </c>
      <c r="BS28" t="s">
        <v>8</v>
      </c>
      <c r="BT28" t="s">
        <v>123</v>
      </c>
      <c r="BU28" t="s">
        <v>123</v>
      </c>
      <c r="BV28" s="1" t="s">
        <v>588</v>
      </c>
      <c r="BW28" s="1" t="s">
        <v>588</v>
      </c>
      <c r="BX28" s="1" t="s">
        <v>588</v>
      </c>
      <c r="BY28" s="1" t="s">
        <v>588</v>
      </c>
      <c r="BZ28" s="1" t="s">
        <v>588</v>
      </c>
    </row>
    <row r="29" spans="1:78" x14ac:dyDescent="0.25">
      <c r="A29">
        <v>201415</v>
      </c>
      <c r="B29" t="s">
        <v>579</v>
      </c>
      <c r="C29" t="s">
        <v>559</v>
      </c>
      <c r="D29" t="s">
        <v>557</v>
      </c>
      <c r="E29" t="s">
        <v>1844</v>
      </c>
      <c r="F29">
        <v>4</v>
      </c>
      <c r="G29" t="s">
        <v>1888</v>
      </c>
      <c r="H29" s="11" t="s">
        <v>2068</v>
      </c>
      <c r="I29" s="1">
        <v>42016</v>
      </c>
      <c r="J29" s="11">
        <v>12</v>
      </c>
      <c r="K29" s="11">
        <v>1</v>
      </c>
      <c r="L29" s="11">
        <v>2015</v>
      </c>
      <c r="M29" s="11" t="s">
        <v>1963</v>
      </c>
      <c r="N29" t="s">
        <v>12</v>
      </c>
      <c r="O29" t="s">
        <v>10</v>
      </c>
      <c r="P29" t="s">
        <v>588</v>
      </c>
      <c r="Q29" t="s">
        <v>588</v>
      </c>
      <c r="R29" t="s">
        <v>588</v>
      </c>
      <c r="S29" t="s">
        <v>588</v>
      </c>
      <c r="T29">
        <v>3</v>
      </c>
      <c r="U29">
        <v>3</v>
      </c>
      <c r="V29" t="s">
        <v>588</v>
      </c>
      <c r="W29" t="s">
        <v>588</v>
      </c>
      <c r="X29">
        <v>2</v>
      </c>
      <c r="Y29">
        <v>2</v>
      </c>
      <c r="Z29" t="s">
        <v>41</v>
      </c>
      <c r="AA29" s="1">
        <v>42016</v>
      </c>
      <c r="AB29" s="11">
        <v>12</v>
      </c>
      <c r="AC29" s="11">
        <v>1</v>
      </c>
      <c r="AD29" s="11">
        <v>2015</v>
      </c>
      <c r="AE29" s="13" t="s">
        <v>1963</v>
      </c>
      <c r="AF29" t="s">
        <v>12</v>
      </c>
      <c r="AG29" s="1">
        <v>42023</v>
      </c>
      <c r="AH29" s="11">
        <v>19</v>
      </c>
      <c r="AI29" s="11">
        <v>1</v>
      </c>
      <c r="AJ29" s="11">
        <v>2015</v>
      </c>
      <c r="AK29" s="13" t="s">
        <v>1928</v>
      </c>
      <c r="AL29" t="s">
        <v>12</v>
      </c>
      <c r="AM29" s="1" t="s">
        <v>41</v>
      </c>
      <c r="AN29" t="s">
        <v>41</v>
      </c>
      <c r="AO29" t="s">
        <v>20</v>
      </c>
      <c r="AP29" t="s">
        <v>588</v>
      </c>
      <c r="AQ29" s="1" t="s">
        <v>588</v>
      </c>
      <c r="AR29" t="s">
        <v>588</v>
      </c>
      <c r="AS29" t="s">
        <v>588</v>
      </c>
      <c r="AT29" t="s">
        <v>588</v>
      </c>
      <c r="AU29" s="1" t="s">
        <v>588</v>
      </c>
      <c r="AV29" t="s">
        <v>588</v>
      </c>
      <c r="AW29" s="1" t="s">
        <v>588</v>
      </c>
      <c r="AX29" t="s">
        <v>588</v>
      </c>
      <c r="AY29" s="1" t="s">
        <v>588</v>
      </c>
      <c r="AZ29" t="s">
        <v>588</v>
      </c>
      <c r="BA29" s="1" t="s">
        <v>588</v>
      </c>
      <c r="BB29" t="s">
        <v>588</v>
      </c>
      <c r="BC29" s="1" t="s">
        <v>588</v>
      </c>
      <c r="BD29" t="s">
        <v>588</v>
      </c>
      <c r="BE29" s="1" t="s">
        <v>588</v>
      </c>
      <c r="BF29" t="s">
        <v>588</v>
      </c>
      <c r="BG29" s="1" t="s">
        <v>588</v>
      </c>
      <c r="BH29" s="1" t="s">
        <v>588</v>
      </c>
      <c r="BI29" s="1" t="s">
        <v>588</v>
      </c>
      <c r="BJ29" s="1" t="s">
        <v>588</v>
      </c>
      <c r="BK29" s="1" t="s">
        <v>588</v>
      </c>
      <c r="BL29" s="1" t="s">
        <v>588</v>
      </c>
      <c r="BM29" t="s">
        <v>588</v>
      </c>
      <c r="BN29" t="s">
        <v>588</v>
      </c>
      <c r="BO29" s="1" t="s">
        <v>588</v>
      </c>
      <c r="BP29" t="s">
        <v>588</v>
      </c>
      <c r="BQ29" s="1" t="s">
        <v>588</v>
      </c>
      <c r="BR29" s="1" t="s">
        <v>588</v>
      </c>
      <c r="BS29" t="s">
        <v>8</v>
      </c>
      <c r="BT29" t="s">
        <v>123</v>
      </c>
      <c r="BU29" t="s">
        <v>123</v>
      </c>
      <c r="BV29" s="1" t="s">
        <v>588</v>
      </c>
      <c r="BW29" s="1" t="s">
        <v>588</v>
      </c>
      <c r="BX29" s="1" t="s">
        <v>588</v>
      </c>
      <c r="BY29" s="1" t="s">
        <v>588</v>
      </c>
      <c r="BZ29" s="1" t="s">
        <v>588</v>
      </c>
    </row>
    <row r="30" spans="1:78" x14ac:dyDescent="0.25">
      <c r="A30">
        <v>201415</v>
      </c>
      <c r="B30" t="s">
        <v>581</v>
      </c>
      <c r="C30" t="s">
        <v>284</v>
      </c>
      <c r="D30" t="s">
        <v>569</v>
      </c>
      <c r="E30" t="s">
        <v>1844</v>
      </c>
      <c r="F30">
        <v>1</v>
      </c>
      <c r="G30" t="s">
        <v>1889</v>
      </c>
      <c r="H30" s="11" t="s">
        <v>2069</v>
      </c>
      <c r="I30" s="1">
        <v>41988</v>
      </c>
      <c r="J30" s="11">
        <v>15</v>
      </c>
      <c r="K30" s="11">
        <v>12</v>
      </c>
      <c r="L30" s="11">
        <v>2014</v>
      </c>
      <c r="M30" s="11" t="s">
        <v>1931</v>
      </c>
      <c r="N30" t="s">
        <v>7</v>
      </c>
      <c r="O30" t="s">
        <v>10</v>
      </c>
      <c r="P30">
        <v>-38.589179999999999</v>
      </c>
      <c r="Q30">
        <v>145.51689099999999</v>
      </c>
      <c r="R30" t="s">
        <v>588</v>
      </c>
      <c r="S30" t="s">
        <v>588</v>
      </c>
      <c r="T30">
        <v>3</v>
      </c>
      <c r="U30">
        <v>3</v>
      </c>
      <c r="V30" t="s">
        <v>588</v>
      </c>
      <c r="W30" t="s">
        <v>588</v>
      </c>
      <c r="X30">
        <v>1</v>
      </c>
      <c r="Y30">
        <v>1</v>
      </c>
      <c r="Z30" t="s">
        <v>8</v>
      </c>
      <c r="AA30" s="1">
        <v>41988</v>
      </c>
      <c r="AB30" s="11">
        <v>15</v>
      </c>
      <c r="AC30" s="11">
        <v>12</v>
      </c>
      <c r="AD30" s="11">
        <v>2014</v>
      </c>
      <c r="AE30" s="13" t="s">
        <v>1931</v>
      </c>
      <c r="AF30" t="s">
        <v>7</v>
      </c>
      <c r="AG30" s="1" t="s">
        <v>588</v>
      </c>
      <c r="AH30" s="11" t="s">
        <v>588</v>
      </c>
      <c r="AI30" s="11" t="s">
        <v>588</v>
      </c>
      <c r="AJ30" s="11" t="s">
        <v>588</v>
      </c>
      <c r="AK30" s="13" t="s">
        <v>588</v>
      </c>
      <c r="AL30" t="s">
        <v>588</v>
      </c>
      <c r="AM30" s="1" t="s">
        <v>588</v>
      </c>
      <c r="AN30" t="s">
        <v>588</v>
      </c>
      <c r="AO30" s="1" t="s">
        <v>588</v>
      </c>
      <c r="AP30" s="1">
        <v>42001</v>
      </c>
      <c r="AQ30" s="1" t="s">
        <v>7</v>
      </c>
      <c r="AR30" t="s">
        <v>195</v>
      </c>
      <c r="AS30">
        <v>1</v>
      </c>
      <c r="AT30">
        <v>3</v>
      </c>
      <c r="AU30" s="1" t="s">
        <v>588</v>
      </c>
      <c r="AV30" s="1" t="s">
        <v>588</v>
      </c>
      <c r="AW30" s="1" t="s">
        <v>588</v>
      </c>
      <c r="AX30" s="1" t="s">
        <v>588</v>
      </c>
      <c r="AY30" s="1" t="s">
        <v>588</v>
      </c>
      <c r="AZ30" s="1" t="s">
        <v>588</v>
      </c>
      <c r="BA30" s="1" t="s">
        <v>588</v>
      </c>
      <c r="BB30" s="1" t="s">
        <v>588</v>
      </c>
      <c r="BC30" s="1" t="s">
        <v>588</v>
      </c>
      <c r="BD30" s="1" t="s">
        <v>588</v>
      </c>
      <c r="BE30" s="1" t="s">
        <v>588</v>
      </c>
      <c r="BF30" s="1" t="s">
        <v>588</v>
      </c>
      <c r="BG30" s="1" t="s">
        <v>588</v>
      </c>
      <c r="BH30" s="1" t="s">
        <v>588</v>
      </c>
      <c r="BI30" s="1" t="s">
        <v>588</v>
      </c>
      <c r="BJ30" s="1" t="s">
        <v>588</v>
      </c>
      <c r="BK30" s="1" t="s">
        <v>588</v>
      </c>
      <c r="BL30" s="1" t="s">
        <v>588</v>
      </c>
      <c r="BM30">
        <v>4</v>
      </c>
      <c r="BN30">
        <v>4</v>
      </c>
      <c r="BO30" s="1" t="s">
        <v>8</v>
      </c>
      <c r="BP30">
        <v>1</v>
      </c>
      <c r="BQ30" s="1">
        <v>42037</v>
      </c>
      <c r="BR30" s="1" t="s">
        <v>21</v>
      </c>
      <c r="BS30" t="s">
        <v>41</v>
      </c>
      <c r="BT30" s="1" t="s">
        <v>42</v>
      </c>
      <c r="BU30" s="1" t="s">
        <v>42</v>
      </c>
      <c r="BV30" s="1" t="s">
        <v>41</v>
      </c>
      <c r="BW30" s="1" t="s">
        <v>42</v>
      </c>
      <c r="BX30" s="1" t="s">
        <v>42</v>
      </c>
      <c r="BY30" s="1" t="s">
        <v>588</v>
      </c>
      <c r="BZ30" s="1" t="s">
        <v>588</v>
      </c>
    </row>
    <row r="31" spans="1:78" x14ac:dyDescent="0.25">
      <c r="A31">
        <v>201415</v>
      </c>
      <c r="B31" t="s">
        <v>561</v>
      </c>
      <c r="C31" t="s">
        <v>561</v>
      </c>
      <c r="D31" t="s">
        <v>404</v>
      </c>
      <c r="E31" t="s">
        <v>1844</v>
      </c>
      <c r="F31">
        <v>1</v>
      </c>
      <c r="G31" t="s">
        <v>1890</v>
      </c>
      <c r="H31" s="11" t="s">
        <v>2070</v>
      </c>
      <c r="I31" s="1">
        <v>42015</v>
      </c>
      <c r="J31" s="11">
        <v>11</v>
      </c>
      <c r="K31" s="11">
        <v>1</v>
      </c>
      <c r="L31" s="11">
        <v>2015</v>
      </c>
      <c r="M31" s="11" t="s">
        <v>1976</v>
      </c>
      <c r="N31" t="s">
        <v>12</v>
      </c>
      <c r="O31" t="s">
        <v>10</v>
      </c>
      <c r="P31" t="s">
        <v>588</v>
      </c>
      <c r="Q31" t="s">
        <v>588</v>
      </c>
      <c r="R31" t="s">
        <v>588</v>
      </c>
      <c r="S31" t="s">
        <v>588</v>
      </c>
      <c r="T31">
        <v>3</v>
      </c>
      <c r="U31">
        <v>3</v>
      </c>
      <c r="V31" t="s">
        <v>588</v>
      </c>
      <c r="W31" t="s">
        <v>588</v>
      </c>
      <c r="X31">
        <v>2</v>
      </c>
      <c r="Y31">
        <v>2</v>
      </c>
      <c r="Z31" t="s">
        <v>41</v>
      </c>
      <c r="AA31" s="1">
        <v>42015</v>
      </c>
      <c r="AB31" s="11">
        <v>11</v>
      </c>
      <c r="AC31" s="11">
        <v>1</v>
      </c>
      <c r="AD31" s="11">
        <v>2015</v>
      </c>
      <c r="AE31" s="13" t="s">
        <v>1976</v>
      </c>
      <c r="AF31" t="s">
        <v>12</v>
      </c>
      <c r="AG31" s="1">
        <v>42023</v>
      </c>
      <c r="AH31" s="11">
        <v>19</v>
      </c>
      <c r="AI31" s="11">
        <v>1</v>
      </c>
      <c r="AJ31" s="11">
        <v>2015</v>
      </c>
      <c r="AK31" s="13" t="s">
        <v>1928</v>
      </c>
      <c r="AL31" t="s">
        <v>12</v>
      </c>
      <c r="AM31" s="1" t="s">
        <v>41</v>
      </c>
      <c r="AN31" t="s">
        <v>8</v>
      </c>
      <c r="AO31" t="s">
        <v>1606</v>
      </c>
      <c r="AP31" t="s">
        <v>588</v>
      </c>
      <c r="AQ31" s="1" t="s">
        <v>588</v>
      </c>
      <c r="AR31" t="s">
        <v>588</v>
      </c>
      <c r="AS31" t="s">
        <v>588</v>
      </c>
      <c r="AT31" t="s">
        <v>588</v>
      </c>
      <c r="AU31" s="1" t="s">
        <v>588</v>
      </c>
      <c r="AV31" t="s">
        <v>588</v>
      </c>
      <c r="AW31" s="1" t="s">
        <v>588</v>
      </c>
      <c r="AX31" t="s">
        <v>588</v>
      </c>
      <c r="AY31" s="1" t="s">
        <v>588</v>
      </c>
      <c r="AZ31" t="s">
        <v>588</v>
      </c>
      <c r="BA31" s="1" t="s">
        <v>588</v>
      </c>
      <c r="BB31" t="s">
        <v>588</v>
      </c>
      <c r="BC31" s="1" t="s">
        <v>588</v>
      </c>
      <c r="BD31" t="s">
        <v>588</v>
      </c>
      <c r="BE31" s="1" t="s">
        <v>588</v>
      </c>
      <c r="BF31" t="s">
        <v>588</v>
      </c>
      <c r="BG31" s="1" t="s">
        <v>588</v>
      </c>
      <c r="BH31" s="1" t="s">
        <v>588</v>
      </c>
      <c r="BI31" s="1" t="s">
        <v>588</v>
      </c>
      <c r="BJ31" s="1" t="s">
        <v>588</v>
      </c>
      <c r="BK31" s="1" t="s">
        <v>588</v>
      </c>
      <c r="BL31" s="1" t="s">
        <v>588</v>
      </c>
      <c r="BM31" s="1" t="s">
        <v>588</v>
      </c>
      <c r="BN31" s="1" t="s">
        <v>588</v>
      </c>
      <c r="BO31" s="1" t="s">
        <v>588</v>
      </c>
      <c r="BP31" s="1" t="s">
        <v>588</v>
      </c>
      <c r="BQ31" s="1" t="s">
        <v>588</v>
      </c>
      <c r="BR31" s="1" t="s">
        <v>588</v>
      </c>
      <c r="BS31" t="s">
        <v>41</v>
      </c>
      <c r="BT31" s="1" t="s">
        <v>42</v>
      </c>
      <c r="BU31" s="1" t="s">
        <v>42</v>
      </c>
      <c r="BV31" s="1" t="s">
        <v>588</v>
      </c>
      <c r="BW31" s="1" t="s">
        <v>588</v>
      </c>
      <c r="BX31" s="1" t="s">
        <v>588</v>
      </c>
      <c r="BY31" s="1" t="s">
        <v>588</v>
      </c>
      <c r="BZ31" s="1" t="s">
        <v>588</v>
      </c>
    </row>
    <row r="32" spans="1:78" x14ac:dyDescent="0.25">
      <c r="A32">
        <v>201415</v>
      </c>
      <c r="B32" t="s">
        <v>561</v>
      </c>
      <c r="C32" t="s">
        <v>561</v>
      </c>
      <c r="D32" t="s">
        <v>404</v>
      </c>
      <c r="E32" t="s">
        <v>1844</v>
      </c>
      <c r="F32">
        <v>2</v>
      </c>
      <c r="G32" t="s">
        <v>1891</v>
      </c>
      <c r="H32" s="11" t="s">
        <v>2071</v>
      </c>
      <c r="I32" s="1">
        <v>42044</v>
      </c>
      <c r="J32" s="11">
        <v>9</v>
      </c>
      <c r="K32" s="11">
        <v>2</v>
      </c>
      <c r="L32" s="11">
        <v>2015</v>
      </c>
      <c r="M32" s="11" t="s">
        <v>1977</v>
      </c>
      <c r="N32" t="s">
        <v>21</v>
      </c>
      <c r="O32" t="s">
        <v>10</v>
      </c>
      <c r="P32">
        <v>-38.586922000000001</v>
      </c>
      <c r="Q32">
        <v>145.51226800000001</v>
      </c>
      <c r="R32" t="s">
        <v>588</v>
      </c>
      <c r="S32" t="s">
        <v>588</v>
      </c>
      <c r="T32">
        <v>2</v>
      </c>
      <c r="U32">
        <v>3</v>
      </c>
      <c r="V32" t="s">
        <v>588</v>
      </c>
      <c r="W32" t="s">
        <v>588</v>
      </c>
      <c r="X32">
        <v>2</v>
      </c>
      <c r="Y32">
        <v>2</v>
      </c>
      <c r="Z32" t="s">
        <v>41</v>
      </c>
      <c r="AA32" s="1">
        <v>42044</v>
      </c>
      <c r="AB32" s="11">
        <v>9</v>
      </c>
      <c r="AC32" s="11">
        <v>2</v>
      </c>
      <c r="AD32" s="11">
        <v>2015</v>
      </c>
      <c r="AE32" s="13" t="s">
        <v>1977</v>
      </c>
      <c r="AF32" t="s">
        <v>21</v>
      </c>
      <c r="AG32" s="1">
        <v>42053</v>
      </c>
      <c r="AH32" s="11">
        <v>18</v>
      </c>
      <c r="AI32" s="11">
        <v>2</v>
      </c>
      <c r="AJ32" s="11">
        <v>2015</v>
      </c>
      <c r="AK32" s="13" t="s">
        <v>1919</v>
      </c>
      <c r="AL32" t="s">
        <v>21</v>
      </c>
      <c r="AM32" s="1" t="s">
        <v>41</v>
      </c>
      <c r="AN32" t="s">
        <v>8</v>
      </c>
      <c r="AO32" t="s">
        <v>32</v>
      </c>
      <c r="AP32" s="1" t="s">
        <v>588</v>
      </c>
      <c r="AQ32" s="1" t="s">
        <v>588</v>
      </c>
      <c r="AR32" s="1" t="s">
        <v>588</v>
      </c>
      <c r="AS32" s="1" t="s">
        <v>588</v>
      </c>
      <c r="AT32" s="1" t="s">
        <v>588</v>
      </c>
      <c r="AU32" s="1" t="s">
        <v>588</v>
      </c>
      <c r="AV32" s="1" t="s">
        <v>588</v>
      </c>
      <c r="AW32" s="1" t="s">
        <v>588</v>
      </c>
      <c r="AX32" s="1" t="s">
        <v>588</v>
      </c>
      <c r="AY32" s="1" t="s">
        <v>588</v>
      </c>
      <c r="AZ32" s="1" t="s">
        <v>588</v>
      </c>
      <c r="BA32" s="1" t="s">
        <v>588</v>
      </c>
      <c r="BB32" s="1" t="s">
        <v>588</v>
      </c>
      <c r="BC32" s="1" t="s">
        <v>588</v>
      </c>
      <c r="BD32" s="1" t="s">
        <v>588</v>
      </c>
      <c r="BE32" s="1" t="s">
        <v>588</v>
      </c>
      <c r="BF32" s="1" t="s">
        <v>588</v>
      </c>
      <c r="BG32" s="1" t="s">
        <v>588</v>
      </c>
      <c r="BH32" s="1" t="s">
        <v>588</v>
      </c>
      <c r="BI32" s="1" t="s">
        <v>588</v>
      </c>
      <c r="BJ32" s="1" t="s">
        <v>588</v>
      </c>
      <c r="BK32" s="1" t="s">
        <v>588</v>
      </c>
      <c r="BL32" s="1" t="s">
        <v>588</v>
      </c>
      <c r="BM32" s="1" t="s">
        <v>588</v>
      </c>
      <c r="BN32" s="1" t="s">
        <v>588</v>
      </c>
      <c r="BO32" s="1" t="s">
        <v>588</v>
      </c>
      <c r="BP32" s="1" t="s">
        <v>588</v>
      </c>
      <c r="BQ32" s="1" t="s">
        <v>588</v>
      </c>
      <c r="BR32" s="1" t="s">
        <v>588</v>
      </c>
      <c r="BS32" t="s">
        <v>41</v>
      </c>
      <c r="BT32" s="1" t="s">
        <v>42</v>
      </c>
      <c r="BU32" s="1" t="s">
        <v>42</v>
      </c>
      <c r="BV32" s="1" t="s">
        <v>588</v>
      </c>
      <c r="BW32" s="1" t="s">
        <v>588</v>
      </c>
      <c r="BX32" s="1" t="s">
        <v>588</v>
      </c>
      <c r="BY32" s="1" t="s">
        <v>588</v>
      </c>
      <c r="BZ32" s="1" t="s">
        <v>588</v>
      </c>
    </row>
    <row r="33" spans="1:78" x14ac:dyDescent="0.25">
      <c r="A33">
        <v>201415</v>
      </c>
      <c r="B33" t="s">
        <v>308</v>
      </c>
      <c r="C33" t="s">
        <v>308</v>
      </c>
      <c r="D33" t="s">
        <v>1844</v>
      </c>
      <c r="E33" t="s">
        <v>1844</v>
      </c>
      <c r="F33">
        <v>1</v>
      </c>
      <c r="G33" t="s">
        <v>1892</v>
      </c>
      <c r="H33" s="11" t="s">
        <v>2072</v>
      </c>
      <c r="I33" s="1">
        <v>42015</v>
      </c>
      <c r="J33" s="11">
        <v>11</v>
      </c>
      <c r="K33" s="11">
        <v>1</v>
      </c>
      <c r="L33" s="11">
        <v>2015</v>
      </c>
      <c r="M33" s="11" t="s">
        <v>1976</v>
      </c>
      <c r="N33" t="s">
        <v>12</v>
      </c>
      <c r="O33" t="s">
        <v>19</v>
      </c>
      <c r="P33">
        <v>-38.584018999999998</v>
      </c>
      <c r="Q33">
        <v>145.51004</v>
      </c>
      <c r="R33" t="s">
        <v>588</v>
      </c>
      <c r="S33" t="s">
        <v>588</v>
      </c>
      <c r="T33">
        <v>1</v>
      </c>
      <c r="U33">
        <v>3</v>
      </c>
      <c r="V33" t="s">
        <v>588</v>
      </c>
      <c r="W33" t="s">
        <v>588</v>
      </c>
      <c r="X33">
        <v>3</v>
      </c>
      <c r="Y33">
        <v>3</v>
      </c>
      <c r="Z33" t="s">
        <v>41</v>
      </c>
      <c r="AA33" s="1">
        <v>42020</v>
      </c>
      <c r="AB33" s="11">
        <v>16</v>
      </c>
      <c r="AC33" s="11">
        <v>1</v>
      </c>
      <c r="AD33" s="11">
        <v>2015</v>
      </c>
      <c r="AE33" s="13" t="s">
        <v>1932</v>
      </c>
      <c r="AF33" t="s">
        <v>12</v>
      </c>
      <c r="AG33" s="1">
        <v>42031</v>
      </c>
      <c r="AH33" s="11">
        <v>27</v>
      </c>
      <c r="AI33" s="11">
        <v>1</v>
      </c>
      <c r="AJ33" s="11">
        <v>2015</v>
      </c>
      <c r="AK33" s="13" t="s">
        <v>1929</v>
      </c>
      <c r="AL33" t="s">
        <v>12</v>
      </c>
      <c r="AM33" s="1" t="s">
        <v>41</v>
      </c>
      <c r="AN33" t="s">
        <v>8</v>
      </c>
      <c r="AO33" t="s">
        <v>11</v>
      </c>
      <c r="AP33" s="1" t="s">
        <v>588</v>
      </c>
      <c r="AQ33" s="1" t="s">
        <v>588</v>
      </c>
      <c r="AR33" s="1" t="s">
        <v>588</v>
      </c>
      <c r="AS33" s="1" t="s">
        <v>588</v>
      </c>
      <c r="AT33" s="1" t="s">
        <v>588</v>
      </c>
      <c r="AU33" s="1" t="s">
        <v>588</v>
      </c>
      <c r="AV33" s="1" t="s">
        <v>588</v>
      </c>
      <c r="AW33" s="1" t="s">
        <v>588</v>
      </c>
      <c r="AX33" s="1" t="s">
        <v>588</v>
      </c>
      <c r="AY33" s="1" t="s">
        <v>588</v>
      </c>
      <c r="AZ33" s="1" t="s">
        <v>588</v>
      </c>
      <c r="BA33" s="1" t="s">
        <v>588</v>
      </c>
      <c r="BB33" s="1" t="s">
        <v>588</v>
      </c>
      <c r="BC33" s="1" t="s">
        <v>588</v>
      </c>
      <c r="BD33" s="1" t="s">
        <v>588</v>
      </c>
      <c r="BE33" s="1" t="s">
        <v>588</v>
      </c>
      <c r="BF33" s="1" t="s">
        <v>588</v>
      </c>
      <c r="BG33" s="1" t="s">
        <v>588</v>
      </c>
      <c r="BH33" s="1" t="s">
        <v>588</v>
      </c>
      <c r="BI33" s="1" t="s">
        <v>588</v>
      </c>
      <c r="BJ33" s="1" t="s">
        <v>588</v>
      </c>
      <c r="BK33" s="1" t="s">
        <v>588</v>
      </c>
      <c r="BL33" s="1" t="s">
        <v>588</v>
      </c>
      <c r="BM33" s="1" t="s">
        <v>588</v>
      </c>
      <c r="BN33" s="1" t="s">
        <v>588</v>
      </c>
      <c r="BO33" s="1" t="s">
        <v>588</v>
      </c>
      <c r="BP33" s="1" t="s">
        <v>588</v>
      </c>
      <c r="BQ33" s="1" t="s">
        <v>588</v>
      </c>
      <c r="BR33" s="1" t="s">
        <v>588</v>
      </c>
      <c r="BS33" t="s">
        <v>8</v>
      </c>
      <c r="BT33" t="s">
        <v>120</v>
      </c>
      <c r="BU33" t="s">
        <v>120</v>
      </c>
      <c r="BV33" s="1" t="s">
        <v>588</v>
      </c>
      <c r="BW33" s="1" t="s">
        <v>588</v>
      </c>
      <c r="BX33" s="1" t="s">
        <v>588</v>
      </c>
      <c r="BY33" s="1" t="s">
        <v>588</v>
      </c>
      <c r="BZ33" s="1" t="s">
        <v>588</v>
      </c>
    </row>
    <row r="34" spans="1:78" x14ac:dyDescent="0.25">
      <c r="A34">
        <v>201415</v>
      </c>
      <c r="B34" t="s">
        <v>308</v>
      </c>
      <c r="C34" t="s">
        <v>308</v>
      </c>
      <c r="D34" t="s">
        <v>1844</v>
      </c>
      <c r="E34" t="s">
        <v>1844</v>
      </c>
      <c r="F34">
        <v>2</v>
      </c>
      <c r="G34" t="s">
        <v>1893</v>
      </c>
      <c r="H34" s="11" t="s">
        <v>2073</v>
      </c>
      <c r="I34" s="1">
        <v>42041</v>
      </c>
      <c r="J34" s="11">
        <v>6</v>
      </c>
      <c r="K34" s="11">
        <v>2</v>
      </c>
      <c r="L34" s="11">
        <v>2015</v>
      </c>
      <c r="M34" s="11" t="s">
        <v>1934</v>
      </c>
      <c r="N34" t="s">
        <v>21</v>
      </c>
      <c r="O34" t="s">
        <v>19</v>
      </c>
      <c r="P34">
        <v>-38.584000000000003</v>
      </c>
      <c r="Q34">
        <v>145.510132</v>
      </c>
      <c r="R34" t="s">
        <v>588</v>
      </c>
      <c r="S34" t="s">
        <v>588</v>
      </c>
      <c r="T34">
        <v>2</v>
      </c>
      <c r="U34">
        <v>3</v>
      </c>
      <c r="V34" s="1" t="s">
        <v>588</v>
      </c>
      <c r="W34" t="s">
        <v>588</v>
      </c>
      <c r="X34">
        <v>3</v>
      </c>
      <c r="Y34">
        <v>3</v>
      </c>
      <c r="Z34" t="s">
        <v>41</v>
      </c>
      <c r="AA34" s="1">
        <v>42044</v>
      </c>
      <c r="AB34" s="11">
        <v>9</v>
      </c>
      <c r="AC34" s="11">
        <v>2</v>
      </c>
      <c r="AD34" s="11">
        <v>2015</v>
      </c>
      <c r="AE34" s="13" t="s">
        <v>1977</v>
      </c>
      <c r="AF34" t="s">
        <v>21</v>
      </c>
      <c r="AG34" s="1">
        <v>42048</v>
      </c>
      <c r="AH34" s="11">
        <v>13</v>
      </c>
      <c r="AI34" s="11">
        <v>2</v>
      </c>
      <c r="AJ34" s="11">
        <v>2015</v>
      </c>
      <c r="AK34" s="13" t="s">
        <v>1930</v>
      </c>
      <c r="AL34" t="s">
        <v>21</v>
      </c>
      <c r="AM34" s="1" t="s">
        <v>41</v>
      </c>
      <c r="AN34" t="s">
        <v>8</v>
      </c>
      <c r="AO34" t="s">
        <v>32</v>
      </c>
      <c r="AP34" s="1" t="s">
        <v>588</v>
      </c>
      <c r="AQ34" s="1" t="s">
        <v>588</v>
      </c>
      <c r="AR34" s="1" t="s">
        <v>588</v>
      </c>
      <c r="AS34" s="1" t="s">
        <v>588</v>
      </c>
      <c r="AT34" s="1" t="s">
        <v>588</v>
      </c>
      <c r="AU34" s="1" t="s">
        <v>588</v>
      </c>
      <c r="AV34" s="1" t="s">
        <v>588</v>
      </c>
      <c r="AW34" s="1" t="s">
        <v>588</v>
      </c>
      <c r="AX34" s="1" t="s">
        <v>588</v>
      </c>
      <c r="AY34" s="1" t="s">
        <v>588</v>
      </c>
      <c r="AZ34" s="1" t="s">
        <v>588</v>
      </c>
      <c r="BA34" s="1" t="s">
        <v>588</v>
      </c>
      <c r="BB34" s="1" t="s">
        <v>588</v>
      </c>
      <c r="BC34" s="1" t="s">
        <v>588</v>
      </c>
      <c r="BD34" s="1" t="s">
        <v>588</v>
      </c>
      <c r="BE34" s="1" t="s">
        <v>588</v>
      </c>
      <c r="BF34" s="1" t="s">
        <v>588</v>
      </c>
      <c r="BG34" s="1" t="s">
        <v>588</v>
      </c>
      <c r="BH34" s="1" t="s">
        <v>588</v>
      </c>
      <c r="BI34" s="1" t="s">
        <v>588</v>
      </c>
      <c r="BJ34" s="1" t="s">
        <v>588</v>
      </c>
      <c r="BK34" s="1" t="s">
        <v>588</v>
      </c>
      <c r="BL34" s="1" t="s">
        <v>588</v>
      </c>
      <c r="BM34" s="1" t="s">
        <v>588</v>
      </c>
      <c r="BN34" s="1" t="s">
        <v>588</v>
      </c>
      <c r="BO34" s="1" t="s">
        <v>588</v>
      </c>
      <c r="BP34" s="1" t="s">
        <v>588</v>
      </c>
      <c r="BQ34" s="1" t="s">
        <v>588</v>
      </c>
      <c r="BR34" s="1" t="s">
        <v>588</v>
      </c>
      <c r="BS34" t="s">
        <v>8</v>
      </c>
      <c r="BT34" t="s">
        <v>120</v>
      </c>
      <c r="BU34" t="s">
        <v>120</v>
      </c>
      <c r="BV34" s="1" t="s">
        <v>588</v>
      </c>
      <c r="BW34" s="1" t="s">
        <v>588</v>
      </c>
      <c r="BX34" s="1" t="s">
        <v>588</v>
      </c>
      <c r="BY34" s="1" t="s">
        <v>588</v>
      </c>
      <c r="BZ34" s="1" t="s">
        <v>588</v>
      </c>
    </row>
    <row r="35" spans="1:78" x14ac:dyDescent="0.25">
      <c r="A35">
        <v>201415</v>
      </c>
      <c r="B35" t="s">
        <v>320</v>
      </c>
      <c r="C35" t="s">
        <v>320</v>
      </c>
      <c r="D35" t="s">
        <v>321</v>
      </c>
      <c r="E35" t="s">
        <v>1844</v>
      </c>
      <c r="F35">
        <v>1</v>
      </c>
      <c r="G35" t="s">
        <v>1894</v>
      </c>
      <c r="H35" s="11" t="s">
        <v>2074</v>
      </c>
      <c r="I35" s="1">
        <v>42016</v>
      </c>
      <c r="J35" s="11">
        <v>12</v>
      </c>
      <c r="K35" s="11">
        <v>1</v>
      </c>
      <c r="L35" s="11">
        <v>2015</v>
      </c>
      <c r="M35" s="11" t="s">
        <v>1963</v>
      </c>
      <c r="N35" t="s">
        <v>12</v>
      </c>
      <c r="O35" t="s">
        <v>36</v>
      </c>
      <c r="P35">
        <v>-38.572707999999999</v>
      </c>
      <c r="Q35">
        <v>145.498795</v>
      </c>
      <c r="R35" t="s">
        <v>588</v>
      </c>
      <c r="S35" t="s">
        <v>588</v>
      </c>
      <c r="T35">
        <v>3</v>
      </c>
      <c r="U35">
        <v>3</v>
      </c>
      <c r="V35" s="1">
        <v>42018</v>
      </c>
      <c r="W35" t="s">
        <v>223</v>
      </c>
      <c r="X35">
        <v>6</v>
      </c>
      <c r="Y35">
        <v>6</v>
      </c>
      <c r="Z35" t="s">
        <v>41</v>
      </c>
      <c r="AA35" s="1">
        <v>42041</v>
      </c>
      <c r="AB35" s="11">
        <v>6</v>
      </c>
      <c r="AC35" s="11">
        <v>2</v>
      </c>
      <c r="AD35" s="11">
        <v>2015</v>
      </c>
      <c r="AE35" s="13" t="s">
        <v>1934</v>
      </c>
      <c r="AF35" t="s">
        <v>21</v>
      </c>
      <c r="AG35" s="1">
        <v>42048</v>
      </c>
      <c r="AH35" s="11">
        <v>13</v>
      </c>
      <c r="AI35" s="11">
        <v>2</v>
      </c>
      <c r="AJ35" s="11">
        <v>2015</v>
      </c>
      <c r="AK35" s="13" t="s">
        <v>1930</v>
      </c>
      <c r="AL35" t="s">
        <v>21</v>
      </c>
      <c r="AM35" s="1" t="s">
        <v>41</v>
      </c>
      <c r="AN35" t="s">
        <v>8</v>
      </c>
      <c r="AO35" t="s">
        <v>32</v>
      </c>
      <c r="AP35" s="1" t="s">
        <v>588</v>
      </c>
      <c r="AQ35" s="1" t="s">
        <v>588</v>
      </c>
      <c r="AR35" s="1" t="s">
        <v>588</v>
      </c>
      <c r="AS35" s="1" t="s">
        <v>588</v>
      </c>
      <c r="AT35" s="1" t="s">
        <v>588</v>
      </c>
      <c r="AU35" s="1" t="s">
        <v>588</v>
      </c>
      <c r="AV35" s="1" t="s">
        <v>588</v>
      </c>
      <c r="AW35" s="1" t="s">
        <v>588</v>
      </c>
      <c r="AX35" s="1" t="s">
        <v>588</v>
      </c>
      <c r="AY35" s="1" t="s">
        <v>588</v>
      </c>
      <c r="AZ35" s="1" t="s">
        <v>588</v>
      </c>
      <c r="BA35" s="1" t="s">
        <v>588</v>
      </c>
      <c r="BB35" s="1" t="s">
        <v>588</v>
      </c>
      <c r="BC35" s="1" t="s">
        <v>588</v>
      </c>
      <c r="BD35" s="1" t="s">
        <v>588</v>
      </c>
      <c r="BE35" s="1" t="s">
        <v>588</v>
      </c>
      <c r="BF35" s="1" t="s">
        <v>588</v>
      </c>
      <c r="BG35" s="1" t="s">
        <v>588</v>
      </c>
      <c r="BH35" s="1" t="s">
        <v>588</v>
      </c>
      <c r="BI35" s="1" t="s">
        <v>588</v>
      </c>
      <c r="BJ35" s="1" t="s">
        <v>588</v>
      </c>
      <c r="BK35" s="1" t="s">
        <v>588</v>
      </c>
      <c r="BL35" s="1" t="s">
        <v>588</v>
      </c>
      <c r="BM35" s="1" t="s">
        <v>588</v>
      </c>
      <c r="BN35" s="1" t="s">
        <v>588</v>
      </c>
      <c r="BO35" s="1" t="s">
        <v>588</v>
      </c>
      <c r="BP35" s="1" t="s">
        <v>588</v>
      </c>
      <c r="BQ35" s="1" t="s">
        <v>588</v>
      </c>
      <c r="BR35" s="1" t="s">
        <v>588</v>
      </c>
      <c r="BS35" t="s">
        <v>8</v>
      </c>
      <c r="BT35" t="s">
        <v>123</v>
      </c>
      <c r="BU35" t="s">
        <v>123</v>
      </c>
      <c r="BV35" s="1" t="s">
        <v>588</v>
      </c>
      <c r="BW35" s="1" t="s">
        <v>588</v>
      </c>
      <c r="BX35" s="1" t="s">
        <v>588</v>
      </c>
      <c r="BY35" s="1" t="s">
        <v>588</v>
      </c>
      <c r="BZ35" s="1" t="s">
        <v>588</v>
      </c>
    </row>
    <row r="36" spans="1:78" x14ac:dyDescent="0.25">
      <c r="A36">
        <v>201415</v>
      </c>
      <c r="B36" t="s">
        <v>582</v>
      </c>
      <c r="C36" t="s">
        <v>324</v>
      </c>
      <c r="D36" t="s">
        <v>1852</v>
      </c>
      <c r="E36" t="s">
        <v>1853</v>
      </c>
      <c r="F36">
        <v>1</v>
      </c>
      <c r="G36" t="s">
        <v>1895</v>
      </c>
      <c r="H36" s="11" t="s">
        <v>2075</v>
      </c>
      <c r="I36" s="1">
        <v>41982</v>
      </c>
      <c r="J36" s="11">
        <v>9</v>
      </c>
      <c r="K36" s="11">
        <v>12</v>
      </c>
      <c r="L36" s="11">
        <v>2014</v>
      </c>
      <c r="M36" s="11" t="s">
        <v>1940</v>
      </c>
      <c r="N36" t="s">
        <v>7</v>
      </c>
      <c r="O36" t="s">
        <v>51</v>
      </c>
      <c r="P36">
        <v>-38.556221000000001</v>
      </c>
      <c r="Q36">
        <v>145.530563</v>
      </c>
      <c r="R36" t="s">
        <v>588</v>
      </c>
      <c r="S36" t="s">
        <v>588</v>
      </c>
      <c r="T36">
        <v>3</v>
      </c>
      <c r="U36">
        <v>3</v>
      </c>
      <c r="V36" t="s">
        <v>588</v>
      </c>
      <c r="W36" t="s">
        <v>588</v>
      </c>
      <c r="X36">
        <v>2</v>
      </c>
      <c r="Y36">
        <v>2</v>
      </c>
      <c r="Z36" t="s">
        <v>41</v>
      </c>
      <c r="AA36" s="1">
        <v>41982</v>
      </c>
      <c r="AB36" s="11">
        <v>9</v>
      </c>
      <c r="AC36" s="11">
        <v>12</v>
      </c>
      <c r="AD36" s="11">
        <v>2014</v>
      </c>
      <c r="AE36" s="13" t="s">
        <v>1940</v>
      </c>
      <c r="AF36" t="s">
        <v>7</v>
      </c>
      <c r="AG36" s="1">
        <v>41988</v>
      </c>
      <c r="AH36" s="11">
        <v>15</v>
      </c>
      <c r="AI36" s="11">
        <v>12</v>
      </c>
      <c r="AJ36" s="11">
        <v>2014</v>
      </c>
      <c r="AK36" s="13" t="s">
        <v>1931</v>
      </c>
      <c r="AL36" t="s">
        <v>7</v>
      </c>
      <c r="AM36" s="1" t="s">
        <v>41</v>
      </c>
      <c r="AN36" t="s">
        <v>8</v>
      </c>
      <c r="AO36" t="s">
        <v>32</v>
      </c>
      <c r="AP36" s="1" t="s">
        <v>588</v>
      </c>
      <c r="AQ36" s="1" t="s">
        <v>588</v>
      </c>
      <c r="AR36" s="1" t="s">
        <v>588</v>
      </c>
      <c r="AS36" s="1" t="s">
        <v>588</v>
      </c>
      <c r="AT36" s="1" t="s">
        <v>588</v>
      </c>
      <c r="AU36" s="1" t="s">
        <v>588</v>
      </c>
      <c r="AV36" s="1" t="s">
        <v>588</v>
      </c>
      <c r="AW36" s="1" t="s">
        <v>588</v>
      </c>
      <c r="AX36" s="1" t="s">
        <v>588</v>
      </c>
      <c r="AY36" s="1" t="s">
        <v>588</v>
      </c>
      <c r="AZ36" s="1" t="s">
        <v>588</v>
      </c>
      <c r="BA36" s="1" t="s">
        <v>588</v>
      </c>
      <c r="BB36" s="1" t="s">
        <v>588</v>
      </c>
      <c r="BC36" s="1" t="s">
        <v>588</v>
      </c>
      <c r="BD36" s="1" t="s">
        <v>588</v>
      </c>
      <c r="BE36" s="1" t="s">
        <v>588</v>
      </c>
      <c r="BF36" s="1" t="s">
        <v>588</v>
      </c>
      <c r="BG36" s="1" t="s">
        <v>588</v>
      </c>
      <c r="BH36" s="1" t="s">
        <v>588</v>
      </c>
      <c r="BI36" s="1" t="s">
        <v>588</v>
      </c>
      <c r="BJ36" s="1" t="s">
        <v>588</v>
      </c>
      <c r="BK36" s="1" t="s">
        <v>588</v>
      </c>
      <c r="BL36" s="1" t="s">
        <v>588</v>
      </c>
      <c r="BM36" s="1" t="s">
        <v>588</v>
      </c>
      <c r="BN36" s="1" t="s">
        <v>588</v>
      </c>
      <c r="BO36" s="1" t="s">
        <v>588</v>
      </c>
      <c r="BP36" s="1" t="s">
        <v>588</v>
      </c>
      <c r="BQ36" s="1" t="s">
        <v>588</v>
      </c>
      <c r="BR36" s="1" t="s">
        <v>588</v>
      </c>
      <c r="BS36" t="s">
        <v>41</v>
      </c>
      <c r="BT36" s="1" t="s">
        <v>42</v>
      </c>
      <c r="BU36" s="1" t="s">
        <v>42</v>
      </c>
      <c r="BV36" s="1" t="s">
        <v>588</v>
      </c>
      <c r="BW36" s="1" t="s">
        <v>588</v>
      </c>
      <c r="BX36" s="1" t="s">
        <v>588</v>
      </c>
      <c r="BY36" s="1" t="s">
        <v>588</v>
      </c>
      <c r="BZ36" s="1" t="s">
        <v>588</v>
      </c>
    </row>
    <row r="37" spans="1:78" x14ac:dyDescent="0.25">
      <c r="A37">
        <v>201415</v>
      </c>
      <c r="B37" t="s">
        <v>582</v>
      </c>
      <c r="C37" t="s">
        <v>324</v>
      </c>
      <c r="D37" t="s">
        <v>1852</v>
      </c>
      <c r="E37" t="s">
        <v>1853</v>
      </c>
      <c r="F37">
        <v>2</v>
      </c>
      <c r="G37" t="s">
        <v>1896</v>
      </c>
      <c r="H37" s="11" t="s">
        <v>2076</v>
      </c>
      <c r="I37" s="1">
        <v>42009</v>
      </c>
      <c r="J37" s="11">
        <v>5</v>
      </c>
      <c r="K37" s="11">
        <v>1</v>
      </c>
      <c r="L37" s="11">
        <v>2015</v>
      </c>
      <c r="M37" s="11" t="s">
        <v>1980</v>
      </c>
      <c r="N37" t="s">
        <v>12</v>
      </c>
      <c r="O37" t="s">
        <v>10</v>
      </c>
      <c r="P37">
        <v>-38.568981000000001</v>
      </c>
      <c r="Q37">
        <v>145.49560500000001</v>
      </c>
      <c r="R37" t="s">
        <v>588</v>
      </c>
      <c r="S37" t="s">
        <v>588</v>
      </c>
      <c r="T37">
        <v>3</v>
      </c>
      <c r="U37">
        <v>3</v>
      </c>
      <c r="V37" s="1">
        <v>42018</v>
      </c>
      <c r="W37" t="s">
        <v>223</v>
      </c>
      <c r="X37">
        <v>3</v>
      </c>
      <c r="Y37">
        <v>3</v>
      </c>
      <c r="Z37" t="s">
        <v>41</v>
      </c>
      <c r="AA37" s="1">
        <v>42016</v>
      </c>
      <c r="AB37" s="11">
        <v>12</v>
      </c>
      <c r="AC37" s="11">
        <v>1</v>
      </c>
      <c r="AD37" s="11">
        <v>2015</v>
      </c>
      <c r="AE37" s="13" t="s">
        <v>1963</v>
      </c>
      <c r="AF37" t="s">
        <v>12</v>
      </c>
      <c r="AG37" s="1">
        <v>42020</v>
      </c>
      <c r="AH37" s="11">
        <v>16</v>
      </c>
      <c r="AI37" s="11">
        <v>1</v>
      </c>
      <c r="AJ37" s="11">
        <v>2015</v>
      </c>
      <c r="AK37" s="13" t="s">
        <v>1932</v>
      </c>
      <c r="AL37" t="s">
        <v>12</v>
      </c>
      <c r="AM37" s="1" t="s">
        <v>41</v>
      </c>
      <c r="AN37" t="s">
        <v>41</v>
      </c>
      <c r="AO37" t="s">
        <v>20</v>
      </c>
      <c r="AP37" s="1" t="s">
        <v>588</v>
      </c>
      <c r="AQ37" s="1" t="s">
        <v>588</v>
      </c>
      <c r="AR37" s="1" t="s">
        <v>588</v>
      </c>
      <c r="AS37" s="1" t="s">
        <v>588</v>
      </c>
      <c r="AT37" s="1" t="s">
        <v>588</v>
      </c>
      <c r="AU37" s="1" t="s">
        <v>588</v>
      </c>
      <c r="AV37" s="1" t="s">
        <v>588</v>
      </c>
      <c r="AW37" s="1" t="s">
        <v>588</v>
      </c>
      <c r="AX37" s="1" t="s">
        <v>588</v>
      </c>
      <c r="AY37" s="1" t="s">
        <v>588</v>
      </c>
      <c r="AZ37" s="1" t="s">
        <v>588</v>
      </c>
      <c r="BA37" s="1" t="s">
        <v>588</v>
      </c>
      <c r="BB37" s="1" t="s">
        <v>588</v>
      </c>
      <c r="BC37" s="1" t="s">
        <v>588</v>
      </c>
      <c r="BD37" s="1" t="s">
        <v>588</v>
      </c>
      <c r="BE37" s="1" t="s">
        <v>588</v>
      </c>
      <c r="BF37" s="1" t="s">
        <v>588</v>
      </c>
      <c r="BG37" s="1" t="s">
        <v>588</v>
      </c>
      <c r="BH37" s="1" t="s">
        <v>588</v>
      </c>
      <c r="BI37" s="1" t="s">
        <v>588</v>
      </c>
      <c r="BJ37" s="1" t="s">
        <v>588</v>
      </c>
      <c r="BK37" s="1" t="s">
        <v>588</v>
      </c>
      <c r="BL37" s="1" t="s">
        <v>588</v>
      </c>
      <c r="BM37" s="1" t="s">
        <v>588</v>
      </c>
      <c r="BN37" s="1" t="s">
        <v>588</v>
      </c>
      <c r="BO37" s="1" t="s">
        <v>588</v>
      </c>
      <c r="BP37" s="1" t="s">
        <v>588</v>
      </c>
      <c r="BQ37" s="1" t="s">
        <v>588</v>
      </c>
      <c r="BR37" s="1" t="s">
        <v>588</v>
      </c>
      <c r="BS37" t="s">
        <v>41</v>
      </c>
      <c r="BT37" s="1" t="s">
        <v>42</v>
      </c>
      <c r="BU37" s="1" t="s">
        <v>42</v>
      </c>
      <c r="BV37" s="1" t="s">
        <v>588</v>
      </c>
      <c r="BW37" s="1" t="s">
        <v>588</v>
      </c>
      <c r="BX37" s="1" t="s">
        <v>588</v>
      </c>
      <c r="BY37" s="1" t="s">
        <v>588</v>
      </c>
      <c r="BZ37" s="1" t="s">
        <v>588</v>
      </c>
    </row>
    <row r="38" spans="1:78" x14ac:dyDescent="0.25">
      <c r="A38">
        <v>201415</v>
      </c>
      <c r="B38" t="s">
        <v>582</v>
      </c>
      <c r="C38" t="s">
        <v>324</v>
      </c>
      <c r="D38" t="s">
        <v>1852</v>
      </c>
      <c r="E38" t="s">
        <v>1853</v>
      </c>
      <c r="F38">
        <v>3</v>
      </c>
      <c r="G38" t="s">
        <v>1897</v>
      </c>
      <c r="H38" s="11" t="s">
        <v>2077</v>
      </c>
      <c r="I38" s="1">
        <v>42041</v>
      </c>
      <c r="J38" s="11">
        <v>6</v>
      </c>
      <c r="K38" s="11">
        <v>2</v>
      </c>
      <c r="L38" s="11">
        <v>2015</v>
      </c>
      <c r="M38" s="11" t="s">
        <v>1934</v>
      </c>
      <c r="N38" t="s">
        <v>21</v>
      </c>
      <c r="O38" t="s">
        <v>36</v>
      </c>
      <c r="P38">
        <v>-38.568199</v>
      </c>
      <c r="Q38">
        <v>145.495193</v>
      </c>
      <c r="R38" t="s">
        <v>588</v>
      </c>
      <c r="S38" t="s">
        <v>588</v>
      </c>
      <c r="T38">
        <v>3</v>
      </c>
      <c r="U38">
        <v>3</v>
      </c>
      <c r="V38" s="1" t="s">
        <v>588</v>
      </c>
      <c r="W38" t="s">
        <v>588</v>
      </c>
      <c r="X38">
        <v>2</v>
      </c>
      <c r="Y38">
        <v>2</v>
      </c>
      <c r="Z38" t="s">
        <v>41</v>
      </c>
      <c r="AA38" s="1">
        <v>42041</v>
      </c>
      <c r="AB38" s="11">
        <v>6</v>
      </c>
      <c r="AC38" s="11">
        <v>2</v>
      </c>
      <c r="AD38" s="11">
        <v>2015</v>
      </c>
      <c r="AE38" s="13" t="s">
        <v>1934</v>
      </c>
      <c r="AF38" t="s">
        <v>21</v>
      </c>
      <c r="AG38" s="1">
        <v>42048</v>
      </c>
      <c r="AH38" s="11">
        <v>13</v>
      </c>
      <c r="AI38" s="11">
        <v>2</v>
      </c>
      <c r="AJ38" s="11">
        <v>2015</v>
      </c>
      <c r="AK38" s="13" t="s">
        <v>1930</v>
      </c>
      <c r="AL38" t="s">
        <v>21</v>
      </c>
      <c r="AM38" s="1" t="s">
        <v>41</v>
      </c>
      <c r="AN38" t="s">
        <v>8</v>
      </c>
      <c r="AO38" t="s">
        <v>32</v>
      </c>
      <c r="AP38" s="1" t="s">
        <v>588</v>
      </c>
      <c r="AQ38" s="1" t="s">
        <v>588</v>
      </c>
      <c r="AR38" s="1" t="s">
        <v>588</v>
      </c>
      <c r="AS38" s="1" t="s">
        <v>588</v>
      </c>
      <c r="AT38" s="1" t="s">
        <v>588</v>
      </c>
      <c r="AU38" s="1" t="s">
        <v>588</v>
      </c>
      <c r="AV38" s="1" t="s">
        <v>588</v>
      </c>
      <c r="AW38" s="1" t="s">
        <v>588</v>
      </c>
      <c r="AX38" s="1" t="s">
        <v>588</v>
      </c>
      <c r="AY38" s="1" t="s">
        <v>588</v>
      </c>
      <c r="AZ38" s="1" t="s">
        <v>588</v>
      </c>
      <c r="BA38" s="1" t="s">
        <v>588</v>
      </c>
      <c r="BB38" s="1" t="s">
        <v>588</v>
      </c>
      <c r="BC38" s="1" t="s">
        <v>588</v>
      </c>
      <c r="BD38" s="1" t="s">
        <v>588</v>
      </c>
      <c r="BE38" s="1" t="s">
        <v>588</v>
      </c>
      <c r="BF38" s="1" t="s">
        <v>588</v>
      </c>
      <c r="BG38" s="1" t="s">
        <v>588</v>
      </c>
      <c r="BH38" s="1" t="s">
        <v>588</v>
      </c>
      <c r="BI38" s="1" t="s">
        <v>588</v>
      </c>
      <c r="BJ38" s="1" t="s">
        <v>588</v>
      </c>
      <c r="BK38" s="1" t="s">
        <v>588</v>
      </c>
      <c r="BL38" s="1" t="s">
        <v>588</v>
      </c>
      <c r="BM38" s="1" t="s">
        <v>588</v>
      </c>
      <c r="BN38" s="1" t="s">
        <v>588</v>
      </c>
      <c r="BO38" s="1" t="s">
        <v>588</v>
      </c>
      <c r="BP38" s="1" t="s">
        <v>588</v>
      </c>
      <c r="BQ38" s="1" t="s">
        <v>588</v>
      </c>
      <c r="BR38" s="1" t="s">
        <v>588</v>
      </c>
      <c r="BS38" t="s">
        <v>41</v>
      </c>
      <c r="BT38" s="1" t="s">
        <v>42</v>
      </c>
      <c r="BU38" s="1" t="s">
        <v>42</v>
      </c>
      <c r="BV38" s="1" t="s">
        <v>588</v>
      </c>
      <c r="BW38" s="1" t="s">
        <v>588</v>
      </c>
      <c r="BX38" s="1" t="s">
        <v>588</v>
      </c>
      <c r="BY38" s="1" t="s">
        <v>588</v>
      </c>
      <c r="BZ38" s="1" t="s">
        <v>588</v>
      </c>
    </row>
    <row r="39" spans="1:78" x14ac:dyDescent="0.25">
      <c r="A39">
        <v>201415</v>
      </c>
      <c r="B39" t="s">
        <v>1854</v>
      </c>
      <c r="C39" t="s">
        <v>1907</v>
      </c>
      <c r="D39" t="s">
        <v>1855</v>
      </c>
      <c r="E39" t="s">
        <v>433</v>
      </c>
      <c r="F39">
        <v>1</v>
      </c>
      <c r="G39" t="s">
        <v>1898</v>
      </c>
      <c r="H39" s="11" t="s">
        <v>2078</v>
      </c>
      <c r="I39" s="1">
        <v>42016</v>
      </c>
      <c r="J39" s="11">
        <v>12</v>
      </c>
      <c r="K39" s="11">
        <v>1</v>
      </c>
      <c r="L39" s="11">
        <v>2015</v>
      </c>
      <c r="M39" s="11" t="s">
        <v>1963</v>
      </c>
      <c r="N39" t="s">
        <v>12</v>
      </c>
      <c r="O39" t="s">
        <v>51</v>
      </c>
      <c r="P39" t="s">
        <v>588</v>
      </c>
      <c r="Q39" t="s">
        <v>588</v>
      </c>
      <c r="R39" t="s">
        <v>588</v>
      </c>
      <c r="S39" t="s">
        <v>588</v>
      </c>
      <c r="T39">
        <v>3</v>
      </c>
      <c r="U39">
        <v>3</v>
      </c>
      <c r="V39" s="1" t="s">
        <v>588</v>
      </c>
      <c r="W39" t="s">
        <v>588</v>
      </c>
      <c r="X39">
        <v>2</v>
      </c>
      <c r="Y39">
        <v>2</v>
      </c>
      <c r="Z39" t="s">
        <v>8</v>
      </c>
      <c r="AA39" s="1">
        <v>42020</v>
      </c>
      <c r="AB39" s="11">
        <v>16</v>
      </c>
      <c r="AC39" s="11">
        <v>1</v>
      </c>
      <c r="AD39" s="11">
        <v>2015</v>
      </c>
      <c r="AE39" s="13" t="s">
        <v>1932</v>
      </c>
      <c r="AF39" t="s">
        <v>12</v>
      </c>
      <c r="AG39" t="s">
        <v>588</v>
      </c>
      <c r="AH39" s="11" t="s">
        <v>588</v>
      </c>
      <c r="AI39" s="11" t="s">
        <v>588</v>
      </c>
      <c r="AJ39" s="11" t="s">
        <v>588</v>
      </c>
      <c r="AK39" s="13" t="s">
        <v>588</v>
      </c>
      <c r="AL39" t="s">
        <v>588</v>
      </c>
      <c r="AM39" s="1" t="s">
        <v>588</v>
      </c>
      <c r="AN39" t="s">
        <v>588</v>
      </c>
      <c r="AO39" t="s">
        <v>588</v>
      </c>
      <c r="AP39" s="1">
        <v>42047</v>
      </c>
      <c r="AQ39" s="1" t="s">
        <v>21</v>
      </c>
      <c r="AR39" t="s">
        <v>195</v>
      </c>
      <c r="AS39">
        <v>2</v>
      </c>
      <c r="AT39">
        <v>3</v>
      </c>
      <c r="AU39" s="1">
        <v>42062</v>
      </c>
      <c r="AV39" s="1" t="s">
        <v>647</v>
      </c>
      <c r="AW39" s="1" t="s">
        <v>647</v>
      </c>
      <c r="AX39" s="1" t="s">
        <v>588</v>
      </c>
      <c r="AY39" s="1" t="s">
        <v>588</v>
      </c>
      <c r="AZ39" s="1" t="s">
        <v>588</v>
      </c>
      <c r="BA39" s="1">
        <v>42062</v>
      </c>
      <c r="BB39" s="1" t="s">
        <v>647</v>
      </c>
      <c r="BC39" s="1" t="s">
        <v>647</v>
      </c>
      <c r="BD39" s="1" t="s">
        <v>588</v>
      </c>
      <c r="BE39" s="1" t="s">
        <v>588</v>
      </c>
      <c r="BF39" s="1" t="s">
        <v>588</v>
      </c>
      <c r="BG39" s="1" t="s">
        <v>588</v>
      </c>
      <c r="BH39" s="1" t="s">
        <v>588</v>
      </c>
      <c r="BI39" s="1" t="s">
        <v>588</v>
      </c>
      <c r="BJ39" s="1" t="s">
        <v>588</v>
      </c>
      <c r="BK39" s="1" t="s">
        <v>588</v>
      </c>
      <c r="BL39" s="1" t="s">
        <v>588</v>
      </c>
      <c r="BM39">
        <v>2</v>
      </c>
      <c r="BN39">
        <v>2</v>
      </c>
      <c r="BO39" s="1" t="s">
        <v>647</v>
      </c>
      <c r="BP39" s="1" t="s">
        <v>588</v>
      </c>
      <c r="BQ39" s="1" t="s">
        <v>588</v>
      </c>
      <c r="BR39" s="1" t="s">
        <v>588</v>
      </c>
      <c r="BS39" t="s">
        <v>8</v>
      </c>
      <c r="BT39" t="s">
        <v>123</v>
      </c>
      <c r="BU39" t="s">
        <v>123</v>
      </c>
      <c r="BV39" s="1" t="s">
        <v>8</v>
      </c>
      <c r="BW39" t="s">
        <v>123</v>
      </c>
      <c r="BX39" t="s">
        <v>123</v>
      </c>
      <c r="BY39" s="1" t="s">
        <v>1856</v>
      </c>
      <c r="BZ39" s="1" t="s">
        <v>588</v>
      </c>
    </row>
    <row r="40" spans="1:78" x14ac:dyDescent="0.25">
      <c r="A40">
        <v>201415</v>
      </c>
      <c r="B40" t="s">
        <v>586</v>
      </c>
      <c r="C40" t="s">
        <v>301</v>
      </c>
      <c r="D40" t="s">
        <v>1857</v>
      </c>
      <c r="E40" t="s">
        <v>1844</v>
      </c>
      <c r="F40">
        <v>1</v>
      </c>
      <c r="G40" t="s">
        <v>1899</v>
      </c>
      <c r="H40" s="11" t="s">
        <v>2079</v>
      </c>
      <c r="I40" s="1">
        <v>41988</v>
      </c>
      <c r="J40" s="11">
        <v>15</v>
      </c>
      <c r="K40" s="11">
        <v>12</v>
      </c>
      <c r="L40" s="11">
        <v>2014</v>
      </c>
      <c r="M40" s="11" t="s">
        <v>1931</v>
      </c>
      <c r="N40" t="s">
        <v>7</v>
      </c>
      <c r="O40" t="s">
        <v>51</v>
      </c>
      <c r="P40">
        <v>-38.556308999999999</v>
      </c>
      <c r="Q40">
        <v>145.48472599999999</v>
      </c>
      <c r="R40" t="s">
        <v>588</v>
      </c>
      <c r="S40" t="s">
        <v>588</v>
      </c>
      <c r="T40">
        <v>2</v>
      </c>
      <c r="U40">
        <v>2</v>
      </c>
      <c r="V40" s="1">
        <v>41984</v>
      </c>
      <c r="W40" t="s">
        <v>223</v>
      </c>
      <c r="X40">
        <v>4</v>
      </c>
      <c r="Y40">
        <v>4</v>
      </c>
      <c r="Z40" t="s">
        <v>41</v>
      </c>
      <c r="AA40" s="1">
        <v>41997</v>
      </c>
      <c r="AB40" s="11">
        <v>24</v>
      </c>
      <c r="AC40" s="11">
        <v>12</v>
      </c>
      <c r="AD40" s="11">
        <v>2014</v>
      </c>
      <c r="AE40" s="13" t="s">
        <v>1983</v>
      </c>
      <c r="AF40" t="s">
        <v>7</v>
      </c>
      <c r="AG40" s="1">
        <v>42001</v>
      </c>
      <c r="AH40" s="11">
        <v>28</v>
      </c>
      <c r="AI40" s="11">
        <v>12</v>
      </c>
      <c r="AJ40" s="11">
        <v>2014</v>
      </c>
      <c r="AK40" s="13" t="s">
        <v>1933</v>
      </c>
      <c r="AL40" t="s">
        <v>7</v>
      </c>
      <c r="AM40" s="1" t="s">
        <v>41</v>
      </c>
      <c r="AN40" t="s">
        <v>41</v>
      </c>
      <c r="AO40" t="s">
        <v>20</v>
      </c>
      <c r="AP40" s="1" t="s">
        <v>588</v>
      </c>
      <c r="AQ40" s="1" t="s">
        <v>588</v>
      </c>
      <c r="AR40" s="1" t="s">
        <v>588</v>
      </c>
      <c r="AS40" s="1" t="s">
        <v>588</v>
      </c>
      <c r="AT40" s="1" t="s">
        <v>588</v>
      </c>
      <c r="AU40" s="1" t="s">
        <v>588</v>
      </c>
      <c r="AV40" s="1" t="s">
        <v>588</v>
      </c>
      <c r="AW40" s="1" t="s">
        <v>588</v>
      </c>
      <c r="AX40" s="1" t="s">
        <v>588</v>
      </c>
      <c r="AY40" s="1" t="s">
        <v>588</v>
      </c>
      <c r="AZ40" s="1" t="s">
        <v>588</v>
      </c>
      <c r="BA40" s="1" t="s">
        <v>588</v>
      </c>
      <c r="BB40" s="1" t="s">
        <v>588</v>
      </c>
      <c r="BC40" s="1" t="s">
        <v>588</v>
      </c>
      <c r="BD40" s="1" t="s">
        <v>588</v>
      </c>
      <c r="BE40" s="1" t="s">
        <v>588</v>
      </c>
      <c r="BF40" s="1" t="s">
        <v>588</v>
      </c>
      <c r="BG40" s="1" t="s">
        <v>588</v>
      </c>
      <c r="BH40" s="1" t="s">
        <v>588</v>
      </c>
      <c r="BI40" s="1" t="s">
        <v>588</v>
      </c>
      <c r="BJ40" s="1" t="s">
        <v>588</v>
      </c>
      <c r="BK40" s="1" t="s">
        <v>588</v>
      </c>
      <c r="BL40" s="1" t="s">
        <v>588</v>
      </c>
      <c r="BM40" s="1" t="s">
        <v>588</v>
      </c>
      <c r="BN40" s="1" t="s">
        <v>588</v>
      </c>
      <c r="BO40" s="1" t="s">
        <v>588</v>
      </c>
      <c r="BP40" s="1" t="s">
        <v>588</v>
      </c>
      <c r="BQ40" s="1" t="s">
        <v>588</v>
      </c>
      <c r="BR40" s="1" t="s">
        <v>588</v>
      </c>
      <c r="BS40" t="s">
        <v>8</v>
      </c>
      <c r="BT40" t="s">
        <v>123</v>
      </c>
      <c r="BU40" t="s">
        <v>123</v>
      </c>
      <c r="BV40" s="1" t="s">
        <v>588</v>
      </c>
      <c r="BW40" s="1" t="s">
        <v>588</v>
      </c>
      <c r="BX40" s="1" t="s">
        <v>588</v>
      </c>
      <c r="BY40" s="1" t="s">
        <v>588</v>
      </c>
      <c r="BZ40" s="1" t="s">
        <v>588</v>
      </c>
    </row>
    <row r="41" spans="1:78" x14ac:dyDescent="0.25">
      <c r="A41">
        <v>201415</v>
      </c>
      <c r="B41" t="s">
        <v>586</v>
      </c>
      <c r="C41" t="s">
        <v>301</v>
      </c>
      <c r="D41" t="s">
        <v>1857</v>
      </c>
      <c r="E41" t="s">
        <v>1844</v>
      </c>
      <c r="F41">
        <v>2</v>
      </c>
      <c r="G41" t="s">
        <v>1900</v>
      </c>
      <c r="H41" s="11" t="s">
        <v>2080</v>
      </c>
      <c r="I41" s="1">
        <v>42009</v>
      </c>
      <c r="J41" s="11">
        <v>5</v>
      </c>
      <c r="K41" s="11">
        <v>1</v>
      </c>
      <c r="L41" s="11">
        <v>2015</v>
      </c>
      <c r="M41" s="11" t="s">
        <v>1980</v>
      </c>
      <c r="N41" t="s">
        <v>12</v>
      </c>
      <c r="O41" t="s">
        <v>36</v>
      </c>
      <c r="P41">
        <v>-38.558540000000001</v>
      </c>
      <c r="Q41">
        <v>145.48419200000001</v>
      </c>
      <c r="R41" t="s">
        <v>588</v>
      </c>
      <c r="S41" t="s">
        <v>588</v>
      </c>
      <c r="T41">
        <v>3</v>
      </c>
      <c r="U41">
        <v>3</v>
      </c>
      <c r="V41" s="1">
        <v>42013</v>
      </c>
      <c r="W41" t="s">
        <v>223</v>
      </c>
      <c r="X41">
        <v>6</v>
      </c>
      <c r="Y41">
        <v>6</v>
      </c>
      <c r="Z41" t="s">
        <v>41</v>
      </c>
      <c r="AA41" s="1">
        <v>42031</v>
      </c>
      <c r="AB41" s="11">
        <v>27</v>
      </c>
      <c r="AC41" s="11">
        <v>1</v>
      </c>
      <c r="AD41" s="11">
        <v>2015</v>
      </c>
      <c r="AE41" s="13" t="s">
        <v>1929</v>
      </c>
      <c r="AF41" t="s">
        <v>12</v>
      </c>
      <c r="AG41" s="1">
        <v>42041</v>
      </c>
      <c r="AH41" s="11">
        <v>6</v>
      </c>
      <c r="AI41" s="11">
        <v>2</v>
      </c>
      <c r="AJ41" s="11">
        <v>2015</v>
      </c>
      <c r="AK41" s="13" t="s">
        <v>1934</v>
      </c>
      <c r="AL41" t="s">
        <v>21</v>
      </c>
      <c r="AM41" s="1" t="s">
        <v>41</v>
      </c>
      <c r="AN41" t="s">
        <v>41</v>
      </c>
      <c r="AO41" t="s">
        <v>20</v>
      </c>
      <c r="AP41" s="1" t="s">
        <v>588</v>
      </c>
      <c r="AQ41" s="1" t="s">
        <v>588</v>
      </c>
      <c r="AR41" s="1" t="s">
        <v>588</v>
      </c>
      <c r="AS41" s="1" t="s">
        <v>588</v>
      </c>
      <c r="AT41" s="1" t="s">
        <v>588</v>
      </c>
      <c r="AU41" s="1" t="s">
        <v>588</v>
      </c>
      <c r="AV41" s="1" t="s">
        <v>588</v>
      </c>
      <c r="AW41" s="1" t="s">
        <v>588</v>
      </c>
      <c r="AX41" s="1" t="s">
        <v>588</v>
      </c>
      <c r="AY41" s="1" t="s">
        <v>588</v>
      </c>
      <c r="AZ41" s="1" t="s">
        <v>588</v>
      </c>
      <c r="BA41" s="1" t="s">
        <v>588</v>
      </c>
      <c r="BB41" s="1" t="s">
        <v>588</v>
      </c>
      <c r="BC41" s="1" t="s">
        <v>588</v>
      </c>
      <c r="BD41" s="1" t="s">
        <v>588</v>
      </c>
      <c r="BE41" s="1" t="s">
        <v>588</v>
      </c>
      <c r="BF41" s="1" t="s">
        <v>588</v>
      </c>
      <c r="BG41" s="1" t="s">
        <v>588</v>
      </c>
      <c r="BH41" s="1" t="s">
        <v>588</v>
      </c>
      <c r="BI41" s="1" t="s">
        <v>588</v>
      </c>
      <c r="BJ41" s="1" t="s">
        <v>588</v>
      </c>
      <c r="BK41" s="1" t="s">
        <v>588</v>
      </c>
      <c r="BL41" s="1" t="s">
        <v>588</v>
      </c>
      <c r="BM41" s="1" t="s">
        <v>588</v>
      </c>
      <c r="BN41" s="1" t="s">
        <v>588</v>
      </c>
      <c r="BO41" s="1" t="s">
        <v>588</v>
      </c>
      <c r="BP41" s="1" t="s">
        <v>588</v>
      </c>
      <c r="BQ41" s="1" t="s">
        <v>588</v>
      </c>
      <c r="BR41" s="1" t="s">
        <v>588</v>
      </c>
      <c r="BS41" t="s">
        <v>8</v>
      </c>
      <c r="BT41" t="s">
        <v>123</v>
      </c>
      <c r="BU41" t="s">
        <v>123</v>
      </c>
      <c r="BV41" s="1" t="s">
        <v>588</v>
      </c>
      <c r="BW41" s="1" t="s">
        <v>588</v>
      </c>
      <c r="BX41" s="1" t="s">
        <v>588</v>
      </c>
      <c r="BY41" s="1" t="s">
        <v>588</v>
      </c>
      <c r="BZ41" s="1" t="s">
        <v>588</v>
      </c>
    </row>
    <row r="42" spans="1:78" x14ac:dyDescent="0.25">
      <c r="A42">
        <v>201415</v>
      </c>
      <c r="B42" t="s">
        <v>586</v>
      </c>
      <c r="C42" t="s">
        <v>301</v>
      </c>
      <c r="D42" t="s">
        <v>1857</v>
      </c>
      <c r="E42" t="s">
        <v>1844</v>
      </c>
      <c r="F42">
        <v>3</v>
      </c>
      <c r="G42" t="s">
        <v>1901</v>
      </c>
      <c r="H42" s="11" t="s">
        <v>2081</v>
      </c>
      <c r="I42" s="1">
        <v>42048</v>
      </c>
      <c r="J42" s="11">
        <v>13</v>
      </c>
      <c r="K42" s="11">
        <v>2</v>
      </c>
      <c r="L42" s="11">
        <v>2015</v>
      </c>
      <c r="M42" s="11" t="s">
        <v>1930</v>
      </c>
      <c r="N42" t="s">
        <v>21</v>
      </c>
      <c r="O42" t="s">
        <v>51</v>
      </c>
      <c r="P42">
        <v>-38.558121</v>
      </c>
      <c r="Q42">
        <v>145.48393200000001</v>
      </c>
      <c r="R42" t="s">
        <v>588</v>
      </c>
      <c r="S42" t="s">
        <v>588</v>
      </c>
      <c r="T42">
        <v>3</v>
      </c>
      <c r="U42">
        <v>3</v>
      </c>
      <c r="V42" t="s">
        <v>588</v>
      </c>
      <c r="W42" t="s">
        <v>588</v>
      </c>
      <c r="X42">
        <v>2</v>
      </c>
      <c r="Y42">
        <v>2</v>
      </c>
      <c r="Z42" t="s">
        <v>41</v>
      </c>
      <c r="AA42" s="1">
        <v>42048</v>
      </c>
      <c r="AB42" s="11">
        <v>13</v>
      </c>
      <c r="AC42" s="11">
        <v>2</v>
      </c>
      <c r="AD42" s="11">
        <v>2015</v>
      </c>
      <c r="AE42" s="13" t="s">
        <v>1930</v>
      </c>
      <c r="AF42" t="s">
        <v>21</v>
      </c>
      <c r="AG42" s="1">
        <v>42053</v>
      </c>
      <c r="AH42" s="11">
        <v>18</v>
      </c>
      <c r="AI42" s="11">
        <v>2</v>
      </c>
      <c r="AJ42" s="11">
        <v>2015</v>
      </c>
      <c r="AK42" s="13" t="s">
        <v>1919</v>
      </c>
      <c r="AL42" t="s">
        <v>21</v>
      </c>
      <c r="AM42" s="1" t="s">
        <v>41</v>
      </c>
      <c r="AN42" t="s">
        <v>8</v>
      </c>
      <c r="AO42" t="s">
        <v>32</v>
      </c>
      <c r="AP42" s="1" t="s">
        <v>588</v>
      </c>
      <c r="AQ42" s="1" t="s">
        <v>588</v>
      </c>
      <c r="AR42" s="1" t="s">
        <v>588</v>
      </c>
      <c r="AS42" s="1" t="s">
        <v>588</v>
      </c>
      <c r="AT42" s="1" t="s">
        <v>588</v>
      </c>
      <c r="AU42" s="1" t="s">
        <v>588</v>
      </c>
      <c r="AV42" s="1" t="s">
        <v>588</v>
      </c>
      <c r="AW42" s="1" t="s">
        <v>588</v>
      </c>
      <c r="AX42" s="1" t="s">
        <v>588</v>
      </c>
      <c r="AY42" s="1" t="s">
        <v>588</v>
      </c>
      <c r="AZ42" s="1" t="s">
        <v>588</v>
      </c>
      <c r="BA42" s="1" t="s">
        <v>588</v>
      </c>
      <c r="BB42" s="1" t="s">
        <v>588</v>
      </c>
      <c r="BC42" s="1" t="s">
        <v>588</v>
      </c>
      <c r="BD42" s="1" t="s">
        <v>588</v>
      </c>
      <c r="BE42" s="1" t="s">
        <v>588</v>
      </c>
      <c r="BF42" s="1" t="s">
        <v>588</v>
      </c>
      <c r="BG42" s="1" t="s">
        <v>588</v>
      </c>
      <c r="BH42" s="1" t="s">
        <v>588</v>
      </c>
      <c r="BI42" s="1" t="s">
        <v>588</v>
      </c>
      <c r="BJ42" s="1" t="s">
        <v>588</v>
      </c>
      <c r="BK42" s="1" t="s">
        <v>588</v>
      </c>
      <c r="BL42" s="1" t="s">
        <v>588</v>
      </c>
      <c r="BM42" s="1" t="s">
        <v>588</v>
      </c>
      <c r="BN42" s="1" t="s">
        <v>588</v>
      </c>
      <c r="BO42" s="1" t="s">
        <v>588</v>
      </c>
      <c r="BP42" s="1" t="s">
        <v>588</v>
      </c>
      <c r="BQ42" s="1" t="s">
        <v>588</v>
      </c>
      <c r="BR42" s="1" t="s">
        <v>588</v>
      </c>
      <c r="BS42" t="s">
        <v>8</v>
      </c>
      <c r="BT42" t="s">
        <v>123</v>
      </c>
      <c r="BU42" t="s">
        <v>123</v>
      </c>
      <c r="BV42" s="1" t="s">
        <v>588</v>
      </c>
      <c r="BW42" s="1" t="s">
        <v>588</v>
      </c>
      <c r="BX42" s="1" t="s">
        <v>588</v>
      </c>
      <c r="BY42" s="1" t="s">
        <v>588</v>
      </c>
      <c r="BZ42" s="1" t="s">
        <v>588</v>
      </c>
    </row>
    <row r="43" spans="1:78" x14ac:dyDescent="0.25">
      <c r="A43">
        <v>201415</v>
      </c>
      <c r="B43" t="s">
        <v>587</v>
      </c>
      <c r="C43" t="s">
        <v>563</v>
      </c>
      <c r="D43" t="s">
        <v>1858</v>
      </c>
      <c r="E43" t="s">
        <v>360</v>
      </c>
      <c r="F43">
        <v>1</v>
      </c>
      <c r="G43" t="s">
        <v>1902</v>
      </c>
      <c r="H43" s="11" t="s">
        <v>2082</v>
      </c>
      <c r="I43" s="1">
        <v>42001</v>
      </c>
      <c r="J43" s="11">
        <v>28</v>
      </c>
      <c r="K43" s="11">
        <v>12</v>
      </c>
      <c r="L43" s="11">
        <v>2014</v>
      </c>
      <c r="M43" s="11" t="s">
        <v>1933</v>
      </c>
      <c r="N43" t="s">
        <v>7</v>
      </c>
      <c r="O43" t="s">
        <v>36</v>
      </c>
      <c r="P43">
        <v>-38.598728000000001</v>
      </c>
      <c r="Q43">
        <v>145.52713</v>
      </c>
      <c r="R43" t="s">
        <v>588</v>
      </c>
      <c r="S43" t="s">
        <v>588</v>
      </c>
      <c r="T43">
        <v>3</v>
      </c>
      <c r="U43">
        <v>3</v>
      </c>
      <c r="V43" s="1">
        <v>42005</v>
      </c>
      <c r="W43" t="s">
        <v>223</v>
      </c>
      <c r="X43">
        <v>3</v>
      </c>
      <c r="Y43">
        <v>3</v>
      </c>
      <c r="Z43" t="s">
        <v>41</v>
      </c>
      <c r="AA43" s="1">
        <v>42015</v>
      </c>
      <c r="AB43" s="11">
        <v>11</v>
      </c>
      <c r="AC43" s="11">
        <v>1</v>
      </c>
      <c r="AD43" s="11">
        <v>2015</v>
      </c>
      <c r="AE43" s="13" t="s">
        <v>1976</v>
      </c>
      <c r="AF43" t="s">
        <v>12</v>
      </c>
      <c r="AG43" s="1">
        <v>42031</v>
      </c>
      <c r="AH43" s="11">
        <v>27</v>
      </c>
      <c r="AI43" s="11">
        <v>1</v>
      </c>
      <c r="AJ43" s="11">
        <v>2015</v>
      </c>
      <c r="AK43" s="13" t="s">
        <v>1929</v>
      </c>
      <c r="AL43" t="s">
        <v>12</v>
      </c>
      <c r="AM43" s="1" t="s">
        <v>41</v>
      </c>
      <c r="AN43" t="s">
        <v>8</v>
      </c>
      <c r="AO43" t="s">
        <v>32</v>
      </c>
      <c r="AP43" s="1" t="s">
        <v>588</v>
      </c>
      <c r="AQ43" s="1" t="s">
        <v>588</v>
      </c>
      <c r="AR43" s="1" t="s">
        <v>588</v>
      </c>
      <c r="AS43" s="1" t="s">
        <v>588</v>
      </c>
      <c r="AT43" s="1" t="s">
        <v>588</v>
      </c>
      <c r="AU43" s="1" t="s">
        <v>588</v>
      </c>
      <c r="AV43" s="1" t="s">
        <v>588</v>
      </c>
      <c r="AW43" s="1" t="s">
        <v>588</v>
      </c>
      <c r="AX43" s="1" t="s">
        <v>588</v>
      </c>
      <c r="AY43" s="1" t="s">
        <v>588</v>
      </c>
      <c r="AZ43" s="1" t="s">
        <v>588</v>
      </c>
      <c r="BA43" s="1" t="s">
        <v>588</v>
      </c>
      <c r="BB43" s="1" t="s">
        <v>588</v>
      </c>
      <c r="BC43" s="1" t="s">
        <v>588</v>
      </c>
      <c r="BD43" s="1" t="s">
        <v>588</v>
      </c>
      <c r="BE43" s="1" t="s">
        <v>588</v>
      </c>
      <c r="BF43" s="1" t="s">
        <v>588</v>
      </c>
      <c r="BG43" s="1" t="s">
        <v>588</v>
      </c>
      <c r="BH43" s="1" t="s">
        <v>588</v>
      </c>
      <c r="BI43" s="1" t="s">
        <v>588</v>
      </c>
      <c r="BJ43" s="1" t="s">
        <v>588</v>
      </c>
      <c r="BK43" s="1" t="s">
        <v>588</v>
      </c>
      <c r="BL43" s="1" t="s">
        <v>588</v>
      </c>
      <c r="BM43" s="1" t="s">
        <v>588</v>
      </c>
      <c r="BN43" s="1" t="s">
        <v>588</v>
      </c>
      <c r="BO43" s="1" t="s">
        <v>588</v>
      </c>
      <c r="BP43" s="1" t="s">
        <v>588</v>
      </c>
      <c r="BQ43" s="1" t="s">
        <v>588</v>
      </c>
      <c r="BR43" s="1" t="s">
        <v>588</v>
      </c>
      <c r="BS43" t="s">
        <v>41</v>
      </c>
      <c r="BT43" s="1" t="s">
        <v>42</v>
      </c>
      <c r="BU43" s="1" t="s">
        <v>42</v>
      </c>
      <c r="BV43" s="1" t="s">
        <v>588</v>
      </c>
      <c r="BW43" s="1" t="s">
        <v>588</v>
      </c>
      <c r="BX43" s="1" t="s">
        <v>588</v>
      </c>
      <c r="BY43" s="1" t="s">
        <v>588</v>
      </c>
      <c r="BZ43" s="1" t="s">
        <v>588</v>
      </c>
    </row>
    <row r="44" spans="1:78" x14ac:dyDescent="0.25">
      <c r="A44">
        <v>201415</v>
      </c>
      <c r="B44" t="s">
        <v>587</v>
      </c>
      <c r="C44" t="s">
        <v>563</v>
      </c>
      <c r="D44" t="s">
        <v>1858</v>
      </c>
      <c r="E44" t="s">
        <v>360</v>
      </c>
      <c r="F44">
        <v>2</v>
      </c>
      <c r="G44" t="s">
        <v>1903</v>
      </c>
      <c r="H44" s="11" t="s">
        <v>2083</v>
      </c>
      <c r="I44" s="1">
        <v>42044</v>
      </c>
      <c r="J44" s="11">
        <v>9</v>
      </c>
      <c r="K44" s="11">
        <v>2</v>
      </c>
      <c r="L44" s="11">
        <v>2015</v>
      </c>
      <c r="M44" s="11" t="s">
        <v>1977</v>
      </c>
      <c r="N44" t="s">
        <v>21</v>
      </c>
      <c r="O44" t="s">
        <v>10</v>
      </c>
      <c r="P44">
        <v>-38.601528000000002</v>
      </c>
      <c r="Q44">
        <v>145.52697800000001</v>
      </c>
      <c r="R44" t="s">
        <v>588</v>
      </c>
      <c r="S44" t="s">
        <v>588</v>
      </c>
      <c r="T44">
        <v>2</v>
      </c>
      <c r="U44">
        <v>2</v>
      </c>
      <c r="V44" t="s">
        <v>588</v>
      </c>
      <c r="W44" t="s">
        <v>588</v>
      </c>
      <c r="X44">
        <v>4</v>
      </c>
      <c r="Y44">
        <v>4</v>
      </c>
      <c r="Z44" t="s">
        <v>41</v>
      </c>
      <c r="AA44" s="1">
        <v>42049</v>
      </c>
      <c r="AB44" s="11">
        <v>14</v>
      </c>
      <c r="AC44" s="11">
        <v>2</v>
      </c>
      <c r="AD44" s="11">
        <v>2015</v>
      </c>
      <c r="AE44" s="13" t="s">
        <v>1988</v>
      </c>
      <c r="AF44" t="s">
        <v>21</v>
      </c>
      <c r="AG44" s="1">
        <v>42058</v>
      </c>
      <c r="AH44" s="11">
        <v>23</v>
      </c>
      <c r="AI44" s="11">
        <v>2</v>
      </c>
      <c r="AJ44" s="11">
        <v>2015</v>
      </c>
      <c r="AK44" s="13" t="s">
        <v>1935</v>
      </c>
      <c r="AL44" t="s">
        <v>21</v>
      </c>
      <c r="AM44" s="1" t="s">
        <v>41</v>
      </c>
      <c r="AN44" t="s">
        <v>8</v>
      </c>
      <c r="AO44" t="s">
        <v>32</v>
      </c>
      <c r="AP44" s="1" t="s">
        <v>588</v>
      </c>
      <c r="AQ44" s="1" t="s">
        <v>588</v>
      </c>
      <c r="AR44" s="1" t="s">
        <v>588</v>
      </c>
      <c r="AS44" s="1" t="s">
        <v>588</v>
      </c>
      <c r="AT44" s="1" t="s">
        <v>588</v>
      </c>
      <c r="AU44" s="1" t="s">
        <v>588</v>
      </c>
      <c r="AV44" s="1" t="s">
        <v>588</v>
      </c>
      <c r="AW44" s="1" t="s">
        <v>588</v>
      </c>
      <c r="AX44" s="1" t="s">
        <v>588</v>
      </c>
      <c r="AY44" s="1" t="s">
        <v>588</v>
      </c>
      <c r="AZ44" s="1" t="s">
        <v>588</v>
      </c>
      <c r="BA44" s="1" t="s">
        <v>588</v>
      </c>
      <c r="BB44" s="1" t="s">
        <v>588</v>
      </c>
      <c r="BC44" s="1" t="s">
        <v>588</v>
      </c>
      <c r="BD44" s="1" t="s">
        <v>588</v>
      </c>
      <c r="BE44" s="1" t="s">
        <v>588</v>
      </c>
      <c r="BF44" s="1" t="s">
        <v>588</v>
      </c>
      <c r="BG44" s="1" t="s">
        <v>588</v>
      </c>
      <c r="BH44" s="1" t="s">
        <v>588</v>
      </c>
      <c r="BI44" s="1" t="s">
        <v>588</v>
      </c>
      <c r="BJ44" s="1" t="s">
        <v>588</v>
      </c>
      <c r="BK44" s="1" t="s">
        <v>588</v>
      </c>
      <c r="BL44" s="1" t="s">
        <v>588</v>
      </c>
      <c r="BM44" s="1" t="s">
        <v>588</v>
      </c>
      <c r="BN44" s="1" t="s">
        <v>588</v>
      </c>
      <c r="BO44" s="1" t="s">
        <v>588</v>
      </c>
      <c r="BP44" s="1" t="s">
        <v>588</v>
      </c>
      <c r="BQ44" s="1" t="s">
        <v>588</v>
      </c>
      <c r="BR44" s="1" t="s">
        <v>588</v>
      </c>
      <c r="BS44" t="s">
        <v>41</v>
      </c>
      <c r="BT44" s="1" t="s">
        <v>42</v>
      </c>
      <c r="BU44" s="1" t="s">
        <v>42</v>
      </c>
      <c r="BV44" s="1" t="s">
        <v>588</v>
      </c>
      <c r="BW44" s="1" t="s">
        <v>588</v>
      </c>
      <c r="BX44" s="1" t="s">
        <v>588</v>
      </c>
      <c r="BY44" s="1" t="s">
        <v>588</v>
      </c>
      <c r="BZ44" s="1" t="s">
        <v>588</v>
      </c>
    </row>
    <row r="45" spans="1:78" x14ac:dyDescent="0.25">
      <c r="A45">
        <v>201415</v>
      </c>
      <c r="B45" t="s">
        <v>365</v>
      </c>
      <c r="C45" t="s">
        <v>359</v>
      </c>
      <c r="D45" t="s">
        <v>1623</v>
      </c>
      <c r="E45" t="s">
        <v>1844</v>
      </c>
      <c r="F45">
        <v>1</v>
      </c>
      <c r="G45" t="s">
        <v>1904</v>
      </c>
      <c r="H45" s="11" t="s">
        <v>2084</v>
      </c>
      <c r="I45" s="1">
        <v>41954</v>
      </c>
      <c r="J45" s="11">
        <v>11</v>
      </c>
      <c r="K45" s="11">
        <v>11</v>
      </c>
      <c r="L45" s="11">
        <v>2014</v>
      </c>
      <c r="M45" s="11" t="s">
        <v>1921</v>
      </c>
      <c r="N45" t="s">
        <v>17</v>
      </c>
      <c r="O45" t="s">
        <v>10</v>
      </c>
      <c r="P45">
        <v>-38.590541999999999</v>
      </c>
      <c r="Q45">
        <v>145.518326</v>
      </c>
      <c r="R45" t="s">
        <v>588</v>
      </c>
      <c r="S45" t="s">
        <v>588</v>
      </c>
      <c r="T45">
        <v>1</v>
      </c>
      <c r="U45">
        <v>3</v>
      </c>
      <c r="V45" t="s">
        <v>588</v>
      </c>
      <c r="W45" t="s">
        <v>588</v>
      </c>
      <c r="X45">
        <v>2</v>
      </c>
      <c r="Y45">
        <v>2</v>
      </c>
      <c r="Z45" t="s">
        <v>41</v>
      </c>
      <c r="AA45" s="1">
        <v>41954</v>
      </c>
      <c r="AB45" s="11">
        <v>11</v>
      </c>
      <c r="AC45" s="11">
        <v>11</v>
      </c>
      <c r="AD45" s="11">
        <v>2014</v>
      </c>
      <c r="AE45" s="13" t="s">
        <v>1921</v>
      </c>
      <c r="AF45" t="s">
        <v>17</v>
      </c>
      <c r="AG45" s="1">
        <v>41988</v>
      </c>
      <c r="AH45" s="11">
        <v>15</v>
      </c>
      <c r="AI45" s="11">
        <v>12</v>
      </c>
      <c r="AJ45" s="11">
        <v>2014</v>
      </c>
      <c r="AK45" s="13" t="s">
        <v>1931</v>
      </c>
      <c r="AL45" t="s">
        <v>7</v>
      </c>
      <c r="AM45" s="1" t="s">
        <v>41</v>
      </c>
      <c r="AN45" t="s">
        <v>41</v>
      </c>
      <c r="AO45" t="s">
        <v>20</v>
      </c>
      <c r="AP45" s="1" t="s">
        <v>588</v>
      </c>
      <c r="AQ45" s="1" t="s">
        <v>588</v>
      </c>
      <c r="AR45" s="1" t="s">
        <v>588</v>
      </c>
      <c r="AS45" s="1" t="s">
        <v>588</v>
      </c>
      <c r="AT45" s="1" t="s">
        <v>588</v>
      </c>
      <c r="AU45" s="1" t="s">
        <v>588</v>
      </c>
      <c r="AV45" s="1" t="s">
        <v>588</v>
      </c>
      <c r="AW45" s="1" t="s">
        <v>588</v>
      </c>
      <c r="AX45" s="1" t="s">
        <v>588</v>
      </c>
      <c r="AY45" s="1" t="s">
        <v>588</v>
      </c>
      <c r="AZ45" s="1" t="s">
        <v>588</v>
      </c>
      <c r="BA45" s="1" t="s">
        <v>588</v>
      </c>
      <c r="BB45" s="1" t="s">
        <v>588</v>
      </c>
      <c r="BC45" s="1" t="s">
        <v>588</v>
      </c>
      <c r="BD45" s="1" t="s">
        <v>588</v>
      </c>
      <c r="BE45" s="1" t="s">
        <v>588</v>
      </c>
      <c r="BF45" s="1" t="s">
        <v>588</v>
      </c>
      <c r="BG45" s="1" t="s">
        <v>588</v>
      </c>
      <c r="BH45" s="1" t="s">
        <v>588</v>
      </c>
      <c r="BI45" s="1" t="s">
        <v>588</v>
      </c>
      <c r="BJ45" s="1" t="s">
        <v>588</v>
      </c>
      <c r="BK45" s="1" t="s">
        <v>588</v>
      </c>
      <c r="BL45" s="1" t="s">
        <v>588</v>
      </c>
      <c r="BM45" s="1" t="s">
        <v>588</v>
      </c>
      <c r="BN45" s="1" t="s">
        <v>588</v>
      </c>
      <c r="BO45" s="1" t="s">
        <v>588</v>
      </c>
      <c r="BP45" s="1" t="s">
        <v>588</v>
      </c>
      <c r="BQ45" s="1" t="s">
        <v>588</v>
      </c>
      <c r="BR45" s="1" t="s">
        <v>588</v>
      </c>
      <c r="BS45" t="s">
        <v>8</v>
      </c>
      <c r="BT45" t="s">
        <v>123</v>
      </c>
      <c r="BU45" t="s">
        <v>123</v>
      </c>
      <c r="BV45" s="1" t="s">
        <v>588</v>
      </c>
      <c r="BW45" s="1" t="s">
        <v>588</v>
      </c>
      <c r="BX45" s="1" t="s">
        <v>588</v>
      </c>
      <c r="BY45" s="1" t="s">
        <v>588</v>
      </c>
      <c r="BZ45" s="1" t="s">
        <v>588</v>
      </c>
    </row>
    <row r="46" spans="1:78" x14ac:dyDescent="0.25">
      <c r="A46">
        <v>201415</v>
      </c>
      <c r="B46" t="s">
        <v>365</v>
      </c>
      <c r="C46" t="s">
        <v>359</v>
      </c>
      <c r="D46" t="s">
        <v>1623</v>
      </c>
      <c r="E46" t="s">
        <v>1844</v>
      </c>
      <c r="F46">
        <v>2</v>
      </c>
      <c r="G46" t="s">
        <v>1905</v>
      </c>
      <c r="H46" s="11" t="s">
        <v>2085</v>
      </c>
      <c r="I46" s="1">
        <v>41988</v>
      </c>
      <c r="J46" s="11">
        <v>15</v>
      </c>
      <c r="K46" s="11">
        <v>12</v>
      </c>
      <c r="L46" s="11">
        <v>2014</v>
      </c>
      <c r="M46" s="11" t="s">
        <v>1931</v>
      </c>
      <c r="N46" t="s">
        <v>7</v>
      </c>
      <c r="O46" t="s">
        <v>10</v>
      </c>
      <c r="P46">
        <v>-38.593528999999997</v>
      </c>
      <c r="Q46">
        <v>145.555634</v>
      </c>
      <c r="R46" t="s">
        <v>588</v>
      </c>
      <c r="S46" t="s">
        <v>588</v>
      </c>
      <c r="T46">
        <v>3</v>
      </c>
      <c r="U46">
        <v>3</v>
      </c>
      <c r="V46" t="s">
        <v>588</v>
      </c>
      <c r="W46" t="s">
        <v>588</v>
      </c>
      <c r="X46">
        <v>1</v>
      </c>
      <c r="Y46">
        <v>1</v>
      </c>
      <c r="Z46" t="s">
        <v>8</v>
      </c>
      <c r="AA46" s="1">
        <v>41988</v>
      </c>
      <c r="AB46" s="11">
        <v>15</v>
      </c>
      <c r="AC46" s="11">
        <v>12</v>
      </c>
      <c r="AD46" s="11">
        <v>2014</v>
      </c>
      <c r="AE46" s="13" t="s">
        <v>1931</v>
      </c>
      <c r="AF46" t="s">
        <v>7</v>
      </c>
      <c r="AG46" t="s">
        <v>588</v>
      </c>
      <c r="AH46" s="11" t="s">
        <v>588</v>
      </c>
      <c r="AI46" s="11" t="s">
        <v>588</v>
      </c>
      <c r="AJ46" s="11" t="s">
        <v>588</v>
      </c>
      <c r="AK46" s="13" t="s">
        <v>588</v>
      </c>
      <c r="AL46" t="s">
        <v>588</v>
      </c>
      <c r="AM46" s="1" t="s">
        <v>588</v>
      </c>
      <c r="AN46" t="s">
        <v>588</v>
      </c>
      <c r="AO46" t="s">
        <v>588</v>
      </c>
      <c r="AP46" s="1">
        <v>42001</v>
      </c>
      <c r="AQ46" s="1" t="s">
        <v>7</v>
      </c>
      <c r="AR46" t="s">
        <v>195</v>
      </c>
      <c r="AS46">
        <v>3</v>
      </c>
      <c r="AT46">
        <v>3</v>
      </c>
      <c r="AU46" s="1">
        <v>42023</v>
      </c>
      <c r="AV46" s="1" t="s">
        <v>1859</v>
      </c>
      <c r="AW46" s="1" t="s">
        <v>588</v>
      </c>
      <c r="AX46" s="1" t="s">
        <v>588</v>
      </c>
      <c r="AY46" s="1" t="s">
        <v>588</v>
      </c>
      <c r="AZ46" s="1" t="s">
        <v>588</v>
      </c>
      <c r="BA46" s="1" t="s">
        <v>588</v>
      </c>
      <c r="BB46" s="1" t="s">
        <v>588</v>
      </c>
      <c r="BC46" s="1" t="s">
        <v>588</v>
      </c>
      <c r="BD46" s="1" t="s">
        <v>588</v>
      </c>
      <c r="BE46" s="1" t="s">
        <v>588</v>
      </c>
      <c r="BF46" s="1" t="s">
        <v>588</v>
      </c>
      <c r="BG46" s="1" t="s">
        <v>588</v>
      </c>
      <c r="BH46" s="1" t="s">
        <v>588</v>
      </c>
      <c r="BI46" s="1" t="s">
        <v>588</v>
      </c>
      <c r="BJ46" s="1" t="s">
        <v>588</v>
      </c>
      <c r="BK46" s="1" t="s">
        <v>588</v>
      </c>
      <c r="BL46" s="1" t="s">
        <v>588</v>
      </c>
      <c r="BM46">
        <v>4</v>
      </c>
      <c r="BN46">
        <v>4</v>
      </c>
      <c r="BO46" s="1" t="s">
        <v>8</v>
      </c>
      <c r="BP46">
        <v>2</v>
      </c>
      <c r="BQ46" s="1">
        <v>42037</v>
      </c>
      <c r="BR46" s="1" t="s">
        <v>21</v>
      </c>
      <c r="BS46" t="s">
        <v>8</v>
      </c>
      <c r="BT46" t="s">
        <v>123</v>
      </c>
      <c r="BU46" t="s">
        <v>123</v>
      </c>
      <c r="BV46" t="s">
        <v>8</v>
      </c>
      <c r="BW46" t="s">
        <v>123</v>
      </c>
      <c r="BX46" t="s">
        <v>123</v>
      </c>
      <c r="BY46" s="1" t="s">
        <v>1860</v>
      </c>
      <c r="BZ46" s="1" t="s">
        <v>588</v>
      </c>
    </row>
    <row r="47" spans="1:78" x14ac:dyDescent="0.25">
      <c r="AE47" s="13"/>
      <c r="AK47" s="13"/>
    </row>
    <row r="48" spans="1:78" x14ac:dyDescent="0.25">
      <c r="AE48" s="13"/>
      <c r="AK48" s="13"/>
    </row>
    <row r="49" spans="31:37" x14ac:dyDescent="0.25">
      <c r="AE49" s="13"/>
      <c r="AK49" s="13"/>
    </row>
    <row r="50" spans="31:37" x14ac:dyDescent="0.25">
      <c r="AE50" s="13"/>
      <c r="AK50" s="13"/>
    </row>
    <row r="51" spans="31:37" x14ac:dyDescent="0.25">
      <c r="AE51" s="13"/>
      <c r="AK51" s="13"/>
    </row>
    <row r="52" spans="31:37" x14ac:dyDescent="0.25">
      <c r="AE52" s="13"/>
      <c r="AK52" s="13"/>
    </row>
    <row r="53" spans="31:37" x14ac:dyDescent="0.25">
      <c r="AE53" s="13"/>
      <c r="AK53" s="13"/>
    </row>
    <row r="54" spans="31:37" x14ac:dyDescent="0.25">
      <c r="AE54" s="13"/>
      <c r="AK54" s="13"/>
    </row>
    <row r="55" spans="31:37" x14ac:dyDescent="0.25">
      <c r="AE55" s="13"/>
      <c r="AK55" s="13"/>
    </row>
    <row r="56" spans="31:37" x14ac:dyDescent="0.25">
      <c r="AE56" s="13"/>
      <c r="AK56" s="13"/>
    </row>
    <row r="57" spans="31:37" x14ac:dyDescent="0.25">
      <c r="AE57" s="13"/>
      <c r="AK57" s="13"/>
    </row>
    <row r="58" spans="31:37" x14ac:dyDescent="0.25">
      <c r="AE58" s="13"/>
      <c r="AK58" s="13"/>
    </row>
    <row r="59" spans="31:37" x14ac:dyDescent="0.25">
      <c r="AE59" s="13"/>
      <c r="AK59" s="13"/>
    </row>
    <row r="60" spans="31:37" x14ac:dyDescent="0.25">
      <c r="AE60" s="13"/>
      <c r="AK60" s="13"/>
    </row>
    <row r="61" spans="31:37" x14ac:dyDescent="0.25">
      <c r="AE61" s="13"/>
      <c r="AK61" s="13"/>
    </row>
    <row r="62" spans="31:37" x14ac:dyDescent="0.25">
      <c r="AE62" s="13"/>
      <c r="AK62" s="13"/>
    </row>
    <row r="63" spans="31:37" x14ac:dyDescent="0.25">
      <c r="AE63" s="13"/>
      <c r="AK63" s="13"/>
    </row>
    <row r="64" spans="31:37" x14ac:dyDescent="0.25">
      <c r="AE64" s="13"/>
      <c r="AK64" s="13"/>
    </row>
    <row r="65" spans="31:37" x14ac:dyDescent="0.25">
      <c r="AE65" s="13"/>
      <c r="AK65" s="13"/>
    </row>
    <row r="66" spans="31:37" x14ac:dyDescent="0.25">
      <c r="AE66" s="13"/>
      <c r="AK66" s="13"/>
    </row>
    <row r="67" spans="31:37" x14ac:dyDescent="0.25">
      <c r="AE67" s="13"/>
      <c r="AK67" s="13"/>
    </row>
    <row r="68" spans="31:37" x14ac:dyDescent="0.25">
      <c r="AE68" s="13"/>
      <c r="AK68" s="13"/>
    </row>
  </sheetData>
  <autoFilter ref="A1:BZ46" xr:uid="{90F196E2-00AF-4E25-96DE-C9740026E089}"/>
  <phoneticPr fontId="2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30384-8496-493F-AD35-7FB27322F6AB}">
  <dimension ref="A1:BX42"/>
  <sheetViews>
    <sheetView zoomScale="80" zoomScaleNormal="80" workbookViewId="0">
      <pane xSplit="8" ySplit="1" topLeftCell="I2" activePane="bottomRight" state="frozen"/>
      <selection pane="topRight" activeCell="I1" sqref="I1"/>
      <selection pane="bottomLeft" activeCell="A2" sqref="A2"/>
      <selection pane="bottomRight" activeCell="H19" sqref="H19"/>
    </sheetView>
  </sheetViews>
  <sheetFormatPr defaultRowHeight="15" x14ac:dyDescent="0.25"/>
  <cols>
    <col min="2" max="2" width="29.42578125" bestFit="1" customWidth="1"/>
    <col min="3" max="3" width="29.42578125" customWidth="1"/>
    <col min="7" max="7" width="12.42578125" customWidth="1"/>
    <col min="8" max="8" width="33.5703125" customWidth="1"/>
    <col min="9" max="9" width="15.5703125" bestFit="1" customWidth="1"/>
    <col min="10" max="10" width="4.5703125" bestFit="1" customWidth="1"/>
    <col min="11" max="11" width="6.7109375" bestFit="1" customWidth="1"/>
    <col min="12" max="12" width="5.5703125" bestFit="1" customWidth="1"/>
    <col min="13" max="13" width="21" bestFit="1" customWidth="1"/>
    <col min="22" max="22" width="13.7109375" customWidth="1"/>
    <col min="27" max="27" width="12.5703125" customWidth="1"/>
    <col min="28" max="28" width="4.5703125" bestFit="1" customWidth="1"/>
    <col min="29" max="29" width="6.7109375" bestFit="1" customWidth="1"/>
    <col min="30" max="30" width="5.5703125" bestFit="1" customWidth="1"/>
    <col min="31" max="31" width="24.28515625" bestFit="1" customWidth="1"/>
    <col min="33" max="37" width="12.5703125" customWidth="1"/>
    <col min="42" max="42" width="13.85546875" customWidth="1"/>
    <col min="47" max="47" width="11" customWidth="1"/>
  </cols>
  <sheetData>
    <row r="1" spans="1:76" s="3" customFormat="1" x14ac:dyDescent="0.25">
      <c r="A1" s="2" t="s">
        <v>0</v>
      </c>
      <c r="B1" s="2" t="s">
        <v>139</v>
      </c>
      <c r="C1" s="49" t="s">
        <v>231</v>
      </c>
      <c r="D1" s="2" t="s">
        <v>1</v>
      </c>
      <c r="E1" s="2" t="s">
        <v>2</v>
      </c>
      <c r="F1" s="2" t="s">
        <v>140</v>
      </c>
      <c r="G1" s="2" t="s">
        <v>141</v>
      </c>
      <c r="H1" s="49" t="s">
        <v>593</v>
      </c>
      <c r="I1" s="2" t="s">
        <v>142</v>
      </c>
      <c r="J1" s="12" t="s">
        <v>589</v>
      </c>
      <c r="K1" s="12" t="s">
        <v>590</v>
      </c>
      <c r="L1" s="12" t="s">
        <v>591</v>
      </c>
      <c r="M1" s="49" t="s">
        <v>592</v>
      </c>
      <c r="N1" s="2" t="s">
        <v>143</v>
      </c>
      <c r="O1" s="2" t="s">
        <v>3</v>
      </c>
      <c r="P1" s="2" t="s">
        <v>212</v>
      </c>
      <c r="Q1" s="2" t="s">
        <v>213</v>
      </c>
      <c r="R1" s="2" t="s">
        <v>144</v>
      </c>
      <c r="S1" s="2" t="s">
        <v>145</v>
      </c>
      <c r="T1" s="2" t="s">
        <v>146</v>
      </c>
      <c r="U1" s="2" t="s">
        <v>147</v>
      </c>
      <c r="V1" s="2" t="s">
        <v>148</v>
      </c>
      <c r="W1" s="2" t="s">
        <v>149</v>
      </c>
      <c r="X1" s="2" t="s">
        <v>150</v>
      </c>
      <c r="Y1" s="2" t="s">
        <v>151</v>
      </c>
      <c r="Z1" s="2" t="s">
        <v>152</v>
      </c>
      <c r="AA1" s="2" t="s">
        <v>153</v>
      </c>
      <c r="AB1" s="12" t="s">
        <v>589</v>
      </c>
      <c r="AC1" s="12" t="s">
        <v>590</v>
      </c>
      <c r="AD1" s="12" t="s">
        <v>591</v>
      </c>
      <c r="AE1" s="49" t="s">
        <v>594</v>
      </c>
      <c r="AF1" s="2" t="s">
        <v>154</v>
      </c>
      <c r="AG1" s="2" t="s">
        <v>155</v>
      </c>
      <c r="AH1" s="12" t="s">
        <v>589</v>
      </c>
      <c r="AI1" s="12" t="s">
        <v>590</v>
      </c>
      <c r="AJ1" s="12" t="s">
        <v>591</v>
      </c>
      <c r="AK1" s="49" t="s">
        <v>595</v>
      </c>
      <c r="AL1" s="2" t="s">
        <v>156</v>
      </c>
      <c r="AM1" s="2" t="s">
        <v>157</v>
      </c>
      <c r="AN1" s="2" t="s">
        <v>158</v>
      </c>
      <c r="AO1" s="2" t="s">
        <v>159</v>
      </c>
      <c r="AP1" s="2" t="s">
        <v>160</v>
      </c>
      <c r="AQ1" s="2" t="s">
        <v>161</v>
      </c>
      <c r="AR1" s="2" t="s">
        <v>162</v>
      </c>
      <c r="AS1" s="2" t="s">
        <v>163</v>
      </c>
      <c r="AT1" s="2" t="s">
        <v>164</v>
      </c>
      <c r="AU1" s="6" t="s">
        <v>165</v>
      </c>
      <c r="AV1" s="2" t="s">
        <v>166</v>
      </c>
      <c r="AW1" s="2" t="s">
        <v>167</v>
      </c>
      <c r="AX1" s="2" t="s">
        <v>168</v>
      </c>
      <c r="AY1" s="2" t="s">
        <v>169</v>
      </c>
      <c r="AZ1" s="2" t="s">
        <v>170</v>
      </c>
      <c r="BA1" s="6" t="s">
        <v>171</v>
      </c>
      <c r="BB1" s="2" t="s">
        <v>172</v>
      </c>
      <c r="BC1" s="2" t="s">
        <v>173</v>
      </c>
      <c r="BD1" s="2" t="s">
        <v>174</v>
      </c>
      <c r="BE1" s="2" t="s">
        <v>175</v>
      </c>
      <c r="BF1" s="2" t="s">
        <v>176</v>
      </c>
      <c r="BG1" s="6" t="s">
        <v>177</v>
      </c>
      <c r="BH1" s="2" t="s">
        <v>178</v>
      </c>
      <c r="BI1" s="2" t="s">
        <v>179</v>
      </c>
      <c r="BJ1" s="2" t="s">
        <v>180</v>
      </c>
      <c r="BK1" s="2" t="s">
        <v>181</v>
      </c>
      <c r="BL1" s="2" t="s">
        <v>182</v>
      </c>
      <c r="BM1" s="2" t="s">
        <v>183</v>
      </c>
      <c r="BN1" s="2" t="s">
        <v>184</v>
      </c>
      <c r="BO1" s="2" t="s">
        <v>185</v>
      </c>
      <c r="BP1" s="2" t="s">
        <v>4</v>
      </c>
      <c r="BQ1" s="2" t="s">
        <v>186</v>
      </c>
      <c r="BR1" s="2" t="s">
        <v>187</v>
      </c>
      <c r="BS1" s="2" t="s">
        <v>188</v>
      </c>
      <c r="BT1" s="2" t="s">
        <v>596</v>
      </c>
      <c r="BU1" s="2" t="s">
        <v>190</v>
      </c>
      <c r="BV1" s="2" t="s">
        <v>597</v>
      </c>
      <c r="BW1" s="2" t="s">
        <v>192</v>
      </c>
      <c r="BX1" s="2" t="s">
        <v>193</v>
      </c>
    </row>
    <row r="2" spans="1:76" x14ac:dyDescent="0.25">
      <c r="A2">
        <v>201314</v>
      </c>
      <c r="B2" s="40" t="s">
        <v>2251</v>
      </c>
      <c r="C2" t="s">
        <v>57</v>
      </c>
      <c r="D2" s="40" t="s">
        <v>53</v>
      </c>
      <c r="E2" s="40" t="s">
        <v>2252</v>
      </c>
      <c r="F2">
        <v>1</v>
      </c>
      <c r="G2" t="s">
        <v>2275</v>
      </c>
      <c r="H2" s="11" t="s">
        <v>2316</v>
      </c>
      <c r="I2" s="41">
        <v>41615</v>
      </c>
      <c r="J2" s="11">
        <v>7</v>
      </c>
      <c r="K2" s="11">
        <v>12</v>
      </c>
      <c r="L2" s="11">
        <v>2013</v>
      </c>
      <c r="M2" s="11" t="s">
        <v>2352</v>
      </c>
      <c r="N2" t="s">
        <v>7</v>
      </c>
      <c r="O2" t="s">
        <v>36</v>
      </c>
      <c r="P2" t="s">
        <v>588</v>
      </c>
      <c r="Q2" t="s">
        <v>588</v>
      </c>
      <c r="R2" t="s">
        <v>588</v>
      </c>
      <c r="S2" t="s">
        <v>588</v>
      </c>
      <c r="T2">
        <v>3</v>
      </c>
      <c r="U2">
        <v>3</v>
      </c>
      <c r="V2" t="s">
        <v>588</v>
      </c>
      <c r="W2" t="s">
        <v>588</v>
      </c>
      <c r="X2">
        <v>2</v>
      </c>
      <c r="Y2">
        <v>2</v>
      </c>
      <c r="Z2" t="s">
        <v>8</v>
      </c>
      <c r="AA2" s="41">
        <v>41617</v>
      </c>
      <c r="AB2" s="11">
        <v>9</v>
      </c>
      <c r="AC2" s="11">
        <v>12</v>
      </c>
      <c r="AD2" s="11">
        <v>2013</v>
      </c>
      <c r="AE2" s="13" t="s">
        <v>2382</v>
      </c>
      <c r="AF2" t="s">
        <v>7</v>
      </c>
      <c r="AG2" s="1" t="s">
        <v>588</v>
      </c>
      <c r="AH2" s="11" t="s">
        <v>588</v>
      </c>
      <c r="AI2" s="11" t="s">
        <v>588</v>
      </c>
      <c r="AJ2" s="11" t="s">
        <v>588</v>
      </c>
      <c r="AK2" s="13" t="s">
        <v>588</v>
      </c>
      <c r="AL2" t="s">
        <v>588</v>
      </c>
      <c r="AM2" s="1" t="s">
        <v>588</v>
      </c>
      <c r="AN2" t="s">
        <v>588</v>
      </c>
      <c r="AO2" s="1" t="s">
        <v>588</v>
      </c>
      <c r="AP2" s="41">
        <v>41630</v>
      </c>
      <c r="AQ2" s="1" t="s">
        <v>7</v>
      </c>
      <c r="AR2" s="40" t="s">
        <v>195</v>
      </c>
      <c r="AS2">
        <v>2</v>
      </c>
      <c r="AT2">
        <v>3</v>
      </c>
      <c r="AU2" s="41">
        <v>41632</v>
      </c>
      <c r="AV2" s="41">
        <v>41646</v>
      </c>
      <c r="AW2" s="1" t="s">
        <v>12</v>
      </c>
      <c r="AX2" s="1" t="s">
        <v>41</v>
      </c>
      <c r="AY2" s="1" t="s">
        <v>41</v>
      </c>
      <c r="AZ2" s="1" t="s">
        <v>20</v>
      </c>
      <c r="BA2" s="41">
        <v>41632</v>
      </c>
      <c r="BB2" s="41">
        <v>41646</v>
      </c>
      <c r="BC2" s="1" t="s">
        <v>12</v>
      </c>
      <c r="BD2" s="1" t="s">
        <v>41</v>
      </c>
      <c r="BE2" s="1" t="s">
        <v>41</v>
      </c>
      <c r="BF2" s="1" t="s">
        <v>20</v>
      </c>
      <c r="BG2" s="1" t="s">
        <v>588</v>
      </c>
      <c r="BH2" s="1" t="s">
        <v>588</v>
      </c>
      <c r="BI2" s="1" t="s">
        <v>588</v>
      </c>
      <c r="BJ2" s="1" t="s">
        <v>588</v>
      </c>
      <c r="BK2" s="1" t="s">
        <v>588</v>
      </c>
      <c r="BL2" s="1" t="s">
        <v>588</v>
      </c>
      <c r="BM2">
        <v>3</v>
      </c>
      <c r="BN2">
        <v>3</v>
      </c>
      <c r="BO2" s="1" t="s">
        <v>41</v>
      </c>
      <c r="BP2" t="s">
        <v>588</v>
      </c>
      <c r="BQ2" s="1" t="s">
        <v>588</v>
      </c>
      <c r="BR2" s="1" t="s">
        <v>588</v>
      </c>
      <c r="BS2" t="s">
        <v>8</v>
      </c>
      <c r="BT2" s="40" t="s">
        <v>120</v>
      </c>
      <c r="BU2" t="s">
        <v>8</v>
      </c>
      <c r="BV2" s="40" t="s">
        <v>120</v>
      </c>
      <c r="BW2" s="1" t="s">
        <v>588</v>
      </c>
      <c r="BX2" s="1" t="s">
        <v>588</v>
      </c>
    </row>
    <row r="3" spans="1:76" x14ac:dyDescent="0.25">
      <c r="A3">
        <v>201314</v>
      </c>
      <c r="B3" s="40" t="s">
        <v>2251</v>
      </c>
      <c r="C3" t="s">
        <v>57</v>
      </c>
      <c r="D3" s="40" t="s">
        <v>53</v>
      </c>
      <c r="E3" s="40" t="s">
        <v>2252</v>
      </c>
      <c r="F3">
        <v>2</v>
      </c>
      <c r="G3" t="s">
        <v>2276</v>
      </c>
      <c r="H3" s="11" t="s">
        <v>2317</v>
      </c>
      <c r="I3" s="41">
        <v>41660</v>
      </c>
      <c r="J3" s="11">
        <v>21</v>
      </c>
      <c r="K3" s="11">
        <v>1</v>
      </c>
      <c r="L3" s="11">
        <v>2014</v>
      </c>
      <c r="M3" s="11" t="s">
        <v>2353</v>
      </c>
      <c r="N3" t="s">
        <v>12</v>
      </c>
      <c r="O3" t="s">
        <v>36</v>
      </c>
      <c r="P3" t="s">
        <v>588</v>
      </c>
      <c r="Q3" t="s">
        <v>588</v>
      </c>
      <c r="R3" t="s">
        <v>588</v>
      </c>
      <c r="S3" t="s">
        <v>588</v>
      </c>
      <c r="T3">
        <v>3</v>
      </c>
      <c r="U3">
        <v>3</v>
      </c>
      <c r="V3" s="1" t="s">
        <v>588</v>
      </c>
      <c r="W3" t="s">
        <v>588</v>
      </c>
      <c r="X3">
        <v>6</v>
      </c>
      <c r="Y3">
        <v>6</v>
      </c>
      <c r="Z3" t="s">
        <v>41</v>
      </c>
      <c r="AA3" s="41">
        <v>41682</v>
      </c>
      <c r="AB3" s="11">
        <v>12</v>
      </c>
      <c r="AC3" s="11">
        <v>2</v>
      </c>
      <c r="AD3" s="11">
        <v>2014</v>
      </c>
      <c r="AE3" s="13" t="s">
        <v>2383</v>
      </c>
      <c r="AF3" t="s">
        <v>21</v>
      </c>
      <c r="AG3" s="41">
        <v>41688</v>
      </c>
      <c r="AH3" s="11">
        <v>18</v>
      </c>
      <c r="AI3" s="11">
        <v>2</v>
      </c>
      <c r="AJ3" s="11">
        <v>2014</v>
      </c>
      <c r="AK3" s="13" t="s">
        <v>2398</v>
      </c>
      <c r="AL3" t="s">
        <v>21</v>
      </c>
      <c r="AM3" s="1" t="s">
        <v>41</v>
      </c>
      <c r="AN3" t="s">
        <v>8</v>
      </c>
      <c r="AO3" s="1" t="s">
        <v>32</v>
      </c>
      <c r="AP3" t="s">
        <v>588</v>
      </c>
      <c r="AQ3" s="1" t="s">
        <v>588</v>
      </c>
      <c r="AR3" t="s">
        <v>588</v>
      </c>
      <c r="AS3" t="s">
        <v>588</v>
      </c>
      <c r="AT3" t="s">
        <v>588</v>
      </c>
      <c r="AU3" s="1" t="s">
        <v>588</v>
      </c>
      <c r="AV3" t="s">
        <v>588</v>
      </c>
      <c r="AW3" s="1" t="s">
        <v>588</v>
      </c>
      <c r="AX3" t="s">
        <v>588</v>
      </c>
      <c r="AY3" s="1" t="s">
        <v>588</v>
      </c>
      <c r="AZ3" t="s">
        <v>588</v>
      </c>
      <c r="BA3" s="1" t="s">
        <v>588</v>
      </c>
      <c r="BB3" t="s">
        <v>588</v>
      </c>
      <c r="BC3" s="1" t="s">
        <v>588</v>
      </c>
      <c r="BD3" t="s">
        <v>588</v>
      </c>
      <c r="BE3" s="1" t="s">
        <v>588</v>
      </c>
      <c r="BF3" t="s">
        <v>588</v>
      </c>
      <c r="BG3" s="1" t="s">
        <v>588</v>
      </c>
      <c r="BH3" t="s">
        <v>588</v>
      </c>
      <c r="BI3" s="1" t="s">
        <v>588</v>
      </c>
      <c r="BJ3" t="s">
        <v>588</v>
      </c>
      <c r="BK3" s="1" t="s">
        <v>588</v>
      </c>
      <c r="BL3" t="s">
        <v>588</v>
      </c>
      <c r="BM3" t="s">
        <v>588</v>
      </c>
      <c r="BN3" t="s">
        <v>588</v>
      </c>
      <c r="BO3" s="1" t="s">
        <v>588</v>
      </c>
      <c r="BP3" t="s">
        <v>588</v>
      </c>
      <c r="BQ3" s="1" t="s">
        <v>588</v>
      </c>
      <c r="BR3" t="s">
        <v>588</v>
      </c>
      <c r="BS3" t="s">
        <v>8</v>
      </c>
      <c r="BT3" s="40" t="s">
        <v>120</v>
      </c>
      <c r="BU3" s="40" t="s">
        <v>588</v>
      </c>
      <c r="BV3" s="40" t="s">
        <v>588</v>
      </c>
      <c r="BW3" s="40" t="s">
        <v>588</v>
      </c>
      <c r="BX3" s="40" t="s">
        <v>588</v>
      </c>
    </row>
    <row r="4" spans="1:76" x14ac:dyDescent="0.25">
      <c r="A4">
        <v>201314</v>
      </c>
      <c r="B4" s="40" t="s">
        <v>579</v>
      </c>
      <c r="C4" t="s">
        <v>559</v>
      </c>
      <c r="D4" t="s">
        <v>1844</v>
      </c>
      <c r="E4" t="s">
        <v>1844</v>
      </c>
      <c r="F4">
        <v>1</v>
      </c>
      <c r="G4" t="s">
        <v>2277</v>
      </c>
      <c r="H4" s="11" t="s">
        <v>2318</v>
      </c>
      <c r="I4" s="41">
        <v>41605</v>
      </c>
      <c r="J4" s="11">
        <v>27</v>
      </c>
      <c r="K4" s="11">
        <v>11</v>
      </c>
      <c r="L4" s="11">
        <v>2013</v>
      </c>
      <c r="M4" s="11" t="s">
        <v>2354</v>
      </c>
      <c r="N4" t="s">
        <v>17</v>
      </c>
      <c r="O4" s="40" t="s">
        <v>10</v>
      </c>
      <c r="P4" t="s">
        <v>588</v>
      </c>
      <c r="Q4" t="s">
        <v>588</v>
      </c>
      <c r="R4" t="s">
        <v>588</v>
      </c>
      <c r="S4" t="s">
        <v>588</v>
      </c>
      <c r="T4">
        <v>1</v>
      </c>
      <c r="U4">
        <v>3</v>
      </c>
      <c r="V4" s="1" t="s">
        <v>588</v>
      </c>
      <c r="W4" t="s">
        <v>588</v>
      </c>
      <c r="X4">
        <v>3</v>
      </c>
      <c r="Y4">
        <v>3</v>
      </c>
      <c r="Z4" t="s">
        <v>41</v>
      </c>
      <c r="AA4" s="41">
        <v>41606</v>
      </c>
      <c r="AB4" s="11">
        <v>28</v>
      </c>
      <c r="AC4" s="11">
        <v>11</v>
      </c>
      <c r="AD4" s="11">
        <v>2013</v>
      </c>
      <c r="AE4" s="13" t="s">
        <v>2384</v>
      </c>
      <c r="AF4" t="s">
        <v>17</v>
      </c>
      <c r="AG4" s="41">
        <v>41613</v>
      </c>
      <c r="AH4" s="11">
        <v>5</v>
      </c>
      <c r="AI4" s="11">
        <v>12</v>
      </c>
      <c r="AJ4" s="11">
        <v>2013</v>
      </c>
      <c r="AK4" s="13" t="s">
        <v>2399</v>
      </c>
      <c r="AL4" t="s">
        <v>7</v>
      </c>
      <c r="AM4" s="40" t="s">
        <v>11</v>
      </c>
      <c r="AN4" s="40" t="s">
        <v>41</v>
      </c>
      <c r="AO4" s="1" t="s">
        <v>41</v>
      </c>
      <c r="AP4" s="1" t="s">
        <v>588</v>
      </c>
      <c r="AQ4" s="1" t="s">
        <v>588</v>
      </c>
      <c r="AR4" s="1" t="s">
        <v>588</v>
      </c>
      <c r="AS4" t="s">
        <v>588</v>
      </c>
      <c r="AT4" t="s">
        <v>588</v>
      </c>
      <c r="AU4" s="1" t="s">
        <v>588</v>
      </c>
      <c r="AV4" s="1" t="s">
        <v>588</v>
      </c>
      <c r="AW4" s="1" t="s">
        <v>588</v>
      </c>
      <c r="AX4" s="1" t="s">
        <v>588</v>
      </c>
      <c r="AY4" s="1" t="s">
        <v>588</v>
      </c>
      <c r="AZ4" s="1" t="s">
        <v>588</v>
      </c>
      <c r="BA4" s="1" t="s">
        <v>588</v>
      </c>
      <c r="BB4" s="1" t="s">
        <v>588</v>
      </c>
      <c r="BC4" s="1" t="s">
        <v>588</v>
      </c>
      <c r="BD4" s="1" t="s">
        <v>588</v>
      </c>
      <c r="BE4" s="1" t="s">
        <v>588</v>
      </c>
      <c r="BF4" s="1" t="s">
        <v>588</v>
      </c>
      <c r="BG4" s="1" t="s">
        <v>588</v>
      </c>
      <c r="BH4" s="1" t="s">
        <v>588</v>
      </c>
      <c r="BI4" s="1" t="s">
        <v>588</v>
      </c>
      <c r="BJ4" s="1" t="s">
        <v>588</v>
      </c>
      <c r="BK4" s="1" t="s">
        <v>588</v>
      </c>
      <c r="BL4" s="1" t="s">
        <v>588</v>
      </c>
      <c r="BM4" t="s">
        <v>588</v>
      </c>
      <c r="BN4" t="s">
        <v>588</v>
      </c>
      <c r="BO4" s="1" t="s">
        <v>588</v>
      </c>
      <c r="BP4" t="s">
        <v>588</v>
      </c>
      <c r="BQ4" s="1" t="s">
        <v>588</v>
      </c>
      <c r="BR4" s="1" t="s">
        <v>588</v>
      </c>
      <c r="BS4" t="s">
        <v>8</v>
      </c>
      <c r="BT4" s="40" t="s">
        <v>120</v>
      </c>
      <c r="BU4" s="1" t="s">
        <v>588</v>
      </c>
      <c r="BV4" s="1" t="s">
        <v>588</v>
      </c>
      <c r="BW4" s="1" t="s">
        <v>588</v>
      </c>
      <c r="BX4" s="1" t="s">
        <v>588</v>
      </c>
    </row>
    <row r="5" spans="1:76" x14ac:dyDescent="0.25">
      <c r="A5">
        <v>201314</v>
      </c>
      <c r="B5" s="40" t="s">
        <v>579</v>
      </c>
      <c r="C5" t="s">
        <v>559</v>
      </c>
      <c r="D5" t="s">
        <v>1844</v>
      </c>
      <c r="E5" t="s">
        <v>1844</v>
      </c>
      <c r="F5">
        <v>2</v>
      </c>
      <c r="G5" t="s">
        <v>2278</v>
      </c>
      <c r="H5" s="11" t="s">
        <v>2319</v>
      </c>
      <c r="I5" s="41">
        <v>41629</v>
      </c>
      <c r="J5" s="11">
        <v>21</v>
      </c>
      <c r="K5" s="11">
        <v>12</v>
      </c>
      <c r="L5" s="11">
        <v>2013</v>
      </c>
      <c r="M5" s="11" t="s">
        <v>2355</v>
      </c>
      <c r="N5" t="s">
        <v>7</v>
      </c>
      <c r="O5" s="40" t="s">
        <v>10</v>
      </c>
      <c r="P5" t="s">
        <v>588</v>
      </c>
      <c r="Q5" t="s">
        <v>588</v>
      </c>
      <c r="R5" t="s">
        <v>588</v>
      </c>
      <c r="S5" t="s">
        <v>588</v>
      </c>
      <c r="T5">
        <v>3</v>
      </c>
      <c r="U5">
        <v>3</v>
      </c>
      <c r="V5" s="1" t="s">
        <v>588</v>
      </c>
      <c r="W5" t="s">
        <v>588</v>
      </c>
      <c r="X5">
        <v>4</v>
      </c>
      <c r="Y5">
        <v>4</v>
      </c>
      <c r="Z5" t="s">
        <v>41</v>
      </c>
      <c r="AA5" s="41">
        <v>41632</v>
      </c>
      <c r="AB5" s="11">
        <v>24</v>
      </c>
      <c r="AC5" s="11">
        <v>12</v>
      </c>
      <c r="AD5" s="11">
        <v>2013</v>
      </c>
      <c r="AE5" s="13" t="s">
        <v>2385</v>
      </c>
      <c r="AF5" t="s">
        <v>7</v>
      </c>
      <c r="AG5" s="41">
        <v>41634</v>
      </c>
      <c r="AH5" s="11">
        <v>26</v>
      </c>
      <c r="AI5" s="11">
        <v>12</v>
      </c>
      <c r="AJ5" s="11">
        <v>2013</v>
      </c>
      <c r="AK5" s="13" t="s">
        <v>2368</v>
      </c>
      <c r="AL5" t="s">
        <v>7</v>
      </c>
      <c r="AM5" s="1" t="s">
        <v>41</v>
      </c>
      <c r="AN5" t="s">
        <v>8</v>
      </c>
      <c r="AO5" s="40" t="s">
        <v>32</v>
      </c>
      <c r="AP5" s="1" t="s">
        <v>588</v>
      </c>
      <c r="AQ5" s="1" t="s">
        <v>588</v>
      </c>
      <c r="AR5" s="1" t="s">
        <v>588</v>
      </c>
      <c r="AS5" t="s">
        <v>588</v>
      </c>
      <c r="AT5" t="s">
        <v>588</v>
      </c>
      <c r="AU5" s="1" t="s">
        <v>588</v>
      </c>
      <c r="AV5" s="1" t="s">
        <v>588</v>
      </c>
      <c r="AW5" s="1" t="s">
        <v>588</v>
      </c>
      <c r="AX5" s="1" t="s">
        <v>588</v>
      </c>
      <c r="AY5" s="1" t="s">
        <v>588</v>
      </c>
      <c r="AZ5" s="1" t="s">
        <v>588</v>
      </c>
      <c r="BA5" s="1" t="s">
        <v>588</v>
      </c>
      <c r="BB5" s="1" t="s">
        <v>588</v>
      </c>
      <c r="BC5" s="1" t="s">
        <v>588</v>
      </c>
      <c r="BD5" s="1" t="s">
        <v>588</v>
      </c>
      <c r="BE5" s="1" t="s">
        <v>588</v>
      </c>
      <c r="BF5" s="1" t="s">
        <v>588</v>
      </c>
      <c r="BG5" s="1" t="s">
        <v>588</v>
      </c>
      <c r="BH5" s="1" t="s">
        <v>588</v>
      </c>
      <c r="BI5" s="1" t="s">
        <v>588</v>
      </c>
      <c r="BJ5" s="1" t="s">
        <v>588</v>
      </c>
      <c r="BK5" s="1" t="s">
        <v>588</v>
      </c>
      <c r="BL5" s="1" t="s">
        <v>588</v>
      </c>
      <c r="BM5" t="s">
        <v>588</v>
      </c>
      <c r="BN5" t="s">
        <v>588</v>
      </c>
      <c r="BO5" s="1" t="s">
        <v>588</v>
      </c>
      <c r="BP5" t="s">
        <v>588</v>
      </c>
      <c r="BQ5" s="1" t="s">
        <v>588</v>
      </c>
      <c r="BR5" s="1" t="s">
        <v>588</v>
      </c>
      <c r="BS5" t="s">
        <v>8</v>
      </c>
      <c r="BT5" s="40" t="s">
        <v>120</v>
      </c>
      <c r="BU5" s="1" t="s">
        <v>588</v>
      </c>
      <c r="BV5" s="1" t="s">
        <v>588</v>
      </c>
      <c r="BW5" s="1" t="s">
        <v>588</v>
      </c>
      <c r="BX5" s="1" t="s">
        <v>588</v>
      </c>
    </row>
    <row r="6" spans="1:76" x14ac:dyDescent="0.25">
      <c r="A6">
        <v>201314</v>
      </c>
      <c r="B6" s="40" t="s">
        <v>579</v>
      </c>
      <c r="C6" t="s">
        <v>559</v>
      </c>
      <c r="D6" t="s">
        <v>1844</v>
      </c>
      <c r="E6" t="s">
        <v>1844</v>
      </c>
      <c r="F6">
        <v>3</v>
      </c>
      <c r="G6" t="s">
        <v>2279</v>
      </c>
      <c r="H6" s="11" t="s">
        <v>2320</v>
      </c>
      <c r="I6" s="41">
        <v>41671</v>
      </c>
      <c r="J6" s="11">
        <v>1</v>
      </c>
      <c r="K6" s="11">
        <v>2</v>
      </c>
      <c r="L6" s="11">
        <v>2014</v>
      </c>
      <c r="M6" s="11" t="s">
        <v>2356</v>
      </c>
      <c r="N6" t="s">
        <v>21</v>
      </c>
      <c r="O6" s="40" t="s">
        <v>10</v>
      </c>
      <c r="P6" t="s">
        <v>588</v>
      </c>
      <c r="Q6" t="s">
        <v>588</v>
      </c>
      <c r="R6" t="s">
        <v>588</v>
      </c>
      <c r="S6" t="s">
        <v>588</v>
      </c>
      <c r="T6">
        <v>2</v>
      </c>
      <c r="U6">
        <v>3</v>
      </c>
      <c r="V6" s="1" t="s">
        <v>588</v>
      </c>
      <c r="W6" t="s">
        <v>588</v>
      </c>
      <c r="X6">
        <v>2</v>
      </c>
      <c r="Y6">
        <v>2</v>
      </c>
      <c r="Z6" t="s">
        <v>41</v>
      </c>
      <c r="AA6" s="41">
        <v>41671</v>
      </c>
      <c r="AB6" s="11">
        <v>1</v>
      </c>
      <c r="AC6" s="11">
        <v>2</v>
      </c>
      <c r="AD6" s="11">
        <v>2014</v>
      </c>
      <c r="AE6" s="13" t="s">
        <v>2356</v>
      </c>
      <c r="AF6" t="s">
        <v>21</v>
      </c>
      <c r="AG6" s="41">
        <v>41686</v>
      </c>
      <c r="AH6" s="11">
        <v>16</v>
      </c>
      <c r="AI6" s="11">
        <v>2</v>
      </c>
      <c r="AJ6" s="11">
        <v>2014</v>
      </c>
      <c r="AK6" s="13" t="s">
        <v>2400</v>
      </c>
      <c r="AL6" t="s">
        <v>21</v>
      </c>
      <c r="AM6" s="1" t="s">
        <v>41</v>
      </c>
      <c r="AN6" s="1" t="s">
        <v>41</v>
      </c>
      <c r="AO6" s="1" t="s">
        <v>20</v>
      </c>
      <c r="AP6" s="1" t="s">
        <v>588</v>
      </c>
      <c r="AQ6" s="1" t="s">
        <v>588</v>
      </c>
      <c r="AR6" s="1" t="s">
        <v>588</v>
      </c>
      <c r="AS6" t="s">
        <v>588</v>
      </c>
      <c r="AT6" t="s">
        <v>588</v>
      </c>
      <c r="AU6" s="1" t="s">
        <v>588</v>
      </c>
      <c r="AV6" s="1" t="s">
        <v>588</v>
      </c>
      <c r="AW6" s="1" t="s">
        <v>588</v>
      </c>
      <c r="AX6" s="1" t="s">
        <v>588</v>
      </c>
      <c r="AY6" s="1" t="s">
        <v>588</v>
      </c>
      <c r="AZ6" s="1" t="s">
        <v>588</v>
      </c>
      <c r="BA6" s="1" t="s">
        <v>588</v>
      </c>
      <c r="BB6" s="1" t="s">
        <v>588</v>
      </c>
      <c r="BC6" s="1" t="s">
        <v>588</v>
      </c>
      <c r="BD6" s="1" t="s">
        <v>588</v>
      </c>
      <c r="BE6" s="1" t="s">
        <v>588</v>
      </c>
      <c r="BF6" s="1" t="s">
        <v>588</v>
      </c>
      <c r="BG6" s="1" t="s">
        <v>588</v>
      </c>
      <c r="BH6" s="1" t="s">
        <v>588</v>
      </c>
      <c r="BI6" s="1" t="s">
        <v>588</v>
      </c>
      <c r="BJ6" s="1" t="s">
        <v>588</v>
      </c>
      <c r="BK6" s="1" t="s">
        <v>588</v>
      </c>
      <c r="BL6" s="1" t="s">
        <v>588</v>
      </c>
      <c r="BM6" t="s">
        <v>588</v>
      </c>
      <c r="BN6" t="s">
        <v>588</v>
      </c>
      <c r="BO6" s="1" t="s">
        <v>588</v>
      </c>
      <c r="BP6" t="s">
        <v>588</v>
      </c>
      <c r="BQ6" s="1" t="s">
        <v>588</v>
      </c>
      <c r="BR6" s="1" t="s">
        <v>588</v>
      </c>
      <c r="BS6" t="s">
        <v>41</v>
      </c>
      <c r="BT6" s="40" t="s">
        <v>42</v>
      </c>
      <c r="BU6" s="1" t="s">
        <v>588</v>
      </c>
      <c r="BV6" s="1" t="s">
        <v>588</v>
      </c>
      <c r="BW6" s="1" t="s">
        <v>588</v>
      </c>
      <c r="BX6" s="1" t="s">
        <v>588</v>
      </c>
    </row>
    <row r="7" spans="1:76" x14ac:dyDescent="0.25">
      <c r="A7">
        <v>201314</v>
      </c>
      <c r="B7" s="40" t="s">
        <v>122</v>
      </c>
      <c r="C7" t="s">
        <v>14</v>
      </c>
      <c r="D7" s="40" t="s">
        <v>15</v>
      </c>
      <c r="E7" t="s">
        <v>1844</v>
      </c>
      <c r="F7">
        <v>1</v>
      </c>
      <c r="G7" t="s">
        <v>2280</v>
      </c>
      <c r="H7" s="11" t="s">
        <v>2321</v>
      </c>
      <c r="I7" s="41">
        <v>41626</v>
      </c>
      <c r="J7" s="11">
        <v>18</v>
      </c>
      <c r="K7" s="11">
        <v>12</v>
      </c>
      <c r="L7" s="11">
        <v>2013</v>
      </c>
      <c r="M7" s="11" t="s">
        <v>2357</v>
      </c>
      <c r="N7" t="s">
        <v>7</v>
      </c>
      <c r="O7" s="40" t="s">
        <v>36</v>
      </c>
      <c r="P7" t="s">
        <v>588</v>
      </c>
      <c r="Q7" t="s">
        <v>588</v>
      </c>
      <c r="R7" t="s">
        <v>588</v>
      </c>
      <c r="S7" t="s">
        <v>588</v>
      </c>
      <c r="T7">
        <v>2</v>
      </c>
      <c r="U7">
        <v>3</v>
      </c>
      <c r="V7" s="1" t="s">
        <v>588</v>
      </c>
      <c r="W7" t="s">
        <v>588</v>
      </c>
      <c r="X7">
        <v>2</v>
      </c>
      <c r="Y7">
        <v>2</v>
      </c>
      <c r="Z7" t="s">
        <v>41</v>
      </c>
      <c r="AA7" s="41">
        <v>41626</v>
      </c>
      <c r="AB7" s="11">
        <v>18</v>
      </c>
      <c r="AC7" s="11">
        <v>12</v>
      </c>
      <c r="AD7" s="11">
        <v>2013</v>
      </c>
      <c r="AE7" s="13" t="s">
        <v>2357</v>
      </c>
      <c r="AF7" t="s">
        <v>7</v>
      </c>
      <c r="AG7" s="41">
        <v>41641</v>
      </c>
      <c r="AH7" s="11">
        <v>2</v>
      </c>
      <c r="AI7" s="11">
        <v>1</v>
      </c>
      <c r="AJ7" s="11">
        <v>2014</v>
      </c>
      <c r="AK7" s="13" t="s">
        <v>2373</v>
      </c>
      <c r="AL7" t="s">
        <v>12</v>
      </c>
      <c r="AM7" s="1" t="s">
        <v>41</v>
      </c>
      <c r="AN7" s="1" t="s">
        <v>41</v>
      </c>
      <c r="AO7" s="1" t="s">
        <v>20</v>
      </c>
      <c r="AP7" s="1" t="s">
        <v>588</v>
      </c>
      <c r="AQ7" s="1" t="s">
        <v>588</v>
      </c>
      <c r="AR7" s="1" t="s">
        <v>588</v>
      </c>
      <c r="AS7" t="s">
        <v>588</v>
      </c>
      <c r="AT7" t="s">
        <v>588</v>
      </c>
      <c r="AU7" s="1" t="s">
        <v>588</v>
      </c>
      <c r="AV7" s="1" t="s">
        <v>588</v>
      </c>
      <c r="AW7" s="1" t="s">
        <v>588</v>
      </c>
      <c r="AX7" s="1" t="s">
        <v>588</v>
      </c>
      <c r="AY7" s="1" t="s">
        <v>588</v>
      </c>
      <c r="AZ7" s="1" t="s">
        <v>588</v>
      </c>
      <c r="BA7" s="1" t="s">
        <v>588</v>
      </c>
      <c r="BB7" s="1" t="s">
        <v>588</v>
      </c>
      <c r="BC7" s="1" t="s">
        <v>588</v>
      </c>
      <c r="BD7" s="1" t="s">
        <v>588</v>
      </c>
      <c r="BE7" s="1" t="s">
        <v>588</v>
      </c>
      <c r="BF7" s="1" t="s">
        <v>588</v>
      </c>
      <c r="BG7" s="1" t="s">
        <v>588</v>
      </c>
      <c r="BH7" s="1" t="s">
        <v>588</v>
      </c>
      <c r="BI7" s="1" t="s">
        <v>588</v>
      </c>
      <c r="BJ7" s="1" t="s">
        <v>588</v>
      </c>
      <c r="BK7" s="1" t="s">
        <v>588</v>
      </c>
      <c r="BL7" s="1" t="s">
        <v>588</v>
      </c>
      <c r="BM7" s="1" t="s">
        <v>588</v>
      </c>
      <c r="BN7" s="1" t="s">
        <v>588</v>
      </c>
      <c r="BO7" s="1" t="s">
        <v>588</v>
      </c>
      <c r="BP7" t="s">
        <v>588</v>
      </c>
      <c r="BQ7" s="1" t="s">
        <v>588</v>
      </c>
      <c r="BR7" s="1" t="s">
        <v>588</v>
      </c>
      <c r="BS7" t="s">
        <v>8</v>
      </c>
      <c r="BT7" s="40" t="s">
        <v>123</v>
      </c>
      <c r="BU7" s="1" t="s">
        <v>588</v>
      </c>
      <c r="BV7" s="1" t="s">
        <v>588</v>
      </c>
      <c r="BW7" s="1" t="s">
        <v>588</v>
      </c>
      <c r="BX7" s="1" t="s">
        <v>588</v>
      </c>
    </row>
    <row r="8" spans="1:76" x14ac:dyDescent="0.25">
      <c r="A8">
        <v>201314</v>
      </c>
      <c r="B8" s="40" t="s">
        <v>122</v>
      </c>
      <c r="C8" t="s">
        <v>14</v>
      </c>
      <c r="D8" s="40" t="s">
        <v>15</v>
      </c>
      <c r="E8" t="s">
        <v>1844</v>
      </c>
      <c r="F8">
        <v>2</v>
      </c>
      <c r="G8" t="s">
        <v>2281</v>
      </c>
      <c r="H8" s="11" t="s">
        <v>2322</v>
      </c>
      <c r="I8" s="41">
        <v>41669</v>
      </c>
      <c r="J8" s="11">
        <v>30</v>
      </c>
      <c r="K8" s="11">
        <v>1</v>
      </c>
      <c r="L8" s="11">
        <v>2014</v>
      </c>
      <c r="M8" s="11" t="s">
        <v>2358</v>
      </c>
      <c r="N8" t="s">
        <v>12</v>
      </c>
      <c r="O8" s="40" t="s">
        <v>19</v>
      </c>
      <c r="P8" t="s">
        <v>588</v>
      </c>
      <c r="Q8" t="s">
        <v>588</v>
      </c>
      <c r="R8" t="s">
        <v>588</v>
      </c>
      <c r="S8" t="s">
        <v>588</v>
      </c>
      <c r="T8">
        <v>2</v>
      </c>
      <c r="U8">
        <v>2</v>
      </c>
      <c r="V8" s="1">
        <v>41671</v>
      </c>
      <c r="W8" t="s">
        <v>223</v>
      </c>
      <c r="X8">
        <v>4</v>
      </c>
      <c r="Y8">
        <v>4</v>
      </c>
      <c r="Z8" t="s">
        <v>8</v>
      </c>
      <c r="AA8" s="41">
        <v>41691</v>
      </c>
      <c r="AB8" s="11">
        <v>21</v>
      </c>
      <c r="AC8" s="11">
        <v>2</v>
      </c>
      <c r="AD8" s="11">
        <v>2014</v>
      </c>
      <c r="AE8" s="13" t="s">
        <v>2386</v>
      </c>
      <c r="AF8" t="s">
        <v>21</v>
      </c>
      <c r="AG8" s="1" t="s">
        <v>588</v>
      </c>
      <c r="AH8" s="11" t="s">
        <v>588</v>
      </c>
      <c r="AI8" s="11" t="s">
        <v>588</v>
      </c>
      <c r="AJ8" s="11" t="s">
        <v>588</v>
      </c>
      <c r="AK8" s="13" t="s">
        <v>588</v>
      </c>
      <c r="AL8" t="s">
        <v>588</v>
      </c>
      <c r="AM8" s="1" t="s">
        <v>588</v>
      </c>
      <c r="AN8" t="s">
        <v>588</v>
      </c>
      <c r="AO8" s="1" t="s">
        <v>588</v>
      </c>
      <c r="AP8" s="41">
        <v>41699</v>
      </c>
      <c r="AQ8" s="1" t="s">
        <v>22</v>
      </c>
      <c r="AR8" s="40" t="s">
        <v>195</v>
      </c>
      <c r="AS8">
        <v>1</v>
      </c>
      <c r="AT8">
        <v>2</v>
      </c>
      <c r="AU8" s="41">
        <v>41726</v>
      </c>
      <c r="AV8" s="1" t="s">
        <v>1996</v>
      </c>
      <c r="AW8" s="1" t="s">
        <v>588</v>
      </c>
      <c r="AX8" s="1" t="s">
        <v>588</v>
      </c>
      <c r="AY8" s="1" t="s">
        <v>588</v>
      </c>
      <c r="AZ8" s="1" t="s">
        <v>588</v>
      </c>
      <c r="BA8" s="1" t="s">
        <v>588</v>
      </c>
      <c r="BB8" s="1" t="s">
        <v>588</v>
      </c>
      <c r="BC8" s="1" t="s">
        <v>588</v>
      </c>
      <c r="BD8" s="1" t="s">
        <v>588</v>
      </c>
      <c r="BE8" s="1" t="s">
        <v>588</v>
      </c>
      <c r="BF8" s="1" t="s">
        <v>588</v>
      </c>
      <c r="BG8" s="1" t="s">
        <v>588</v>
      </c>
      <c r="BH8" s="1" t="s">
        <v>588</v>
      </c>
      <c r="BI8" s="1" t="s">
        <v>588</v>
      </c>
      <c r="BJ8" s="1" t="s">
        <v>588</v>
      </c>
      <c r="BK8" s="1" t="s">
        <v>588</v>
      </c>
      <c r="BL8" s="1" t="s">
        <v>588</v>
      </c>
      <c r="BM8">
        <v>3</v>
      </c>
      <c r="BN8">
        <v>3</v>
      </c>
      <c r="BO8" s="1" t="s">
        <v>647</v>
      </c>
      <c r="BP8" t="s">
        <v>588</v>
      </c>
      <c r="BQ8" s="1" t="s">
        <v>588</v>
      </c>
      <c r="BR8" s="1" t="s">
        <v>588</v>
      </c>
      <c r="BS8" t="s">
        <v>8</v>
      </c>
      <c r="BT8" s="40" t="s">
        <v>120</v>
      </c>
      <c r="BU8" t="s">
        <v>8</v>
      </c>
      <c r="BV8" s="40" t="s">
        <v>120</v>
      </c>
      <c r="BW8" s="1" t="s">
        <v>2253</v>
      </c>
      <c r="BX8" s="1" t="s">
        <v>588</v>
      </c>
    </row>
    <row r="9" spans="1:76" x14ac:dyDescent="0.25">
      <c r="A9">
        <v>201314</v>
      </c>
      <c r="B9" s="40" t="s">
        <v>2254</v>
      </c>
      <c r="C9" t="s">
        <v>574</v>
      </c>
      <c r="D9" t="s">
        <v>275</v>
      </c>
      <c r="E9" t="s">
        <v>1844</v>
      </c>
      <c r="F9">
        <v>1</v>
      </c>
      <c r="G9" t="s">
        <v>2282</v>
      </c>
      <c r="H9" s="11" t="s">
        <v>2323</v>
      </c>
      <c r="I9" s="41">
        <v>41627</v>
      </c>
      <c r="J9" s="11">
        <v>19</v>
      </c>
      <c r="K9" s="11">
        <v>12</v>
      </c>
      <c r="L9" s="11">
        <v>2013</v>
      </c>
      <c r="M9" s="11" t="s">
        <v>2359</v>
      </c>
      <c r="N9" t="s">
        <v>7</v>
      </c>
      <c r="O9" s="40" t="s">
        <v>10</v>
      </c>
      <c r="P9" s="40">
        <v>-38.807499</v>
      </c>
      <c r="Q9" s="40">
        <v>145.55792199999999</v>
      </c>
      <c r="R9" t="s">
        <v>588</v>
      </c>
      <c r="S9" t="s">
        <v>588</v>
      </c>
      <c r="T9">
        <v>2</v>
      </c>
      <c r="U9">
        <v>2</v>
      </c>
      <c r="V9" s="1" t="s">
        <v>588</v>
      </c>
      <c r="W9" t="s">
        <v>588</v>
      </c>
      <c r="X9">
        <v>3</v>
      </c>
      <c r="Y9">
        <v>3</v>
      </c>
      <c r="Z9" t="s">
        <v>41</v>
      </c>
      <c r="AA9" s="41">
        <v>41636</v>
      </c>
      <c r="AB9" s="11">
        <v>28</v>
      </c>
      <c r="AC9" s="11">
        <v>12</v>
      </c>
      <c r="AD9" s="11">
        <v>2013</v>
      </c>
      <c r="AE9" s="13" t="s">
        <v>2376</v>
      </c>
      <c r="AF9" t="s">
        <v>7</v>
      </c>
      <c r="AG9" s="41">
        <v>41645</v>
      </c>
      <c r="AH9" s="11">
        <v>6</v>
      </c>
      <c r="AI9" s="11">
        <v>1</v>
      </c>
      <c r="AJ9" s="11">
        <v>2014</v>
      </c>
      <c r="AK9" s="13" t="s">
        <v>2401</v>
      </c>
      <c r="AL9" t="s">
        <v>12</v>
      </c>
      <c r="AM9" s="1" t="s">
        <v>41</v>
      </c>
      <c r="AN9" t="s">
        <v>8</v>
      </c>
      <c r="AO9" s="40" t="s">
        <v>11</v>
      </c>
      <c r="AP9" s="1" t="s">
        <v>588</v>
      </c>
      <c r="AQ9" s="1" t="s">
        <v>588</v>
      </c>
      <c r="AR9" s="1" t="s">
        <v>588</v>
      </c>
      <c r="AS9" t="s">
        <v>588</v>
      </c>
      <c r="AT9" t="s">
        <v>588</v>
      </c>
      <c r="AU9" s="1" t="s">
        <v>588</v>
      </c>
      <c r="AV9" s="1" t="s">
        <v>588</v>
      </c>
      <c r="AW9" s="1" t="s">
        <v>588</v>
      </c>
      <c r="AX9" s="1" t="s">
        <v>588</v>
      </c>
      <c r="AY9" s="1" t="s">
        <v>588</v>
      </c>
      <c r="AZ9" s="1" t="s">
        <v>588</v>
      </c>
      <c r="BA9" s="1" t="s">
        <v>588</v>
      </c>
      <c r="BB9" s="1" t="s">
        <v>588</v>
      </c>
      <c r="BC9" s="1" t="s">
        <v>588</v>
      </c>
      <c r="BD9" s="1" t="s">
        <v>588</v>
      </c>
      <c r="BE9" s="1" t="s">
        <v>588</v>
      </c>
      <c r="BF9" s="1" t="s">
        <v>588</v>
      </c>
      <c r="BG9" s="1" t="s">
        <v>588</v>
      </c>
      <c r="BH9" s="1" t="s">
        <v>588</v>
      </c>
      <c r="BI9" s="1" t="s">
        <v>588</v>
      </c>
      <c r="BJ9" s="1" t="s">
        <v>588</v>
      </c>
      <c r="BK9" s="1" t="s">
        <v>588</v>
      </c>
      <c r="BL9" s="1" t="s">
        <v>588</v>
      </c>
      <c r="BM9" s="1" t="s">
        <v>588</v>
      </c>
      <c r="BN9" s="1" t="s">
        <v>588</v>
      </c>
      <c r="BO9" s="1" t="s">
        <v>588</v>
      </c>
      <c r="BP9" t="s">
        <v>588</v>
      </c>
      <c r="BQ9" s="1" t="s">
        <v>588</v>
      </c>
      <c r="BR9" s="1" t="s">
        <v>588</v>
      </c>
      <c r="BS9" t="s">
        <v>41</v>
      </c>
      <c r="BT9" s="40" t="s">
        <v>42</v>
      </c>
      <c r="BU9" s="1" t="s">
        <v>588</v>
      </c>
      <c r="BV9" s="1" t="s">
        <v>588</v>
      </c>
      <c r="BW9" s="1" t="s">
        <v>588</v>
      </c>
      <c r="BX9" s="1" t="s">
        <v>588</v>
      </c>
    </row>
    <row r="10" spans="1:76" x14ac:dyDescent="0.25">
      <c r="A10">
        <v>201314</v>
      </c>
      <c r="B10" s="40" t="s">
        <v>2254</v>
      </c>
      <c r="C10" t="s">
        <v>574</v>
      </c>
      <c r="D10" t="s">
        <v>275</v>
      </c>
      <c r="E10" t="s">
        <v>1844</v>
      </c>
      <c r="F10">
        <v>2</v>
      </c>
      <c r="G10" t="s">
        <v>2283</v>
      </c>
      <c r="H10" s="11" t="s">
        <v>2324</v>
      </c>
      <c r="I10" s="41">
        <v>41656</v>
      </c>
      <c r="J10" s="11">
        <v>17</v>
      </c>
      <c r="K10" s="11">
        <v>1</v>
      </c>
      <c r="L10" s="11">
        <v>2014</v>
      </c>
      <c r="M10" s="11" t="s">
        <v>2360</v>
      </c>
      <c r="N10" t="s">
        <v>12</v>
      </c>
      <c r="O10" s="40" t="s">
        <v>51</v>
      </c>
      <c r="P10" s="40">
        <v>-38.802778000000004</v>
      </c>
      <c r="Q10" s="40">
        <v>145.67916700000001</v>
      </c>
      <c r="R10" t="s">
        <v>588</v>
      </c>
      <c r="S10" t="s">
        <v>588</v>
      </c>
      <c r="T10">
        <v>3</v>
      </c>
      <c r="U10">
        <v>3</v>
      </c>
      <c r="V10" s="1">
        <v>41658</v>
      </c>
      <c r="W10" t="s">
        <v>223</v>
      </c>
      <c r="X10">
        <v>3</v>
      </c>
      <c r="Y10">
        <v>3</v>
      </c>
      <c r="Z10" t="s">
        <v>41</v>
      </c>
      <c r="AA10" s="41">
        <v>41661</v>
      </c>
      <c r="AB10" s="11">
        <v>22</v>
      </c>
      <c r="AC10" s="11">
        <v>1</v>
      </c>
      <c r="AD10" s="11">
        <v>2014</v>
      </c>
      <c r="AE10" s="13" t="s">
        <v>2387</v>
      </c>
      <c r="AF10" t="s">
        <v>12</v>
      </c>
      <c r="AG10" s="41">
        <v>41680</v>
      </c>
      <c r="AH10" s="11">
        <v>10</v>
      </c>
      <c r="AI10" s="11">
        <v>2</v>
      </c>
      <c r="AJ10" s="11">
        <v>2014</v>
      </c>
      <c r="AK10" s="13" t="s">
        <v>2388</v>
      </c>
      <c r="AL10" t="s">
        <v>21</v>
      </c>
      <c r="AM10" s="1" t="s">
        <v>41</v>
      </c>
      <c r="AN10" s="1" t="s">
        <v>41</v>
      </c>
      <c r="AO10" s="1" t="s">
        <v>20</v>
      </c>
      <c r="AP10" s="1" t="s">
        <v>588</v>
      </c>
      <c r="AQ10" s="1" t="s">
        <v>588</v>
      </c>
      <c r="AR10" s="1" t="s">
        <v>588</v>
      </c>
      <c r="AS10" t="s">
        <v>588</v>
      </c>
      <c r="AT10" t="s">
        <v>588</v>
      </c>
      <c r="AU10" s="1" t="s">
        <v>588</v>
      </c>
      <c r="AV10" s="1" t="s">
        <v>588</v>
      </c>
      <c r="AW10" s="1" t="s">
        <v>588</v>
      </c>
      <c r="AX10" s="1" t="s">
        <v>588</v>
      </c>
      <c r="AY10" s="1" t="s">
        <v>588</v>
      </c>
      <c r="AZ10" s="1" t="s">
        <v>588</v>
      </c>
      <c r="BA10" s="1" t="s">
        <v>588</v>
      </c>
      <c r="BB10" s="1" t="s">
        <v>588</v>
      </c>
      <c r="BC10" s="1" t="s">
        <v>588</v>
      </c>
      <c r="BD10" s="1" t="s">
        <v>588</v>
      </c>
      <c r="BE10" s="1" t="s">
        <v>588</v>
      </c>
      <c r="BF10" s="1" t="s">
        <v>588</v>
      </c>
      <c r="BG10" s="1" t="s">
        <v>588</v>
      </c>
      <c r="BH10" s="1" t="s">
        <v>588</v>
      </c>
      <c r="BI10" s="1" t="s">
        <v>588</v>
      </c>
      <c r="BJ10" s="1" t="s">
        <v>588</v>
      </c>
      <c r="BK10" s="1" t="s">
        <v>588</v>
      </c>
      <c r="BL10" s="1" t="s">
        <v>588</v>
      </c>
      <c r="BM10" s="1" t="s">
        <v>588</v>
      </c>
      <c r="BN10" s="1" t="s">
        <v>588</v>
      </c>
      <c r="BO10" s="1" t="s">
        <v>588</v>
      </c>
      <c r="BP10" t="s">
        <v>588</v>
      </c>
      <c r="BQ10" s="1" t="s">
        <v>588</v>
      </c>
      <c r="BR10" s="1" t="s">
        <v>588</v>
      </c>
      <c r="BS10" t="s">
        <v>8</v>
      </c>
      <c r="BT10" s="40" t="s">
        <v>123</v>
      </c>
      <c r="BU10" s="1" t="s">
        <v>588</v>
      </c>
      <c r="BV10" s="1" t="s">
        <v>588</v>
      </c>
      <c r="BW10" s="1" t="s">
        <v>588</v>
      </c>
      <c r="BX10" s="1" t="s">
        <v>588</v>
      </c>
    </row>
    <row r="11" spans="1:76" x14ac:dyDescent="0.25">
      <c r="A11">
        <v>201314</v>
      </c>
      <c r="B11" s="40" t="s">
        <v>2255</v>
      </c>
      <c r="C11" t="s">
        <v>460</v>
      </c>
      <c r="D11" t="s">
        <v>1992</v>
      </c>
      <c r="E11" t="s">
        <v>1440</v>
      </c>
      <c r="F11">
        <v>1</v>
      </c>
      <c r="G11" t="s">
        <v>2284</v>
      </c>
      <c r="H11" s="11" t="s">
        <v>2325</v>
      </c>
      <c r="I11" s="41">
        <v>41627</v>
      </c>
      <c r="J11" s="11">
        <v>19</v>
      </c>
      <c r="K11" s="11">
        <v>12</v>
      </c>
      <c r="L11" s="11">
        <v>2013</v>
      </c>
      <c r="M11" s="11" t="s">
        <v>2359</v>
      </c>
      <c r="N11" t="s">
        <v>7</v>
      </c>
      <c r="O11" s="40" t="s">
        <v>10</v>
      </c>
      <c r="P11" s="40" t="s">
        <v>588</v>
      </c>
      <c r="Q11" s="40" t="s">
        <v>588</v>
      </c>
      <c r="R11" s="40" t="s">
        <v>588</v>
      </c>
      <c r="S11" s="40" t="s">
        <v>588</v>
      </c>
      <c r="T11">
        <v>1</v>
      </c>
      <c r="U11">
        <v>3</v>
      </c>
      <c r="V11" s="1" t="s">
        <v>588</v>
      </c>
      <c r="W11" t="s">
        <v>588</v>
      </c>
      <c r="X11">
        <v>2</v>
      </c>
      <c r="Y11">
        <v>2</v>
      </c>
      <c r="Z11" t="s">
        <v>41</v>
      </c>
      <c r="AA11" s="41">
        <v>41627</v>
      </c>
      <c r="AB11" s="11">
        <v>19</v>
      </c>
      <c r="AC11" s="11">
        <v>12</v>
      </c>
      <c r="AD11" s="11">
        <v>2013</v>
      </c>
      <c r="AE11" s="13" t="s">
        <v>2359</v>
      </c>
      <c r="AF11" t="s">
        <v>7</v>
      </c>
      <c r="AG11" s="41">
        <v>41645</v>
      </c>
      <c r="AH11" s="11">
        <v>6</v>
      </c>
      <c r="AI11" s="11">
        <v>1</v>
      </c>
      <c r="AJ11" s="11">
        <v>2014</v>
      </c>
      <c r="AK11" s="13" t="s">
        <v>2401</v>
      </c>
      <c r="AL11" t="s">
        <v>12</v>
      </c>
      <c r="AM11" s="1" t="s">
        <v>41</v>
      </c>
      <c r="AN11" t="s">
        <v>8</v>
      </c>
      <c r="AO11" s="40" t="s">
        <v>11</v>
      </c>
      <c r="AP11" s="1" t="s">
        <v>588</v>
      </c>
      <c r="AQ11" s="1" t="s">
        <v>588</v>
      </c>
      <c r="AR11" s="1" t="s">
        <v>588</v>
      </c>
      <c r="AS11" s="1" t="s">
        <v>588</v>
      </c>
      <c r="AT11" s="1" t="s">
        <v>588</v>
      </c>
      <c r="AU11" s="1" t="s">
        <v>588</v>
      </c>
      <c r="AV11" s="1" t="s">
        <v>588</v>
      </c>
      <c r="AW11" s="1" t="s">
        <v>588</v>
      </c>
      <c r="AX11" s="1" t="s">
        <v>588</v>
      </c>
      <c r="AY11" s="1" t="s">
        <v>588</v>
      </c>
      <c r="AZ11" s="1" t="s">
        <v>588</v>
      </c>
      <c r="BA11" s="1" t="s">
        <v>588</v>
      </c>
      <c r="BB11" s="1" t="s">
        <v>588</v>
      </c>
      <c r="BC11" s="1" t="s">
        <v>588</v>
      </c>
      <c r="BD11" s="1" t="s">
        <v>588</v>
      </c>
      <c r="BE11" s="1" t="s">
        <v>588</v>
      </c>
      <c r="BF11" s="1" t="s">
        <v>588</v>
      </c>
      <c r="BG11" s="1" t="s">
        <v>588</v>
      </c>
      <c r="BH11" s="1" t="s">
        <v>588</v>
      </c>
      <c r="BI11" s="1" t="s">
        <v>588</v>
      </c>
      <c r="BJ11" s="1" t="s">
        <v>588</v>
      </c>
      <c r="BK11" s="1" t="s">
        <v>588</v>
      </c>
      <c r="BL11" s="1" t="s">
        <v>588</v>
      </c>
      <c r="BM11" s="1" t="s">
        <v>588</v>
      </c>
      <c r="BN11" s="1" t="s">
        <v>588</v>
      </c>
      <c r="BO11" s="1" t="s">
        <v>588</v>
      </c>
      <c r="BP11" t="s">
        <v>588</v>
      </c>
      <c r="BQ11" s="1" t="s">
        <v>588</v>
      </c>
      <c r="BR11" s="1" t="s">
        <v>588</v>
      </c>
      <c r="BS11" t="s">
        <v>41</v>
      </c>
      <c r="BT11" s="40" t="s">
        <v>42</v>
      </c>
      <c r="BU11" s="1" t="s">
        <v>588</v>
      </c>
      <c r="BV11" s="1" t="s">
        <v>588</v>
      </c>
      <c r="BW11" s="1" t="s">
        <v>2256</v>
      </c>
      <c r="BX11" s="1" t="s">
        <v>588</v>
      </c>
    </row>
    <row r="12" spans="1:76" x14ac:dyDescent="0.25">
      <c r="A12">
        <v>201314</v>
      </c>
      <c r="B12" s="40" t="s">
        <v>2255</v>
      </c>
      <c r="C12" t="s">
        <v>460</v>
      </c>
      <c r="D12" t="s">
        <v>1992</v>
      </c>
      <c r="E12" t="s">
        <v>1440</v>
      </c>
      <c r="F12">
        <v>2</v>
      </c>
      <c r="G12" t="s">
        <v>2285</v>
      </c>
      <c r="H12" s="11" t="s">
        <v>2326</v>
      </c>
      <c r="I12" s="41">
        <v>41657</v>
      </c>
      <c r="J12" s="11">
        <v>18</v>
      </c>
      <c r="K12" s="11">
        <v>1</v>
      </c>
      <c r="L12" s="11">
        <v>2014</v>
      </c>
      <c r="M12" s="11" t="s">
        <v>2361</v>
      </c>
      <c r="N12" t="s">
        <v>12</v>
      </c>
      <c r="O12" s="40" t="s">
        <v>51</v>
      </c>
      <c r="P12" s="40">
        <v>-38.386330000000001</v>
      </c>
      <c r="Q12" s="40">
        <v>145.38467399999999</v>
      </c>
      <c r="R12" s="40" t="s">
        <v>588</v>
      </c>
      <c r="S12" s="40" t="s">
        <v>588</v>
      </c>
      <c r="T12">
        <v>1</v>
      </c>
      <c r="U12">
        <v>3</v>
      </c>
      <c r="V12" s="1" t="s">
        <v>588</v>
      </c>
      <c r="W12" t="s">
        <v>588</v>
      </c>
      <c r="X12">
        <v>4</v>
      </c>
      <c r="Y12">
        <v>4</v>
      </c>
      <c r="Z12" t="s">
        <v>8</v>
      </c>
      <c r="AA12" s="41">
        <v>41680</v>
      </c>
      <c r="AB12" s="11">
        <v>10</v>
      </c>
      <c r="AC12" s="11">
        <v>2</v>
      </c>
      <c r="AD12" s="11">
        <v>2014</v>
      </c>
      <c r="AE12" s="13" t="s">
        <v>2388</v>
      </c>
      <c r="AF12" t="s">
        <v>21</v>
      </c>
      <c r="AG12" s="1" t="s">
        <v>588</v>
      </c>
      <c r="AH12" s="11" t="s">
        <v>588</v>
      </c>
      <c r="AI12" s="11" t="s">
        <v>588</v>
      </c>
      <c r="AJ12" s="11" t="s">
        <v>588</v>
      </c>
      <c r="AK12" s="13" t="s">
        <v>588</v>
      </c>
      <c r="AL12" t="s">
        <v>588</v>
      </c>
      <c r="AM12" s="1" t="s">
        <v>588</v>
      </c>
      <c r="AN12" t="s">
        <v>588</v>
      </c>
      <c r="AO12" s="1" t="s">
        <v>588</v>
      </c>
      <c r="AP12" s="41">
        <v>41689</v>
      </c>
      <c r="AQ12" s="1" t="s">
        <v>21</v>
      </c>
      <c r="AR12" s="40" t="s">
        <v>195</v>
      </c>
      <c r="AS12">
        <v>1</v>
      </c>
      <c r="AT12">
        <v>1</v>
      </c>
      <c r="AU12" s="41">
        <v>41710</v>
      </c>
      <c r="AV12" s="1" t="s">
        <v>1996</v>
      </c>
      <c r="AW12" s="1" t="s">
        <v>588</v>
      </c>
      <c r="AX12" s="1" t="s">
        <v>588</v>
      </c>
      <c r="AY12" s="1" t="s">
        <v>588</v>
      </c>
      <c r="AZ12" s="1" t="s">
        <v>588</v>
      </c>
      <c r="BA12" s="1" t="s">
        <v>588</v>
      </c>
      <c r="BB12" s="1" t="s">
        <v>588</v>
      </c>
      <c r="BC12" s="1" t="s">
        <v>588</v>
      </c>
      <c r="BD12" s="1" t="s">
        <v>588</v>
      </c>
      <c r="BE12" s="1" t="s">
        <v>588</v>
      </c>
      <c r="BF12" s="1" t="s">
        <v>588</v>
      </c>
      <c r="BG12" s="1" t="s">
        <v>588</v>
      </c>
      <c r="BH12" s="1" t="s">
        <v>588</v>
      </c>
      <c r="BI12" s="1" t="s">
        <v>588</v>
      </c>
      <c r="BJ12" s="1" t="s">
        <v>588</v>
      </c>
      <c r="BK12" s="1" t="s">
        <v>588</v>
      </c>
      <c r="BL12" s="1" t="s">
        <v>588</v>
      </c>
      <c r="BM12" s="1" t="s">
        <v>588</v>
      </c>
      <c r="BN12" s="1" t="s">
        <v>588</v>
      </c>
      <c r="BO12" s="1" t="s">
        <v>588</v>
      </c>
      <c r="BP12" t="s">
        <v>588</v>
      </c>
      <c r="BQ12" s="1" t="s">
        <v>588</v>
      </c>
      <c r="BR12" s="1" t="s">
        <v>588</v>
      </c>
      <c r="BS12" t="s">
        <v>8</v>
      </c>
      <c r="BT12" s="40" t="s">
        <v>123</v>
      </c>
      <c r="BU12" t="s">
        <v>8</v>
      </c>
      <c r="BV12" s="40" t="s">
        <v>123</v>
      </c>
      <c r="BW12" s="1" t="s">
        <v>588</v>
      </c>
      <c r="BX12" s="1" t="s">
        <v>588</v>
      </c>
    </row>
    <row r="13" spans="1:76" x14ac:dyDescent="0.25">
      <c r="A13">
        <v>201314</v>
      </c>
      <c r="B13" s="40" t="s">
        <v>2257</v>
      </c>
      <c r="C13" t="s">
        <v>23</v>
      </c>
      <c r="D13" s="40" t="s">
        <v>24</v>
      </c>
      <c r="E13" s="40" t="s">
        <v>2258</v>
      </c>
      <c r="F13">
        <v>1</v>
      </c>
      <c r="G13" t="s">
        <v>2286</v>
      </c>
      <c r="H13" s="11" t="s">
        <v>2327</v>
      </c>
      <c r="I13" s="41">
        <v>41570</v>
      </c>
      <c r="J13" s="11">
        <v>23</v>
      </c>
      <c r="K13" s="11">
        <v>10</v>
      </c>
      <c r="L13" s="11">
        <v>2013</v>
      </c>
      <c r="M13" s="11" t="s">
        <v>2362</v>
      </c>
      <c r="N13" t="s">
        <v>29</v>
      </c>
      <c r="O13" s="40" t="s">
        <v>19</v>
      </c>
      <c r="P13" t="s">
        <v>588</v>
      </c>
      <c r="Q13" t="s">
        <v>588</v>
      </c>
      <c r="R13" s="40" t="s">
        <v>588</v>
      </c>
      <c r="S13" s="40" t="s">
        <v>588</v>
      </c>
      <c r="T13">
        <v>2</v>
      </c>
      <c r="U13">
        <v>3</v>
      </c>
      <c r="V13" s="1" t="s">
        <v>588</v>
      </c>
      <c r="W13" t="s">
        <v>588</v>
      </c>
      <c r="X13">
        <v>2</v>
      </c>
      <c r="Y13">
        <v>2</v>
      </c>
      <c r="Z13" t="s">
        <v>41</v>
      </c>
      <c r="AA13" s="41">
        <v>41570</v>
      </c>
      <c r="AB13" s="11">
        <v>23</v>
      </c>
      <c r="AC13" s="11">
        <v>10</v>
      </c>
      <c r="AD13" s="11">
        <v>2013</v>
      </c>
      <c r="AE13" s="13" t="s">
        <v>2362</v>
      </c>
      <c r="AF13" t="s">
        <v>29</v>
      </c>
      <c r="AG13" s="41">
        <v>41572</v>
      </c>
      <c r="AH13" s="11">
        <v>25</v>
      </c>
      <c r="AI13" s="11">
        <v>10</v>
      </c>
      <c r="AJ13" s="11">
        <v>2013</v>
      </c>
      <c r="AK13" s="13" t="s">
        <v>2402</v>
      </c>
      <c r="AL13" t="s">
        <v>29</v>
      </c>
      <c r="AM13" s="40" t="s">
        <v>11</v>
      </c>
      <c r="AN13" s="40" t="s">
        <v>8</v>
      </c>
      <c r="AO13" s="40" t="s">
        <v>41</v>
      </c>
      <c r="AP13" s="1" t="s">
        <v>588</v>
      </c>
      <c r="AQ13" s="1" t="s">
        <v>588</v>
      </c>
      <c r="AR13" s="1" t="s">
        <v>588</v>
      </c>
      <c r="AS13" s="1" t="s">
        <v>588</v>
      </c>
      <c r="AT13" s="1" t="s">
        <v>588</v>
      </c>
      <c r="AU13" s="1" t="s">
        <v>588</v>
      </c>
      <c r="AV13" s="1" t="s">
        <v>588</v>
      </c>
      <c r="AW13" s="1" t="s">
        <v>588</v>
      </c>
      <c r="AX13" s="1" t="s">
        <v>588</v>
      </c>
      <c r="AY13" s="1" t="s">
        <v>588</v>
      </c>
      <c r="AZ13" s="1" t="s">
        <v>588</v>
      </c>
      <c r="BA13" s="1" t="s">
        <v>588</v>
      </c>
      <c r="BB13" s="1" t="s">
        <v>588</v>
      </c>
      <c r="BC13" s="1" t="s">
        <v>588</v>
      </c>
      <c r="BD13" s="1" t="s">
        <v>588</v>
      </c>
      <c r="BE13" s="1" t="s">
        <v>588</v>
      </c>
      <c r="BF13" s="1" t="s">
        <v>588</v>
      </c>
      <c r="BG13" s="1" t="s">
        <v>588</v>
      </c>
      <c r="BH13" s="1" t="s">
        <v>588</v>
      </c>
      <c r="BI13" s="1" t="s">
        <v>588</v>
      </c>
      <c r="BJ13" s="1" t="s">
        <v>588</v>
      </c>
      <c r="BK13" s="1" t="s">
        <v>588</v>
      </c>
      <c r="BL13" s="1" t="s">
        <v>588</v>
      </c>
      <c r="BM13" s="1" t="s">
        <v>588</v>
      </c>
      <c r="BN13" s="1" t="s">
        <v>588</v>
      </c>
      <c r="BO13" s="1" t="s">
        <v>588</v>
      </c>
      <c r="BP13" t="s">
        <v>588</v>
      </c>
      <c r="BQ13" s="1" t="s">
        <v>588</v>
      </c>
      <c r="BR13" s="1" t="s">
        <v>588</v>
      </c>
      <c r="BS13" t="s">
        <v>8</v>
      </c>
      <c r="BT13" s="40" t="s">
        <v>123</v>
      </c>
      <c r="BU13" s="1" t="s">
        <v>588</v>
      </c>
      <c r="BV13" s="1" t="s">
        <v>588</v>
      </c>
      <c r="BW13" s="1" t="s">
        <v>588</v>
      </c>
      <c r="BX13" s="1" t="s">
        <v>588</v>
      </c>
    </row>
    <row r="14" spans="1:76" x14ac:dyDescent="0.25">
      <c r="A14">
        <v>201314</v>
      </c>
      <c r="B14" s="40" t="s">
        <v>2257</v>
      </c>
      <c r="C14" t="s">
        <v>23</v>
      </c>
      <c r="D14" s="40" t="s">
        <v>24</v>
      </c>
      <c r="E14" s="40" t="s">
        <v>2258</v>
      </c>
      <c r="F14">
        <v>2</v>
      </c>
      <c r="G14" t="s">
        <v>2287</v>
      </c>
      <c r="H14" s="11" t="s">
        <v>2328</v>
      </c>
      <c r="I14" s="41">
        <v>41609</v>
      </c>
      <c r="J14" s="11">
        <v>1</v>
      </c>
      <c r="K14" s="11">
        <v>12</v>
      </c>
      <c r="L14" s="11">
        <v>2013</v>
      </c>
      <c r="M14" s="11" t="s">
        <v>2363</v>
      </c>
      <c r="N14" t="s">
        <v>7</v>
      </c>
      <c r="O14" s="40" t="s">
        <v>10</v>
      </c>
      <c r="P14" t="s">
        <v>588</v>
      </c>
      <c r="Q14" t="s">
        <v>588</v>
      </c>
      <c r="R14" s="40" t="s">
        <v>588</v>
      </c>
      <c r="S14" s="40" t="s">
        <v>588</v>
      </c>
      <c r="T14">
        <v>3</v>
      </c>
      <c r="U14">
        <v>3</v>
      </c>
      <c r="V14" s="1" t="s">
        <v>588</v>
      </c>
      <c r="W14" t="s">
        <v>588</v>
      </c>
      <c r="X14">
        <v>2</v>
      </c>
      <c r="Y14">
        <v>2</v>
      </c>
      <c r="Z14" t="s">
        <v>41</v>
      </c>
      <c r="AA14" s="41">
        <v>41609</v>
      </c>
      <c r="AB14" s="11">
        <v>1</v>
      </c>
      <c r="AC14" s="11">
        <v>12</v>
      </c>
      <c r="AD14" s="11">
        <v>2013</v>
      </c>
      <c r="AE14" s="13" t="s">
        <v>2363</v>
      </c>
      <c r="AF14" t="s">
        <v>7</v>
      </c>
      <c r="AG14" s="41">
        <v>41611</v>
      </c>
      <c r="AH14" s="11">
        <v>3</v>
      </c>
      <c r="AI14" s="11">
        <v>12</v>
      </c>
      <c r="AJ14" s="11">
        <v>2013</v>
      </c>
      <c r="AK14" s="13" t="s">
        <v>2403</v>
      </c>
      <c r="AL14" t="s">
        <v>7</v>
      </c>
      <c r="AM14" s="1" t="s">
        <v>41</v>
      </c>
      <c r="AN14" s="40" t="s">
        <v>8</v>
      </c>
      <c r="AO14" s="40" t="s">
        <v>32</v>
      </c>
      <c r="AP14" s="1" t="s">
        <v>588</v>
      </c>
      <c r="AQ14" s="1" t="s">
        <v>588</v>
      </c>
      <c r="AR14" s="1" t="s">
        <v>588</v>
      </c>
      <c r="AS14" s="1" t="s">
        <v>588</v>
      </c>
      <c r="AT14" s="1" t="s">
        <v>588</v>
      </c>
      <c r="AU14" s="1" t="s">
        <v>588</v>
      </c>
      <c r="AV14" s="1" t="s">
        <v>588</v>
      </c>
      <c r="AW14" s="1" t="s">
        <v>588</v>
      </c>
      <c r="AX14" s="1" t="s">
        <v>588</v>
      </c>
      <c r="AY14" s="1" t="s">
        <v>588</v>
      </c>
      <c r="AZ14" s="1" t="s">
        <v>588</v>
      </c>
      <c r="BA14" s="1" t="s">
        <v>588</v>
      </c>
      <c r="BB14" s="1" t="s">
        <v>588</v>
      </c>
      <c r="BC14" s="1" t="s">
        <v>588</v>
      </c>
      <c r="BD14" s="1" t="s">
        <v>588</v>
      </c>
      <c r="BE14" s="1" t="s">
        <v>588</v>
      </c>
      <c r="BF14" s="1" t="s">
        <v>588</v>
      </c>
      <c r="BG14" s="1" t="s">
        <v>588</v>
      </c>
      <c r="BH14" s="1" t="s">
        <v>588</v>
      </c>
      <c r="BI14" s="1" t="s">
        <v>588</v>
      </c>
      <c r="BJ14" s="1" t="s">
        <v>588</v>
      </c>
      <c r="BK14" s="1" t="s">
        <v>588</v>
      </c>
      <c r="BL14" s="1" t="s">
        <v>588</v>
      </c>
      <c r="BM14" s="1" t="s">
        <v>588</v>
      </c>
      <c r="BN14" s="1" t="s">
        <v>588</v>
      </c>
      <c r="BO14" s="1" t="s">
        <v>588</v>
      </c>
      <c r="BP14" t="s">
        <v>588</v>
      </c>
      <c r="BQ14" s="1" t="s">
        <v>588</v>
      </c>
      <c r="BR14" s="1" t="s">
        <v>588</v>
      </c>
      <c r="BS14" t="s">
        <v>8</v>
      </c>
      <c r="BT14" s="40" t="s">
        <v>120</v>
      </c>
      <c r="BU14" s="1" t="s">
        <v>588</v>
      </c>
      <c r="BV14" s="1" t="s">
        <v>588</v>
      </c>
      <c r="BW14" s="1" t="s">
        <v>588</v>
      </c>
      <c r="BX14" s="1" t="s">
        <v>588</v>
      </c>
    </row>
    <row r="15" spans="1:76" x14ac:dyDescent="0.25">
      <c r="A15">
        <v>201314</v>
      </c>
      <c r="B15" s="40" t="s">
        <v>2257</v>
      </c>
      <c r="C15" t="s">
        <v>23</v>
      </c>
      <c r="D15" s="40" t="s">
        <v>24</v>
      </c>
      <c r="E15" s="40" t="s">
        <v>2258</v>
      </c>
      <c r="F15">
        <v>3</v>
      </c>
      <c r="G15" t="s">
        <v>2288</v>
      </c>
      <c r="H15" s="11" t="s">
        <v>2329</v>
      </c>
      <c r="I15" s="41">
        <v>41621</v>
      </c>
      <c r="J15" s="11">
        <v>13</v>
      </c>
      <c r="K15" s="11">
        <v>12</v>
      </c>
      <c r="L15" s="11">
        <v>2013</v>
      </c>
      <c r="M15" s="11" t="s">
        <v>2364</v>
      </c>
      <c r="N15" t="s">
        <v>7</v>
      </c>
      <c r="O15" s="40" t="s">
        <v>10</v>
      </c>
      <c r="P15" s="40">
        <v>-38.634917999999999</v>
      </c>
      <c r="Q15" s="40">
        <v>145.74595600000001</v>
      </c>
      <c r="R15" s="40" t="s">
        <v>588</v>
      </c>
      <c r="S15" s="40" t="s">
        <v>588</v>
      </c>
      <c r="T15">
        <v>2</v>
      </c>
      <c r="U15">
        <v>3</v>
      </c>
      <c r="V15" s="1">
        <v>41259</v>
      </c>
      <c r="W15" t="s">
        <v>223</v>
      </c>
      <c r="X15">
        <v>3</v>
      </c>
      <c r="Y15">
        <v>3</v>
      </c>
      <c r="Z15" t="s">
        <v>41</v>
      </c>
      <c r="AA15" s="41">
        <v>41622</v>
      </c>
      <c r="AB15" s="11">
        <v>14</v>
      </c>
      <c r="AC15" s="11">
        <v>12</v>
      </c>
      <c r="AD15" s="11">
        <v>2013</v>
      </c>
      <c r="AE15" s="13" t="s">
        <v>2389</v>
      </c>
      <c r="AF15" t="s">
        <v>7</v>
      </c>
      <c r="AG15" s="41">
        <v>41623</v>
      </c>
      <c r="AH15" s="11">
        <v>15</v>
      </c>
      <c r="AI15" s="11">
        <v>12</v>
      </c>
      <c r="AJ15" s="11">
        <v>2013</v>
      </c>
      <c r="AK15" s="13" t="s">
        <v>2404</v>
      </c>
      <c r="AL15" t="s">
        <v>7</v>
      </c>
      <c r="AM15" s="1" t="s">
        <v>41</v>
      </c>
      <c r="AN15" s="40" t="s">
        <v>8</v>
      </c>
      <c r="AO15" s="40" t="s">
        <v>1615</v>
      </c>
      <c r="AP15" s="1" t="s">
        <v>588</v>
      </c>
      <c r="AQ15" s="1" t="s">
        <v>588</v>
      </c>
      <c r="AR15" s="1" t="s">
        <v>588</v>
      </c>
      <c r="AS15" s="1" t="s">
        <v>588</v>
      </c>
      <c r="AT15" s="1" t="s">
        <v>588</v>
      </c>
      <c r="AU15" s="1" t="s">
        <v>588</v>
      </c>
      <c r="AV15" s="1" t="s">
        <v>588</v>
      </c>
      <c r="AW15" s="1" t="s">
        <v>588</v>
      </c>
      <c r="AX15" s="1" t="s">
        <v>588</v>
      </c>
      <c r="AY15" s="1" t="s">
        <v>588</v>
      </c>
      <c r="AZ15" s="1" t="s">
        <v>588</v>
      </c>
      <c r="BA15" s="1" t="s">
        <v>588</v>
      </c>
      <c r="BB15" s="1" t="s">
        <v>588</v>
      </c>
      <c r="BC15" s="1" t="s">
        <v>588</v>
      </c>
      <c r="BD15" s="1" t="s">
        <v>588</v>
      </c>
      <c r="BE15" s="1" t="s">
        <v>588</v>
      </c>
      <c r="BF15" s="1" t="s">
        <v>588</v>
      </c>
      <c r="BG15" s="1" t="s">
        <v>588</v>
      </c>
      <c r="BH15" s="1" t="s">
        <v>588</v>
      </c>
      <c r="BI15" s="1" t="s">
        <v>588</v>
      </c>
      <c r="BJ15" s="1" t="s">
        <v>588</v>
      </c>
      <c r="BK15" s="1" t="s">
        <v>588</v>
      </c>
      <c r="BL15" s="1" t="s">
        <v>588</v>
      </c>
      <c r="BM15" s="1" t="s">
        <v>588</v>
      </c>
      <c r="BN15" s="1" t="s">
        <v>588</v>
      </c>
      <c r="BO15" s="1" t="s">
        <v>588</v>
      </c>
      <c r="BP15" t="s">
        <v>588</v>
      </c>
      <c r="BQ15" s="1" t="s">
        <v>588</v>
      </c>
      <c r="BR15" s="1" t="s">
        <v>588</v>
      </c>
      <c r="BS15" t="s">
        <v>8</v>
      </c>
      <c r="BT15" s="40" t="s">
        <v>120</v>
      </c>
      <c r="BU15" s="1" t="s">
        <v>588</v>
      </c>
      <c r="BV15" s="1" t="s">
        <v>588</v>
      </c>
      <c r="BW15" s="1" t="s">
        <v>588</v>
      </c>
      <c r="BX15" s="1" t="s">
        <v>588</v>
      </c>
    </row>
    <row r="16" spans="1:76" x14ac:dyDescent="0.25">
      <c r="A16">
        <v>201314</v>
      </c>
      <c r="B16" s="40" t="s">
        <v>2257</v>
      </c>
      <c r="C16" t="s">
        <v>23</v>
      </c>
      <c r="D16" s="40" t="s">
        <v>24</v>
      </c>
      <c r="E16" s="40" t="s">
        <v>2258</v>
      </c>
      <c r="F16">
        <v>4</v>
      </c>
      <c r="G16" t="s">
        <v>2289</v>
      </c>
      <c r="H16" s="11" t="s">
        <v>2330</v>
      </c>
      <c r="I16" s="41">
        <v>41637</v>
      </c>
      <c r="J16" s="11">
        <v>29</v>
      </c>
      <c r="K16" s="11">
        <v>12</v>
      </c>
      <c r="L16" s="11">
        <v>2013</v>
      </c>
      <c r="M16" s="11" t="s">
        <v>2365</v>
      </c>
      <c r="N16" t="s">
        <v>7</v>
      </c>
      <c r="O16" s="40" t="s">
        <v>10</v>
      </c>
      <c r="P16" s="40" t="s">
        <v>588</v>
      </c>
      <c r="Q16" s="40" t="s">
        <v>588</v>
      </c>
      <c r="R16" s="40" t="s">
        <v>588</v>
      </c>
      <c r="S16" s="40" t="s">
        <v>588</v>
      </c>
      <c r="T16">
        <v>2</v>
      </c>
      <c r="U16">
        <v>2</v>
      </c>
      <c r="V16" s="1" t="s">
        <v>588</v>
      </c>
      <c r="W16" t="s">
        <v>588</v>
      </c>
      <c r="X16">
        <v>5</v>
      </c>
      <c r="Y16">
        <v>4</v>
      </c>
      <c r="Z16" t="s">
        <v>41</v>
      </c>
      <c r="AA16" s="41">
        <v>41640</v>
      </c>
      <c r="AB16" s="11">
        <v>1</v>
      </c>
      <c r="AC16" s="11">
        <v>1</v>
      </c>
      <c r="AD16" s="11">
        <v>2014</v>
      </c>
      <c r="AE16" s="13" t="s">
        <v>2390</v>
      </c>
      <c r="AF16" t="s">
        <v>12</v>
      </c>
      <c r="AG16" s="41">
        <v>41643</v>
      </c>
      <c r="AH16" s="11">
        <v>4</v>
      </c>
      <c r="AI16" s="11">
        <v>1</v>
      </c>
      <c r="AJ16" s="11">
        <v>2014</v>
      </c>
      <c r="AK16" s="13" t="s">
        <v>2405</v>
      </c>
      <c r="AL16" t="s">
        <v>12</v>
      </c>
      <c r="AM16" s="40" t="s">
        <v>11</v>
      </c>
      <c r="AN16" s="40" t="s">
        <v>8</v>
      </c>
      <c r="AO16" s="1" t="s">
        <v>41</v>
      </c>
      <c r="AP16" s="1" t="s">
        <v>588</v>
      </c>
      <c r="AQ16" s="1" t="s">
        <v>588</v>
      </c>
      <c r="AR16" s="1" t="s">
        <v>588</v>
      </c>
      <c r="AS16" s="1" t="s">
        <v>588</v>
      </c>
      <c r="AT16" s="1" t="s">
        <v>588</v>
      </c>
      <c r="AU16" s="1" t="s">
        <v>588</v>
      </c>
      <c r="AV16" s="1" t="s">
        <v>588</v>
      </c>
      <c r="AW16" s="1" t="s">
        <v>588</v>
      </c>
      <c r="AX16" s="1" t="s">
        <v>588</v>
      </c>
      <c r="AY16" s="1" t="s">
        <v>588</v>
      </c>
      <c r="AZ16" s="1" t="s">
        <v>588</v>
      </c>
      <c r="BA16" s="1" t="s">
        <v>588</v>
      </c>
      <c r="BB16" s="1" t="s">
        <v>588</v>
      </c>
      <c r="BC16" s="1" t="s">
        <v>588</v>
      </c>
      <c r="BD16" s="1" t="s">
        <v>588</v>
      </c>
      <c r="BE16" s="1" t="s">
        <v>588</v>
      </c>
      <c r="BF16" s="1" t="s">
        <v>588</v>
      </c>
      <c r="BG16" s="1" t="s">
        <v>588</v>
      </c>
      <c r="BH16" s="1" t="s">
        <v>588</v>
      </c>
      <c r="BI16" s="1" t="s">
        <v>588</v>
      </c>
      <c r="BJ16" s="1" t="s">
        <v>588</v>
      </c>
      <c r="BK16" s="1" t="s">
        <v>588</v>
      </c>
      <c r="BL16" s="1" t="s">
        <v>588</v>
      </c>
      <c r="BM16" s="1" t="s">
        <v>588</v>
      </c>
      <c r="BN16" s="1" t="s">
        <v>588</v>
      </c>
      <c r="BO16" s="1" t="s">
        <v>588</v>
      </c>
      <c r="BP16" t="s">
        <v>588</v>
      </c>
      <c r="BQ16" s="1" t="s">
        <v>588</v>
      </c>
      <c r="BR16" s="1" t="s">
        <v>588</v>
      </c>
      <c r="BS16" t="s">
        <v>8</v>
      </c>
      <c r="BT16" s="40" t="s">
        <v>120</v>
      </c>
      <c r="BU16" s="1" t="s">
        <v>588</v>
      </c>
      <c r="BV16" s="1" t="s">
        <v>588</v>
      </c>
      <c r="BW16" s="1" t="s">
        <v>588</v>
      </c>
      <c r="BX16" s="1" t="s">
        <v>588</v>
      </c>
    </row>
    <row r="17" spans="1:76" x14ac:dyDescent="0.25">
      <c r="A17">
        <v>201314</v>
      </c>
      <c r="B17" s="40" t="s">
        <v>2257</v>
      </c>
      <c r="C17" t="s">
        <v>23</v>
      </c>
      <c r="D17" s="40" t="s">
        <v>24</v>
      </c>
      <c r="E17" s="40" t="s">
        <v>2258</v>
      </c>
      <c r="F17">
        <v>5</v>
      </c>
      <c r="G17" t="s">
        <v>2290</v>
      </c>
      <c r="H17" s="11" t="s">
        <v>2331</v>
      </c>
      <c r="I17" s="41">
        <v>41656</v>
      </c>
      <c r="J17" s="11">
        <v>17</v>
      </c>
      <c r="K17" s="11">
        <v>1</v>
      </c>
      <c r="L17" s="11">
        <v>2014</v>
      </c>
      <c r="M17" s="11" t="s">
        <v>2360</v>
      </c>
      <c r="N17" t="s">
        <v>12</v>
      </c>
      <c r="O17" s="40" t="s">
        <v>19</v>
      </c>
      <c r="P17" s="40" t="s">
        <v>588</v>
      </c>
      <c r="Q17" s="40" t="s">
        <v>588</v>
      </c>
      <c r="R17" s="40" t="s">
        <v>588</v>
      </c>
      <c r="S17" s="40" t="s">
        <v>588</v>
      </c>
      <c r="T17">
        <v>3</v>
      </c>
      <c r="U17">
        <v>3</v>
      </c>
      <c r="V17" s="1" t="s">
        <v>588</v>
      </c>
      <c r="W17" t="s">
        <v>588</v>
      </c>
      <c r="X17">
        <v>5</v>
      </c>
      <c r="Y17">
        <v>4</v>
      </c>
      <c r="Z17" t="s">
        <v>41</v>
      </c>
      <c r="AA17" s="41">
        <v>41670</v>
      </c>
      <c r="AB17" s="11">
        <v>31</v>
      </c>
      <c r="AC17" s="11">
        <v>1</v>
      </c>
      <c r="AD17" s="11">
        <v>2014</v>
      </c>
      <c r="AE17" s="13" t="s">
        <v>2380</v>
      </c>
      <c r="AF17" t="s">
        <v>12</v>
      </c>
      <c r="AG17" s="41">
        <v>41673</v>
      </c>
      <c r="AH17" s="11">
        <v>3</v>
      </c>
      <c r="AI17" s="11">
        <v>2</v>
      </c>
      <c r="AJ17" s="11">
        <v>2014</v>
      </c>
      <c r="AK17" s="13" t="s">
        <v>2381</v>
      </c>
      <c r="AL17" t="s">
        <v>21</v>
      </c>
      <c r="AM17" s="1" t="s">
        <v>41</v>
      </c>
      <c r="AN17" s="40" t="s">
        <v>8</v>
      </c>
      <c r="AO17" s="40" t="s">
        <v>32</v>
      </c>
      <c r="AP17" s="1" t="s">
        <v>588</v>
      </c>
      <c r="AQ17" s="1" t="s">
        <v>588</v>
      </c>
      <c r="AR17" s="1" t="s">
        <v>588</v>
      </c>
      <c r="AS17" s="1" t="s">
        <v>588</v>
      </c>
      <c r="AT17" s="1" t="s">
        <v>588</v>
      </c>
      <c r="AU17" s="1" t="s">
        <v>588</v>
      </c>
      <c r="AV17" s="1" t="s">
        <v>588</v>
      </c>
      <c r="AW17" s="1" t="s">
        <v>588</v>
      </c>
      <c r="AX17" s="1" t="s">
        <v>588</v>
      </c>
      <c r="AY17" s="1" t="s">
        <v>588</v>
      </c>
      <c r="AZ17" s="1" t="s">
        <v>588</v>
      </c>
      <c r="BA17" s="1" t="s">
        <v>588</v>
      </c>
      <c r="BB17" s="1" t="s">
        <v>588</v>
      </c>
      <c r="BC17" s="1" t="s">
        <v>588</v>
      </c>
      <c r="BD17" s="1" t="s">
        <v>588</v>
      </c>
      <c r="BE17" s="1" t="s">
        <v>588</v>
      </c>
      <c r="BF17" s="1" t="s">
        <v>588</v>
      </c>
      <c r="BG17" s="1" t="s">
        <v>588</v>
      </c>
      <c r="BH17" s="1" t="s">
        <v>588</v>
      </c>
      <c r="BI17" s="1" t="s">
        <v>588</v>
      </c>
      <c r="BJ17" s="1" t="s">
        <v>588</v>
      </c>
      <c r="BK17" s="1" t="s">
        <v>588</v>
      </c>
      <c r="BL17" s="1" t="s">
        <v>588</v>
      </c>
      <c r="BM17" s="1" t="s">
        <v>588</v>
      </c>
      <c r="BN17" s="1" t="s">
        <v>588</v>
      </c>
      <c r="BO17" s="1" t="s">
        <v>588</v>
      </c>
      <c r="BP17" t="s">
        <v>588</v>
      </c>
      <c r="BQ17" s="1" t="s">
        <v>588</v>
      </c>
      <c r="BR17" s="1" t="s">
        <v>588</v>
      </c>
      <c r="BS17" t="s">
        <v>8</v>
      </c>
      <c r="BT17" s="40" t="s">
        <v>120</v>
      </c>
      <c r="BU17" s="1" t="s">
        <v>588</v>
      </c>
      <c r="BV17" s="1" t="s">
        <v>588</v>
      </c>
      <c r="BW17" s="1" t="s">
        <v>588</v>
      </c>
      <c r="BX17" s="1" t="s">
        <v>588</v>
      </c>
    </row>
    <row r="18" spans="1:76" x14ac:dyDescent="0.25">
      <c r="A18">
        <v>201314</v>
      </c>
      <c r="B18" s="40" t="s">
        <v>2257</v>
      </c>
      <c r="C18" t="s">
        <v>23</v>
      </c>
      <c r="D18" s="40" t="s">
        <v>24</v>
      </c>
      <c r="E18" s="40" t="s">
        <v>2258</v>
      </c>
      <c r="F18">
        <v>6</v>
      </c>
      <c r="G18" t="s">
        <v>2291</v>
      </c>
      <c r="H18" s="11" t="s">
        <v>2332</v>
      </c>
      <c r="I18" s="41">
        <v>41698</v>
      </c>
      <c r="J18" s="11">
        <v>28</v>
      </c>
      <c r="K18" s="11">
        <v>2</v>
      </c>
      <c r="L18" s="11">
        <v>2014</v>
      </c>
      <c r="M18" s="11" t="s">
        <v>2366</v>
      </c>
      <c r="N18" t="s">
        <v>21</v>
      </c>
      <c r="O18" s="40" t="s">
        <v>19</v>
      </c>
      <c r="P18" s="40" t="s">
        <v>588</v>
      </c>
      <c r="Q18" s="40" t="s">
        <v>588</v>
      </c>
      <c r="R18" s="40" t="s">
        <v>588</v>
      </c>
      <c r="S18" s="40" t="s">
        <v>588</v>
      </c>
      <c r="T18">
        <v>2</v>
      </c>
      <c r="U18">
        <v>2</v>
      </c>
      <c r="V18" s="1" t="s">
        <v>588</v>
      </c>
      <c r="W18" t="s">
        <v>588</v>
      </c>
      <c r="X18">
        <v>2</v>
      </c>
      <c r="Y18">
        <v>2</v>
      </c>
      <c r="Z18" t="s">
        <v>8</v>
      </c>
      <c r="AA18" s="41">
        <v>41707</v>
      </c>
      <c r="AB18" s="11">
        <v>9</v>
      </c>
      <c r="AC18" s="11">
        <v>3</v>
      </c>
      <c r="AD18" s="11">
        <v>2014</v>
      </c>
      <c r="AE18" s="13" t="s">
        <v>2391</v>
      </c>
      <c r="AF18" t="s">
        <v>22</v>
      </c>
      <c r="AG18" s="1" t="s">
        <v>588</v>
      </c>
      <c r="AH18" s="11" t="s">
        <v>588</v>
      </c>
      <c r="AI18" s="11" t="s">
        <v>588</v>
      </c>
      <c r="AJ18" s="11" t="s">
        <v>588</v>
      </c>
      <c r="AK18" s="13" t="s">
        <v>588</v>
      </c>
      <c r="AL18" t="s">
        <v>588</v>
      </c>
      <c r="AM18" s="1" t="s">
        <v>588</v>
      </c>
      <c r="AN18" s="40" t="s">
        <v>588</v>
      </c>
      <c r="AO18" s="40" t="s">
        <v>588</v>
      </c>
      <c r="AP18" s="41">
        <v>41711</v>
      </c>
      <c r="AQ18" s="1" t="s">
        <v>22</v>
      </c>
      <c r="AR18" s="40" t="s">
        <v>195</v>
      </c>
      <c r="AS18">
        <v>1</v>
      </c>
      <c r="AT18">
        <v>1</v>
      </c>
      <c r="AU18" s="41">
        <v>41735</v>
      </c>
      <c r="AV18" s="1">
        <v>41743</v>
      </c>
      <c r="AW18" s="1" t="s">
        <v>72</v>
      </c>
      <c r="AX18" s="1" t="s">
        <v>41</v>
      </c>
      <c r="AY18" s="1" t="s">
        <v>41</v>
      </c>
      <c r="AZ18" s="1" t="s">
        <v>20</v>
      </c>
      <c r="BA18" s="1" t="s">
        <v>588</v>
      </c>
      <c r="BB18" s="1" t="s">
        <v>588</v>
      </c>
      <c r="BC18" s="1" t="s">
        <v>588</v>
      </c>
      <c r="BD18" s="1" t="s">
        <v>588</v>
      </c>
      <c r="BE18" s="1" t="s">
        <v>588</v>
      </c>
      <c r="BF18" s="1" t="s">
        <v>588</v>
      </c>
      <c r="BG18" s="1" t="s">
        <v>588</v>
      </c>
      <c r="BH18" s="1" t="s">
        <v>588</v>
      </c>
      <c r="BI18" s="1" t="s">
        <v>588</v>
      </c>
      <c r="BJ18" s="1" t="s">
        <v>588</v>
      </c>
      <c r="BK18" s="1" t="s">
        <v>588</v>
      </c>
      <c r="BL18" s="1" t="s">
        <v>588</v>
      </c>
      <c r="BM18">
        <v>6</v>
      </c>
      <c r="BN18">
        <v>6</v>
      </c>
      <c r="BO18" s="1" t="s">
        <v>41</v>
      </c>
      <c r="BP18" t="s">
        <v>588</v>
      </c>
      <c r="BQ18" s="1" t="s">
        <v>588</v>
      </c>
      <c r="BR18" s="1" t="s">
        <v>588</v>
      </c>
      <c r="BS18" t="s">
        <v>8</v>
      </c>
      <c r="BT18" s="40" t="s">
        <v>120</v>
      </c>
      <c r="BU18" t="s">
        <v>8</v>
      </c>
      <c r="BV18" s="40" t="s">
        <v>2259</v>
      </c>
      <c r="BW18" s="1" t="s">
        <v>2260</v>
      </c>
      <c r="BX18" s="1" t="s">
        <v>588</v>
      </c>
    </row>
    <row r="19" spans="1:76" x14ac:dyDescent="0.25">
      <c r="A19">
        <v>201314</v>
      </c>
      <c r="B19" s="40" t="s">
        <v>125</v>
      </c>
      <c r="C19" t="s">
        <v>1906</v>
      </c>
      <c r="D19" s="40" t="s">
        <v>1844</v>
      </c>
      <c r="E19" s="40" t="s">
        <v>1844</v>
      </c>
      <c r="F19">
        <v>1</v>
      </c>
      <c r="G19" t="s">
        <v>2292</v>
      </c>
      <c r="H19" s="11" t="s">
        <v>2724</v>
      </c>
      <c r="I19" s="41">
        <v>41599</v>
      </c>
      <c r="J19" s="11">
        <v>21</v>
      </c>
      <c r="K19" s="11">
        <v>11</v>
      </c>
      <c r="L19" s="11">
        <v>2013</v>
      </c>
      <c r="M19" s="11" t="s">
        <v>2367</v>
      </c>
      <c r="N19" t="s">
        <v>17</v>
      </c>
      <c r="O19" s="40" t="s">
        <v>10</v>
      </c>
      <c r="P19" s="40" t="s">
        <v>588</v>
      </c>
      <c r="Q19" s="40" t="s">
        <v>588</v>
      </c>
      <c r="R19" s="40" t="s">
        <v>588</v>
      </c>
      <c r="S19" s="40" t="s">
        <v>588</v>
      </c>
      <c r="T19">
        <v>3</v>
      </c>
      <c r="U19">
        <v>3</v>
      </c>
      <c r="V19" s="1" t="s">
        <v>588</v>
      </c>
      <c r="W19" t="s">
        <v>588</v>
      </c>
      <c r="X19">
        <v>11</v>
      </c>
      <c r="Y19">
        <v>9</v>
      </c>
      <c r="Z19" t="s">
        <v>8</v>
      </c>
      <c r="AA19" s="41">
        <v>41625</v>
      </c>
      <c r="AB19" s="11">
        <v>17</v>
      </c>
      <c r="AC19" s="11">
        <v>12</v>
      </c>
      <c r="AD19" s="11">
        <v>2013</v>
      </c>
      <c r="AE19" s="13" t="s">
        <v>2392</v>
      </c>
      <c r="AF19" t="s">
        <v>7</v>
      </c>
      <c r="AG19" s="1" t="s">
        <v>588</v>
      </c>
      <c r="AH19" s="11" t="s">
        <v>588</v>
      </c>
      <c r="AI19" s="11" t="s">
        <v>588</v>
      </c>
      <c r="AJ19" s="11" t="s">
        <v>588</v>
      </c>
      <c r="AK19" s="13" t="s">
        <v>588</v>
      </c>
      <c r="AL19" t="s">
        <v>588</v>
      </c>
      <c r="AM19" s="1" t="s">
        <v>588</v>
      </c>
      <c r="AN19" s="40" t="s">
        <v>588</v>
      </c>
      <c r="AO19" s="1" t="s">
        <v>588</v>
      </c>
      <c r="AP19" s="41">
        <v>41630</v>
      </c>
      <c r="AQ19" s="1" t="s">
        <v>7</v>
      </c>
      <c r="AR19" s="40" t="s">
        <v>195</v>
      </c>
      <c r="AS19">
        <v>3</v>
      </c>
      <c r="AT19">
        <v>3</v>
      </c>
      <c r="AU19" s="41">
        <v>41630</v>
      </c>
      <c r="AV19" s="41">
        <v>41631</v>
      </c>
      <c r="AW19" s="1" t="s">
        <v>7</v>
      </c>
      <c r="AX19" s="1" t="s">
        <v>41</v>
      </c>
      <c r="AY19" s="1" t="s">
        <v>41</v>
      </c>
      <c r="AZ19" s="1" t="s">
        <v>20</v>
      </c>
      <c r="BA19" s="41">
        <v>41639</v>
      </c>
      <c r="BB19" s="41">
        <v>41644</v>
      </c>
      <c r="BC19" s="1" t="s">
        <v>12</v>
      </c>
      <c r="BD19" s="1" t="s">
        <v>41</v>
      </c>
      <c r="BE19" s="1" t="s">
        <v>41</v>
      </c>
      <c r="BF19" s="1" t="s">
        <v>20</v>
      </c>
      <c r="BG19" s="41">
        <v>41653</v>
      </c>
      <c r="BH19" s="41">
        <v>41657</v>
      </c>
      <c r="BI19" s="1" t="s">
        <v>12</v>
      </c>
      <c r="BJ19" s="1" t="s">
        <v>41</v>
      </c>
      <c r="BK19" s="1" t="s">
        <v>8</v>
      </c>
      <c r="BL19" s="40" t="s">
        <v>2261</v>
      </c>
      <c r="BM19">
        <v>10</v>
      </c>
      <c r="BN19">
        <v>10</v>
      </c>
      <c r="BO19" s="1" t="s">
        <v>41</v>
      </c>
      <c r="BP19" t="s">
        <v>588</v>
      </c>
      <c r="BQ19" s="1" t="s">
        <v>588</v>
      </c>
      <c r="BR19" s="1" t="s">
        <v>588</v>
      </c>
      <c r="BS19" t="s">
        <v>8</v>
      </c>
      <c r="BT19" s="40" t="s">
        <v>120</v>
      </c>
      <c r="BU19" t="s">
        <v>8</v>
      </c>
      <c r="BV19" s="40" t="s">
        <v>136</v>
      </c>
      <c r="BW19" s="1" t="s">
        <v>588</v>
      </c>
      <c r="BX19" s="1" t="s">
        <v>588</v>
      </c>
    </row>
    <row r="20" spans="1:76" x14ac:dyDescent="0.25">
      <c r="A20">
        <v>201314</v>
      </c>
      <c r="B20" s="40" t="s">
        <v>561</v>
      </c>
      <c r="C20" t="s">
        <v>561</v>
      </c>
      <c r="D20" s="40" t="s">
        <v>404</v>
      </c>
      <c r="E20" s="40" t="s">
        <v>1844</v>
      </c>
      <c r="F20">
        <v>1</v>
      </c>
      <c r="G20" t="s">
        <v>2293</v>
      </c>
      <c r="H20" s="11" t="s">
        <v>2293</v>
      </c>
      <c r="I20" s="41">
        <v>41634</v>
      </c>
      <c r="J20" s="11">
        <v>26</v>
      </c>
      <c r="K20" s="11">
        <v>12</v>
      </c>
      <c r="L20" s="11">
        <v>2013</v>
      </c>
      <c r="M20" s="11" t="s">
        <v>2368</v>
      </c>
      <c r="N20" t="s">
        <v>7</v>
      </c>
      <c r="O20" s="40" t="s">
        <v>51</v>
      </c>
      <c r="P20" s="40">
        <v>-38.673949999999998</v>
      </c>
      <c r="Q20" s="40">
        <v>145.61642499999999</v>
      </c>
      <c r="R20" s="40" t="s">
        <v>588</v>
      </c>
      <c r="S20" s="40" t="s">
        <v>588</v>
      </c>
      <c r="T20">
        <v>3</v>
      </c>
      <c r="U20">
        <v>3</v>
      </c>
      <c r="V20" s="1" t="s">
        <v>588</v>
      </c>
      <c r="W20" t="s">
        <v>588</v>
      </c>
      <c r="X20">
        <v>2</v>
      </c>
      <c r="Y20">
        <v>2</v>
      </c>
      <c r="Z20" t="s">
        <v>8</v>
      </c>
      <c r="AA20" s="41">
        <v>41638</v>
      </c>
      <c r="AB20" s="11">
        <v>30</v>
      </c>
      <c r="AC20" s="11">
        <v>12</v>
      </c>
      <c r="AD20" s="11">
        <v>2013</v>
      </c>
      <c r="AE20" s="13" t="s">
        <v>2393</v>
      </c>
      <c r="AF20" t="s">
        <v>7</v>
      </c>
      <c r="AG20" s="1" t="s">
        <v>588</v>
      </c>
      <c r="AH20" s="11" t="s">
        <v>588</v>
      </c>
      <c r="AI20" s="11" t="s">
        <v>588</v>
      </c>
      <c r="AJ20" s="11" t="s">
        <v>588</v>
      </c>
      <c r="AK20" s="13" t="s">
        <v>588</v>
      </c>
      <c r="AL20" t="s">
        <v>588</v>
      </c>
      <c r="AM20" s="1" t="s">
        <v>588</v>
      </c>
      <c r="AN20" s="40" t="s">
        <v>588</v>
      </c>
      <c r="AO20" s="1" t="s">
        <v>588</v>
      </c>
      <c r="AP20" s="41">
        <v>41659</v>
      </c>
      <c r="AQ20" s="1" t="s">
        <v>12</v>
      </c>
      <c r="AR20" s="40" t="s">
        <v>195</v>
      </c>
      <c r="AS20">
        <v>2</v>
      </c>
      <c r="AT20">
        <v>2</v>
      </c>
      <c r="AU20" s="41">
        <v>41667</v>
      </c>
      <c r="AV20" s="41">
        <v>41686</v>
      </c>
      <c r="AW20" s="1" t="s">
        <v>21</v>
      </c>
      <c r="AX20" s="1" t="s">
        <v>41</v>
      </c>
      <c r="AY20" s="1" t="s">
        <v>41</v>
      </c>
      <c r="AZ20" s="1" t="s">
        <v>20</v>
      </c>
      <c r="BA20" s="1" t="s">
        <v>588</v>
      </c>
      <c r="BB20" s="1" t="s">
        <v>588</v>
      </c>
      <c r="BC20" s="1" t="s">
        <v>588</v>
      </c>
      <c r="BD20" s="1" t="s">
        <v>588</v>
      </c>
      <c r="BE20" s="1" t="s">
        <v>588</v>
      </c>
      <c r="BF20" s="1" t="s">
        <v>588</v>
      </c>
      <c r="BG20" s="1" t="s">
        <v>588</v>
      </c>
      <c r="BH20" s="1" t="s">
        <v>588</v>
      </c>
      <c r="BI20" s="1" t="s">
        <v>588</v>
      </c>
      <c r="BJ20" s="1" t="s">
        <v>588</v>
      </c>
      <c r="BK20" s="1" t="s">
        <v>588</v>
      </c>
      <c r="BL20" s="1" t="s">
        <v>588</v>
      </c>
      <c r="BM20">
        <v>3</v>
      </c>
      <c r="BN20">
        <v>3</v>
      </c>
      <c r="BO20" s="1" t="s">
        <v>41</v>
      </c>
      <c r="BP20" t="s">
        <v>588</v>
      </c>
      <c r="BQ20" s="1" t="s">
        <v>588</v>
      </c>
      <c r="BR20" s="1" t="s">
        <v>588</v>
      </c>
      <c r="BS20" t="s">
        <v>8</v>
      </c>
      <c r="BT20" s="40" t="s">
        <v>120</v>
      </c>
      <c r="BU20" t="s">
        <v>41</v>
      </c>
      <c r="BV20" s="40" t="s">
        <v>42</v>
      </c>
      <c r="BW20" s="1" t="s">
        <v>2262</v>
      </c>
      <c r="BX20" s="1" t="s">
        <v>588</v>
      </c>
    </row>
    <row r="21" spans="1:76" x14ac:dyDescent="0.25">
      <c r="A21">
        <v>201314</v>
      </c>
      <c r="B21" s="40" t="s">
        <v>308</v>
      </c>
      <c r="C21" t="s">
        <v>308</v>
      </c>
      <c r="D21" s="40" t="s">
        <v>2263</v>
      </c>
      <c r="E21" s="40" t="s">
        <v>1844</v>
      </c>
      <c r="F21">
        <v>1</v>
      </c>
      <c r="G21" t="s">
        <v>2294</v>
      </c>
      <c r="H21" s="11" t="s">
        <v>2294</v>
      </c>
      <c r="I21" s="41">
        <v>41628</v>
      </c>
      <c r="J21" s="11">
        <v>20</v>
      </c>
      <c r="K21" s="11">
        <v>12</v>
      </c>
      <c r="L21" s="11">
        <v>2013</v>
      </c>
      <c r="M21" s="11" t="s">
        <v>2369</v>
      </c>
      <c r="N21" t="s">
        <v>7</v>
      </c>
      <c r="O21" s="40" t="s">
        <v>19</v>
      </c>
      <c r="P21" s="40" t="s">
        <v>588</v>
      </c>
      <c r="Q21" s="40" t="s">
        <v>588</v>
      </c>
      <c r="R21" s="40" t="s">
        <v>588</v>
      </c>
      <c r="S21" s="40" t="s">
        <v>588</v>
      </c>
      <c r="T21">
        <v>1</v>
      </c>
      <c r="U21">
        <v>3</v>
      </c>
      <c r="V21" s="1" t="s">
        <v>588</v>
      </c>
      <c r="W21" t="s">
        <v>588</v>
      </c>
      <c r="X21">
        <v>2</v>
      </c>
      <c r="Y21">
        <v>2</v>
      </c>
      <c r="Z21" t="s">
        <v>41</v>
      </c>
      <c r="AA21" s="41">
        <v>41628</v>
      </c>
      <c r="AB21" s="11">
        <v>20</v>
      </c>
      <c r="AC21" s="11">
        <v>12</v>
      </c>
      <c r="AD21" s="11">
        <v>2013</v>
      </c>
      <c r="AE21" s="13" t="s">
        <v>2369</v>
      </c>
      <c r="AF21" t="s">
        <v>7</v>
      </c>
      <c r="AG21" s="41">
        <v>41634</v>
      </c>
      <c r="AH21" s="11">
        <v>26</v>
      </c>
      <c r="AI21" s="11">
        <v>12</v>
      </c>
      <c r="AJ21" s="11">
        <v>2013</v>
      </c>
      <c r="AK21" s="13" t="s">
        <v>2368</v>
      </c>
      <c r="AL21" t="s">
        <v>7</v>
      </c>
      <c r="AM21" s="1" t="s">
        <v>41</v>
      </c>
      <c r="AN21" s="40" t="s">
        <v>8</v>
      </c>
      <c r="AO21" s="40" t="s">
        <v>11</v>
      </c>
      <c r="AP21" s="40" t="s">
        <v>588</v>
      </c>
      <c r="AQ21" s="1" t="s">
        <v>588</v>
      </c>
      <c r="AR21" s="40" t="s">
        <v>588</v>
      </c>
      <c r="AS21" s="40" t="s">
        <v>588</v>
      </c>
      <c r="AT21" s="40" t="s">
        <v>588</v>
      </c>
      <c r="AU21" s="40" t="s">
        <v>588</v>
      </c>
      <c r="AV21" s="40" t="s">
        <v>588</v>
      </c>
      <c r="AW21" s="1" t="s">
        <v>588</v>
      </c>
      <c r="AX21" s="1" t="s">
        <v>588</v>
      </c>
      <c r="AY21" s="1" t="s">
        <v>588</v>
      </c>
      <c r="AZ21" s="1" t="s">
        <v>588</v>
      </c>
      <c r="BA21" s="1" t="s">
        <v>588</v>
      </c>
      <c r="BB21" s="1" t="s">
        <v>588</v>
      </c>
      <c r="BC21" s="1" t="s">
        <v>588</v>
      </c>
      <c r="BD21" s="1" t="s">
        <v>588</v>
      </c>
      <c r="BE21" s="1" t="s">
        <v>588</v>
      </c>
      <c r="BF21" s="1" t="s">
        <v>588</v>
      </c>
      <c r="BG21" s="1" t="s">
        <v>588</v>
      </c>
      <c r="BH21" s="1" t="s">
        <v>588</v>
      </c>
      <c r="BI21" s="1" t="s">
        <v>588</v>
      </c>
      <c r="BJ21" s="1" t="s">
        <v>588</v>
      </c>
      <c r="BK21" s="1" t="s">
        <v>588</v>
      </c>
      <c r="BL21" s="1" t="s">
        <v>588</v>
      </c>
      <c r="BM21" s="1" t="s">
        <v>588</v>
      </c>
      <c r="BN21" s="1" t="s">
        <v>588</v>
      </c>
      <c r="BO21" s="1" t="s">
        <v>588</v>
      </c>
      <c r="BP21" t="s">
        <v>588</v>
      </c>
      <c r="BQ21" s="1" t="s">
        <v>588</v>
      </c>
      <c r="BR21" s="1" t="s">
        <v>588</v>
      </c>
      <c r="BS21" t="s">
        <v>8</v>
      </c>
      <c r="BT21" s="40" t="s">
        <v>120</v>
      </c>
      <c r="BU21" s="1" t="s">
        <v>588</v>
      </c>
      <c r="BV21" s="40" t="s">
        <v>588</v>
      </c>
      <c r="BW21" s="1" t="s">
        <v>588</v>
      </c>
      <c r="BX21" s="1" t="s">
        <v>588</v>
      </c>
    </row>
    <row r="22" spans="1:76" x14ac:dyDescent="0.25">
      <c r="A22">
        <v>201314</v>
      </c>
      <c r="B22" s="40" t="s">
        <v>2264</v>
      </c>
      <c r="C22" t="s">
        <v>432</v>
      </c>
      <c r="D22" s="40" t="s">
        <v>1844</v>
      </c>
      <c r="E22" s="40" t="s">
        <v>1844</v>
      </c>
      <c r="F22">
        <v>1</v>
      </c>
      <c r="G22" t="s">
        <v>2295</v>
      </c>
      <c r="H22" s="11" t="s">
        <v>2333</v>
      </c>
      <c r="I22" s="41">
        <v>41616</v>
      </c>
      <c r="J22" s="11">
        <v>8</v>
      </c>
      <c r="K22" s="11">
        <v>12</v>
      </c>
      <c r="L22" s="11">
        <v>2013</v>
      </c>
      <c r="M22" s="11" t="s">
        <v>2370</v>
      </c>
      <c r="N22" t="s">
        <v>7</v>
      </c>
      <c r="O22" s="40" t="s">
        <v>19</v>
      </c>
      <c r="P22" s="40" t="s">
        <v>588</v>
      </c>
      <c r="Q22" s="40" t="s">
        <v>588</v>
      </c>
      <c r="R22" s="40" t="s">
        <v>588</v>
      </c>
      <c r="S22" s="40" t="s">
        <v>588</v>
      </c>
      <c r="T22">
        <v>2</v>
      </c>
      <c r="U22">
        <v>3</v>
      </c>
      <c r="V22" s="1" t="s">
        <v>588</v>
      </c>
      <c r="W22" t="s">
        <v>588</v>
      </c>
      <c r="X22">
        <v>2</v>
      </c>
      <c r="Y22">
        <v>2</v>
      </c>
      <c r="Z22" t="s">
        <v>41</v>
      </c>
      <c r="AA22" s="41">
        <v>41616</v>
      </c>
      <c r="AB22" s="11">
        <v>8</v>
      </c>
      <c r="AC22" s="11">
        <v>12</v>
      </c>
      <c r="AD22" s="11">
        <v>2013</v>
      </c>
      <c r="AE22" s="13" t="s">
        <v>2370</v>
      </c>
      <c r="AF22" t="s">
        <v>7</v>
      </c>
      <c r="AG22" s="41">
        <v>41620</v>
      </c>
      <c r="AH22" s="11">
        <v>12</v>
      </c>
      <c r="AI22" s="11">
        <v>12</v>
      </c>
      <c r="AJ22" s="11">
        <v>2013</v>
      </c>
      <c r="AK22" s="13" t="s">
        <v>2406</v>
      </c>
      <c r="AL22" t="s">
        <v>7</v>
      </c>
      <c r="AM22" s="1" t="s">
        <v>41</v>
      </c>
      <c r="AN22" s="1" t="s">
        <v>41</v>
      </c>
      <c r="AO22" s="1" t="s">
        <v>20</v>
      </c>
      <c r="AP22" s="1" t="s">
        <v>588</v>
      </c>
      <c r="AQ22" s="1" t="s">
        <v>588</v>
      </c>
      <c r="AR22" s="40" t="s">
        <v>588</v>
      </c>
      <c r="AS22" s="1" t="s">
        <v>588</v>
      </c>
      <c r="AT22" s="1" t="s">
        <v>588</v>
      </c>
      <c r="AU22" s="1" t="s">
        <v>588</v>
      </c>
      <c r="AV22" s="1" t="s">
        <v>588</v>
      </c>
      <c r="AW22" s="1" t="s">
        <v>588</v>
      </c>
      <c r="AX22" s="1" t="s">
        <v>588</v>
      </c>
      <c r="AY22" s="1" t="s">
        <v>588</v>
      </c>
      <c r="AZ22" s="1" t="s">
        <v>588</v>
      </c>
      <c r="BA22" s="1" t="s">
        <v>588</v>
      </c>
      <c r="BB22" s="1" t="s">
        <v>588</v>
      </c>
      <c r="BC22" s="1" t="s">
        <v>588</v>
      </c>
      <c r="BD22" s="1" t="s">
        <v>588</v>
      </c>
      <c r="BE22" s="1" t="s">
        <v>588</v>
      </c>
      <c r="BF22" s="1" t="s">
        <v>588</v>
      </c>
      <c r="BG22" s="1" t="s">
        <v>588</v>
      </c>
      <c r="BH22" s="1" t="s">
        <v>588</v>
      </c>
      <c r="BI22" s="1" t="s">
        <v>588</v>
      </c>
      <c r="BJ22" s="1" t="s">
        <v>588</v>
      </c>
      <c r="BK22" s="1" t="s">
        <v>588</v>
      </c>
      <c r="BL22" s="1" t="s">
        <v>588</v>
      </c>
      <c r="BM22" s="1" t="s">
        <v>588</v>
      </c>
      <c r="BN22" s="1" t="s">
        <v>588</v>
      </c>
      <c r="BO22" s="1" t="s">
        <v>588</v>
      </c>
      <c r="BP22" t="s">
        <v>588</v>
      </c>
      <c r="BQ22" s="1" t="s">
        <v>588</v>
      </c>
      <c r="BR22" s="1" t="s">
        <v>588</v>
      </c>
      <c r="BS22" t="s">
        <v>8</v>
      </c>
      <c r="BT22" s="40" t="s">
        <v>123</v>
      </c>
      <c r="BU22" s="1" t="s">
        <v>588</v>
      </c>
      <c r="BV22" s="1" t="s">
        <v>588</v>
      </c>
      <c r="BW22" s="1" t="s">
        <v>588</v>
      </c>
      <c r="BX22" s="1" t="s">
        <v>588</v>
      </c>
    </row>
    <row r="23" spans="1:76" x14ac:dyDescent="0.25">
      <c r="A23">
        <v>201314</v>
      </c>
      <c r="B23" s="40" t="s">
        <v>2264</v>
      </c>
      <c r="C23" t="s">
        <v>432</v>
      </c>
      <c r="D23" s="40" t="s">
        <v>1844</v>
      </c>
      <c r="E23" s="40" t="s">
        <v>1844</v>
      </c>
      <c r="F23">
        <v>2</v>
      </c>
      <c r="G23" t="s">
        <v>2296</v>
      </c>
      <c r="H23" s="11" t="s">
        <v>2334</v>
      </c>
      <c r="I23" s="41">
        <v>41665</v>
      </c>
      <c r="J23" s="11">
        <v>26</v>
      </c>
      <c r="K23" s="11">
        <v>1</v>
      </c>
      <c r="L23" s="11">
        <v>2014</v>
      </c>
      <c r="M23" s="11" t="s">
        <v>2371</v>
      </c>
      <c r="N23" t="s">
        <v>12</v>
      </c>
      <c r="O23" s="40" t="s">
        <v>36</v>
      </c>
      <c r="P23" s="40" t="s">
        <v>588</v>
      </c>
      <c r="Q23" s="40" t="s">
        <v>588</v>
      </c>
      <c r="R23" s="40" t="s">
        <v>588</v>
      </c>
      <c r="S23" s="40" t="s">
        <v>588</v>
      </c>
      <c r="T23">
        <v>1</v>
      </c>
      <c r="U23">
        <v>3</v>
      </c>
      <c r="V23" s="1" t="s">
        <v>588</v>
      </c>
      <c r="W23" t="s">
        <v>588</v>
      </c>
      <c r="X23">
        <v>2</v>
      </c>
      <c r="Y23">
        <v>2</v>
      </c>
      <c r="Z23" t="s">
        <v>41</v>
      </c>
      <c r="AA23" s="41">
        <v>41665</v>
      </c>
      <c r="AB23" s="11">
        <v>26</v>
      </c>
      <c r="AC23" s="11">
        <v>1</v>
      </c>
      <c r="AD23" s="11">
        <v>2014</v>
      </c>
      <c r="AE23" s="13" t="s">
        <v>2371</v>
      </c>
      <c r="AF23" t="s">
        <v>12</v>
      </c>
      <c r="AG23" s="41">
        <v>41673</v>
      </c>
      <c r="AH23" s="11">
        <v>3</v>
      </c>
      <c r="AI23" s="11">
        <v>2</v>
      </c>
      <c r="AJ23" s="11">
        <v>2014</v>
      </c>
      <c r="AK23" s="13" t="s">
        <v>2381</v>
      </c>
      <c r="AL23" t="s">
        <v>21</v>
      </c>
      <c r="AM23" s="1" t="s">
        <v>41</v>
      </c>
      <c r="AN23" s="1" t="s">
        <v>41</v>
      </c>
      <c r="AO23" s="1" t="s">
        <v>20</v>
      </c>
      <c r="AP23" s="1" t="s">
        <v>588</v>
      </c>
      <c r="AQ23" s="1" t="s">
        <v>588</v>
      </c>
      <c r="AR23" s="40" t="s">
        <v>588</v>
      </c>
      <c r="AS23" s="1" t="s">
        <v>588</v>
      </c>
      <c r="AT23" s="1" t="s">
        <v>588</v>
      </c>
      <c r="AU23" s="1" t="s">
        <v>588</v>
      </c>
      <c r="AV23" s="1" t="s">
        <v>588</v>
      </c>
      <c r="AW23" s="1" t="s">
        <v>588</v>
      </c>
      <c r="AX23" s="1" t="s">
        <v>588</v>
      </c>
      <c r="AY23" s="1" t="s">
        <v>588</v>
      </c>
      <c r="AZ23" s="1" t="s">
        <v>588</v>
      </c>
      <c r="BA23" s="1" t="s">
        <v>588</v>
      </c>
      <c r="BB23" s="1" t="s">
        <v>588</v>
      </c>
      <c r="BC23" s="1" t="s">
        <v>588</v>
      </c>
      <c r="BD23" s="1" t="s">
        <v>588</v>
      </c>
      <c r="BE23" s="1" t="s">
        <v>588</v>
      </c>
      <c r="BF23" s="1" t="s">
        <v>588</v>
      </c>
      <c r="BG23" s="1" t="s">
        <v>588</v>
      </c>
      <c r="BH23" s="1" t="s">
        <v>588</v>
      </c>
      <c r="BI23" s="1" t="s">
        <v>588</v>
      </c>
      <c r="BJ23" s="1" t="s">
        <v>588</v>
      </c>
      <c r="BK23" s="1" t="s">
        <v>588</v>
      </c>
      <c r="BL23" s="1" t="s">
        <v>588</v>
      </c>
      <c r="BM23" s="1" t="s">
        <v>588</v>
      </c>
      <c r="BN23" s="1" t="s">
        <v>588</v>
      </c>
      <c r="BO23" s="1" t="s">
        <v>588</v>
      </c>
      <c r="BP23" t="s">
        <v>588</v>
      </c>
      <c r="BQ23" s="1" t="s">
        <v>588</v>
      </c>
      <c r="BR23" s="1" t="s">
        <v>588</v>
      </c>
      <c r="BS23" t="s">
        <v>41</v>
      </c>
      <c r="BT23" s="40" t="s">
        <v>42</v>
      </c>
      <c r="BU23" s="1" t="s">
        <v>588</v>
      </c>
      <c r="BV23" s="40" t="s">
        <v>588</v>
      </c>
      <c r="BW23" s="1" t="s">
        <v>588</v>
      </c>
      <c r="BX23" s="1" t="s">
        <v>588</v>
      </c>
    </row>
    <row r="24" spans="1:76" x14ac:dyDescent="0.25">
      <c r="A24">
        <v>201314</v>
      </c>
      <c r="B24" s="40" t="s">
        <v>1854</v>
      </c>
      <c r="C24" t="s">
        <v>1907</v>
      </c>
      <c r="D24" s="40" t="s">
        <v>1844</v>
      </c>
      <c r="E24" s="40" t="s">
        <v>1844</v>
      </c>
      <c r="F24">
        <v>1</v>
      </c>
      <c r="G24" t="s">
        <v>2297</v>
      </c>
      <c r="H24" s="11" t="s">
        <v>2335</v>
      </c>
      <c r="I24" s="41">
        <v>41665</v>
      </c>
      <c r="J24" s="11">
        <v>26</v>
      </c>
      <c r="K24" s="11">
        <v>1</v>
      </c>
      <c r="L24" s="11">
        <v>2014</v>
      </c>
      <c r="M24" s="11" t="s">
        <v>2371</v>
      </c>
      <c r="N24" t="s">
        <v>12</v>
      </c>
      <c r="O24" s="40" t="s">
        <v>10</v>
      </c>
      <c r="P24" s="40" t="s">
        <v>588</v>
      </c>
      <c r="Q24" s="40" t="s">
        <v>588</v>
      </c>
      <c r="R24" s="40" t="s">
        <v>588</v>
      </c>
      <c r="S24" s="40" t="s">
        <v>588</v>
      </c>
      <c r="T24">
        <v>2</v>
      </c>
      <c r="U24">
        <v>2</v>
      </c>
      <c r="V24" s="1">
        <v>41667</v>
      </c>
      <c r="W24" t="s">
        <v>223</v>
      </c>
      <c r="X24">
        <v>3</v>
      </c>
      <c r="Y24">
        <v>3</v>
      </c>
      <c r="Z24" t="s">
        <v>41</v>
      </c>
      <c r="AA24" s="41">
        <v>41673</v>
      </c>
      <c r="AB24" s="11">
        <v>3</v>
      </c>
      <c r="AC24" s="11">
        <v>2</v>
      </c>
      <c r="AD24" s="11">
        <v>2014</v>
      </c>
      <c r="AE24" s="13" t="s">
        <v>2381</v>
      </c>
      <c r="AF24" t="s">
        <v>21</v>
      </c>
      <c r="AG24" s="41">
        <v>41677</v>
      </c>
      <c r="AH24" s="11">
        <v>7</v>
      </c>
      <c r="AI24" s="11">
        <v>2</v>
      </c>
      <c r="AJ24" s="11">
        <v>2014</v>
      </c>
      <c r="AK24" s="13" t="s">
        <v>2407</v>
      </c>
      <c r="AL24" t="s">
        <v>21</v>
      </c>
      <c r="AM24" s="1" t="s">
        <v>41</v>
      </c>
      <c r="AN24" s="1" t="s">
        <v>41</v>
      </c>
      <c r="AO24" s="1" t="s">
        <v>20</v>
      </c>
      <c r="AP24" s="1" t="s">
        <v>588</v>
      </c>
      <c r="AQ24" s="1" t="s">
        <v>588</v>
      </c>
      <c r="AR24" s="40" t="s">
        <v>588</v>
      </c>
      <c r="AS24" s="40" t="s">
        <v>588</v>
      </c>
      <c r="AT24" s="40" t="s">
        <v>588</v>
      </c>
      <c r="AU24" s="1" t="s">
        <v>588</v>
      </c>
      <c r="AV24" s="1" t="s">
        <v>588</v>
      </c>
      <c r="AW24" s="1" t="s">
        <v>588</v>
      </c>
      <c r="AX24" s="1" t="s">
        <v>588</v>
      </c>
      <c r="AY24" s="1" t="s">
        <v>588</v>
      </c>
      <c r="AZ24" s="1" t="s">
        <v>588</v>
      </c>
      <c r="BA24" s="1" t="s">
        <v>588</v>
      </c>
      <c r="BB24" s="1" t="s">
        <v>588</v>
      </c>
      <c r="BC24" s="1" t="s">
        <v>588</v>
      </c>
      <c r="BD24" s="1" t="s">
        <v>588</v>
      </c>
      <c r="BE24" s="1" t="s">
        <v>588</v>
      </c>
      <c r="BF24" s="1" t="s">
        <v>588</v>
      </c>
      <c r="BG24" s="1" t="s">
        <v>588</v>
      </c>
      <c r="BH24" s="1" t="s">
        <v>588</v>
      </c>
      <c r="BI24" s="1" t="s">
        <v>588</v>
      </c>
      <c r="BJ24" s="1" t="s">
        <v>588</v>
      </c>
      <c r="BK24" s="1" t="s">
        <v>588</v>
      </c>
      <c r="BL24" s="1" t="s">
        <v>588</v>
      </c>
      <c r="BM24" s="1" t="s">
        <v>588</v>
      </c>
      <c r="BN24" s="1" t="s">
        <v>588</v>
      </c>
      <c r="BO24" s="1" t="s">
        <v>588</v>
      </c>
      <c r="BP24" t="s">
        <v>588</v>
      </c>
      <c r="BQ24" s="1" t="s">
        <v>588</v>
      </c>
      <c r="BR24" s="1" t="s">
        <v>588</v>
      </c>
      <c r="BS24" t="s">
        <v>41</v>
      </c>
      <c r="BT24" s="40" t="s">
        <v>42</v>
      </c>
      <c r="BU24" s="1" t="s">
        <v>588</v>
      </c>
      <c r="BV24" s="40" t="s">
        <v>588</v>
      </c>
      <c r="BW24" s="1" t="s">
        <v>588</v>
      </c>
      <c r="BX24" s="1" t="s">
        <v>588</v>
      </c>
    </row>
    <row r="25" spans="1:76" s="42" customFormat="1" x14ac:dyDescent="0.25">
      <c r="A25" s="42">
        <v>201314</v>
      </c>
      <c r="B25" s="43" t="s">
        <v>128</v>
      </c>
      <c r="C25" t="s">
        <v>33</v>
      </c>
      <c r="D25" s="43" t="s">
        <v>1844</v>
      </c>
      <c r="E25" s="43" t="s">
        <v>1844</v>
      </c>
      <c r="F25" s="42">
        <v>1</v>
      </c>
      <c r="G25" s="42" t="s">
        <v>2298</v>
      </c>
      <c r="H25" s="11" t="s">
        <v>2336</v>
      </c>
      <c r="I25" s="44">
        <v>41618</v>
      </c>
      <c r="J25" s="11">
        <v>10</v>
      </c>
      <c r="K25" s="11">
        <v>12</v>
      </c>
      <c r="L25" s="11">
        <v>2013</v>
      </c>
      <c r="M25" s="11" t="s">
        <v>2372</v>
      </c>
      <c r="N25" s="42" t="s">
        <v>7</v>
      </c>
      <c r="O25" s="43" t="s">
        <v>10</v>
      </c>
      <c r="P25" s="42" t="s">
        <v>588</v>
      </c>
      <c r="Q25" s="42" t="s">
        <v>588</v>
      </c>
      <c r="R25" s="42" t="s">
        <v>588</v>
      </c>
      <c r="S25" s="42" t="s">
        <v>588</v>
      </c>
      <c r="T25" s="42">
        <v>2</v>
      </c>
      <c r="U25" s="42">
        <v>2</v>
      </c>
      <c r="V25" s="45">
        <v>41620</v>
      </c>
      <c r="W25" s="42" t="s">
        <v>223</v>
      </c>
      <c r="X25" s="42">
        <v>12</v>
      </c>
      <c r="Y25" s="42">
        <v>10</v>
      </c>
      <c r="Z25" s="42" t="s">
        <v>41</v>
      </c>
      <c r="AA25" s="44">
        <v>41642</v>
      </c>
      <c r="AB25" s="11">
        <v>3</v>
      </c>
      <c r="AC25" s="11">
        <v>1</v>
      </c>
      <c r="AD25" s="11">
        <v>2014</v>
      </c>
      <c r="AE25" s="13" t="s">
        <v>2394</v>
      </c>
      <c r="AF25" s="42" t="s">
        <v>12</v>
      </c>
      <c r="AG25" s="44">
        <v>41645</v>
      </c>
      <c r="AH25" s="11">
        <v>6</v>
      </c>
      <c r="AI25" s="11">
        <v>1</v>
      </c>
      <c r="AJ25" s="11">
        <v>2014</v>
      </c>
      <c r="AK25" s="13" t="s">
        <v>2401</v>
      </c>
      <c r="AL25" s="42" t="s">
        <v>12</v>
      </c>
      <c r="AM25" s="45" t="s">
        <v>41</v>
      </c>
      <c r="AN25" s="42" t="s">
        <v>8</v>
      </c>
      <c r="AO25" s="42" t="s">
        <v>2265</v>
      </c>
      <c r="AP25" s="42" t="s">
        <v>588</v>
      </c>
      <c r="AQ25" s="45" t="s">
        <v>588</v>
      </c>
      <c r="AR25" s="42" t="s">
        <v>588</v>
      </c>
      <c r="AS25" s="42" t="s">
        <v>588</v>
      </c>
      <c r="AT25" s="42" t="s">
        <v>588</v>
      </c>
      <c r="AU25" s="45" t="s">
        <v>588</v>
      </c>
      <c r="AV25" s="42" t="s">
        <v>588</v>
      </c>
      <c r="AW25" s="45" t="s">
        <v>588</v>
      </c>
      <c r="AX25" s="42" t="s">
        <v>588</v>
      </c>
      <c r="AY25" s="45" t="s">
        <v>588</v>
      </c>
      <c r="AZ25" s="42" t="s">
        <v>588</v>
      </c>
      <c r="BA25" s="45" t="s">
        <v>588</v>
      </c>
      <c r="BB25" s="42" t="s">
        <v>588</v>
      </c>
      <c r="BC25" s="45" t="s">
        <v>588</v>
      </c>
      <c r="BD25" s="42" t="s">
        <v>588</v>
      </c>
      <c r="BE25" s="45" t="s">
        <v>588</v>
      </c>
      <c r="BF25" s="42" t="s">
        <v>588</v>
      </c>
      <c r="BG25" s="45" t="s">
        <v>588</v>
      </c>
      <c r="BH25" s="45" t="s">
        <v>588</v>
      </c>
      <c r="BI25" s="45" t="s">
        <v>588</v>
      </c>
      <c r="BJ25" s="45" t="s">
        <v>588</v>
      </c>
      <c r="BK25" s="45" t="s">
        <v>588</v>
      </c>
      <c r="BL25" s="45" t="s">
        <v>588</v>
      </c>
      <c r="BM25" s="42" t="s">
        <v>588</v>
      </c>
      <c r="BN25" s="42" t="s">
        <v>588</v>
      </c>
      <c r="BO25" s="45" t="s">
        <v>588</v>
      </c>
      <c r="BP25" s="42" t="s">
        <v>588</v>
      </c>
      <c r="BQ25" s="45" t="s">
        <v>588</v>
      </c>
      <c r="BR25" s="45" t="s">
        <v>588</v>
      </c>
      <c r="BS25" t="s">
        <v>8</v>
      </c>
      <c r="BT25" s="40" t="s">
        <v>120</v>
      </c>
      <c r="BU25" s="45" t="s">
        <v>588</v>
      </c>
      <c r="BV25" s="45" t="s">
        <v>588</v>
      </c>
      <c r="BW25" s="45" t="s">
        <v>588</v>
      </c>
      <c r="BX25" s="45" t="s">
        <v>588</v>
      </c>
    </row>
    <row r="26" spans="1:76" x14ac:dyDescent="0.25">
      <c r="A26">
        <v>201314</v>
      </c>
      <c r="B26" s="40" t="s">
        <v>129</v>
      </c>
      <c r="C26" t="s">
        <v>35</v>
      </c>
      <c r="D26" s="40" t="s">
        <v>1844</v>
      </c>
      <c r="E26" s="40" t="s">
        <v>1844</v>
      </c>
      <c r="F26">
        <v>1</v>
      </c>
      <c r="G26" t="s">
        <v>2299</v>
      </c>
      <c r="H26" s="11" t="s">
        <v>2337</v>
      </c>
      <c r="I26" s="41">
        <v>41609</v>
      </c>
      <c r="J26" s="11">
        <v>1</v>
      </c>
      <c r="K26" s="11">
        <v>12</v>
      </c>
      <c r="L26" s="11">
        <v>2013</v>
      </c>
      <c r="M26" s="11" t="s">
        <v>2363</v>
      </c>
      <c r="N26" t="s">
        <v>7</v>
      </c>
      <c r="O26" s="40" t="s">
        <v>10</v>
      </c>
      <c r="P26" s="40" t="s">
        <v>588</v>
      </c>
      <c r="Q26" s="40" t="s">
        <v>588</v>
      </c>
      <c r="R26" s="40" t="s">
        <v>588</v>
      </c>
      <c r="S26" s="40" t="s">
        <v>588</v>
      </c>
      <c r="T26">
        <v>3</v>
      </c>
      <c r="U26">
        <v>3</v>
      </c>
      <c r="V26" s="1" t="s">
        <v>588</v>
      </c>
      <c r="W26" t="s">
        <v>588</v>
      </c>
      <c r="X26">
        <v>3</v>
      </c>
      <c r="Y26">
        <v>3</v>
      </c>
      <c r="Z26" t="s">
        <v>41</v>
      </c>
      <c r="AA26" s="41">
        <v>41610</v>
      </c>
      <c r="AB26" s="11">
        <v>2</v>
      </c>
      <c r="AC26" s="11">
        <v>12</v>
      </c>
      <c r="AD26" s="11">
        <v>2013</v>
      </c>
      <c r="AE26" s="13" t="s">
        <v>2395</v>
      </c>
      <c r="AF26" t="s">
        <v>7</v>
      </c>
      <c r="AG26" s="41">
        <v>41618</v>
      </c>
      <c r="AH26" s="11">
        <v>10</v>
      </c>
      <c r="AI26" s="11">
        <v>12</v>
      </c>
      <c r="AJ26" s="11">
        <v>2013</v>
      </c>
      <c r="AK26" s="13" t="s">
        <v>2372</v>
      </c>
      <c r="AL26" t="s">
        <v>7</v>
      </c>
      <c r="AM26" s="1" t="s">
        <v>11</v>
      </c>
      <c r="AN26" s="1" t="s">
        <v>8</v>
      </c>
      <c r="AO26" s="1" t="s">
        <v>41</v>
      </c>
      <c r="AP26" s="1" t="s">
        <v>588</v>
      </c>
      <c r="AQ26" s="1" t="s">
        <v>588</v>
      </c>
      <c r="AR26" s="1" t="s">
        <v>588</v>
      </c>
      <c r="AS26" s="1" t="s">
        <v>588</v>
      </c>
      <c r="AT26" s="1" t="s">
        <v>588</v>
      </c>
      <c r="AU26" s="1" t="s">
        <v>588</v>
      </c>
      <c r="AV26" s="1" t="s">
        <v>588</v>
      </c>
      <c r="AW26" s="1" t="s">
        <v>588</v>
      </c>
      <c r="AX26" s="1" t="s">
        <v>588</v>
      </c>
      <c r="AY26" s="1" t="s">
        <v>588</v>
      </c>
      <c r="AZ26" s="1" t="s">
        <v>588</v>
      </c>
      <c r="BA26" s="1" t="s">
        <v>588</v>
      </c>
      <c r="BB26" s="1" t="s">
        <v>588</v>
      </c>
      <c r="BC26" s="1" t="s">
        <v>588</v>
      </c>
      <c r="BD26" s="1" t="s">
        <v>588</v>
      </c>
      <c r="BE26" s="1" t="s">
        <v>588</v>
      </c>
      <c r="BF26" s="1" t="s">
        <v>588</v>
      </c>
      <c r="BG26" s="1" t="s">
        <v>588</v>
      </c>
      <c r="BH26" s="1" t="s">
        <v>588</v>
      </c>
      <c r="BI26" s="1" t="s">
        <v>588</v>
      </c>
      <c r="BJ26" s="1" t="s">
        <v>588</v>
      </c>
      <c r="BK26" s="1" t="s">
        <v>588</v>
      </c>
      <c r="BL26" s="1" t="s">
        <v>588</v>
      </c>
      <c r="BM26" s="1" t="s">
        <v>588</v>
      </c>
      <c r="BN26" s="1" t="s">
        <v>588</v>
      </c>
      <c r="BO26" s="1" t="s">
        <v>588</v>
      </c>
      <c r="BP26" t="s">
        <v>588</v>
      </c>
      <c r="BQ26" s="1" t="s">
        <v>588</v>
      </c>
      <c r="BR26" s="1" t="s">
        <v>588</v>
      </c>
      <c r="BS26" t="s">
        <v>8</v>
      </c>
      <c r="BT26" s="40" t="s">
        <v>120</v>
      </c>
      <c r="BU26" s="1" t="s">
        <v>588</v>
      </c>
      <c r="BV26" s="1" t="s">
        <v>588</v>
      </c>
      <c r="BW26" s="1" t="s">
        <v>588</v>
      </c>
      <c r="BX26" s="1" t="s">
        <v>588</v>
      </c>
    </row>
    <row r="27" spans="1:76" s="42" customFormat="1" x14ac:dyDescent="0.25">
      <c r="A27" s="42">
        <v>201314</v>
      </c>
      <c r="B27" s="43" t="s">
        <v>2266</v>
      </c>
      <c r="C27" t="s">
        <v>402</v>
      </c>
      <c r="D27" s="43" t="s">
        <v>1844</v>
      </c>
      <c r="E27" s="43" t="s">
        <v>1844</v>
      </c>
      <c r="F27" s="42">
        <v>1</v>
      </c>
      <c r="G27" s="42" t="s">
        <v>2300</v>
      </c>
      <c r="H27" s="11" t="s">
        <v>2338</v>
      </c>
      <c r="I27" s="44">
        <v>41641</v>
      </c>
      <c r="J27" s="11">
        <v>2</v>
      </c>
      <c r="K27" s="11">
        <v>1</v>
      </c>
      <c r="L27" s="11">
        <v>2014</v>
      </c>
      <c r="M27" s="11" t="s">
        <v>2373</v>
      </c>
      <c r="N27" s="42" t="s">
        <v>12</v>
      </c>
      <c r="O27" s="42" t="s">
        <v>36</v>
      </c>
      <c r="P27" s="42" t="s">
        <v>588</v>
      </c>
      <c r="Q27" s="42" t="s">
        <v>588</v>
      </c>
      <c r="R27" s="42" t="s">
        <v>588</v>
      </c>
      <c r="S27" s="42" t="s">
        <v>588</v>
      </c>
      <c r="T27" s="42">
        <v>3</v>
      </c>
      <c r="U27" s="42">
        <v>3</v>
      </c>
      <c r="V27" s="42" t="s">
        <v>588</v>
      </c>
      <c r="W27" s="42" t="s">
        <v>588</v>
      </c>
      <c r="X27" s="42">
        <v>3</v>
      </c>
      <c r="Y27" s="42">
        <v>3</v>
      </c>
      <c r="Z27" s="42" t="s">
        <v>41</v>
      </c>
      <c r="AA27" s="44">
        <v>41644</v>
      </c>
      <c r="AB27" s="11">
        <v>5</v>
      </c>
      <c r="AC27" s="11">
        <v>1</v>
      </c>
      <c r="AD27" s="11">
        <v>2014</v>
      </c>
      <c r="AE27" s="13" t="s">
        <v>2396</v>
      </c>
      <c r="AF27" s="42" t="s">
        <v>12</v>
      </c>
      <c r="AG27" s="44">
        <v>41650</v>
      </c>
      <c r="AH27" s="11">
        <v>11</v>
      </c>
      <c r="AI27" s="11">
        <v>1</v>
      </c>
      <c r="AJ27" s="11">
        <v>2014</v>
      </c>
      <c r="AK27" s="13" t="s">
        <v>2408</v>
      </c>
      <c r="AL27" s="42" t="s">
        <v>12</v>
      </c>
      <c r="AM27" s="45" t="s">
        <v>41</v>
      </c>
      <c r="AN27" s="42" t="s">
        <v>8</v>
      </c>
      <c r="AO27" s="45" t="s">
        <v>11</v>
      </c>
      <c r="AP27" s="42" t="s">
        <v>588</v>
      </c>
      <c r="AQ27" s="45" t="s">
        <v>588</v>
      </c>
      <c r="AR27" s="42" t="s">
        <v>588</v>
      </c>
      <c r="AS27" s="42" t="s">
        <v>588</v>
      </c>
      <c r="AT27" s="42" t="s">
        <v>588</v>
      </c>
      <c r="AU27" s="45" t="s">
        <v>588</v>
      </c>
      <c r="AV27" s="42" t="s">
        <v>588</v>
      </c>
      <c r="AW27" s="45" t="s">
        <v>588</v>
      </c>
      <c r="AX27" s="42" t="s">
        <v>588</v>
      </c>
      <c r="AY27" s="45" t="s">
        <v>588</v>
      </c>
      <c r="AZ27" s="42" t="s">
        <v>588</v>
      </c>
      <c r="BA27" s="45" t="s">
        <v>588</v>
      </c>
      <c r="BB27" s="42" t="s">
        <v>588</v>
      </c>
      <c r="BC27" s="45" t="s">
        <v>588</v>
      </c>
      <c r="BD27" s="42" t="s">
        <v>588</v>
      </c>
      <c r="BE27" s="45" t="s">
        <v>588</v>
      </c>
      <c r="BF27" s="42" t="s">
        <v>588</v>
      </c>
      <c r="BG27" s="45" t="s">
        <v>588</v>
      </c>
      <c r="BH27" s="45" t="s">
        <v>588</v>
      </c>
      <c r="BI27" s="45" t="s">
        <v>588</v>
      </c>
      <c r="BJ27" s="45" t="s">
        <v>588</v>
      </c>
      <c r="BK27" s="45" t="s">
        <v>588</v>
      </c>
      <c r="BL27" s="45" t="s">
        <v>588</v>
      </c>
      <c r="BM27" s="42" t="s">
        <v>588</v>
      </c>
      <c r="BN27" s="42" t="s">
        <v>588</v>
      </c>
      <c r="BO27" s="45" t="s">
        <v>588</v>
      </c>
      <c r="BP27" s="42" t="s">
        <v>588</v>
      </c>
      <c r="BQ27" s="45" t="s">
        <v>588</v>
      </c>
      <c r="BR27" s="45" t="s">
        <v>588</v>
      </c>
      <c r="BS27" s="42" t="s">
        <v>8</v>
      </c>
      <c r="BT27" s="43" t="s">
        <v>123</v>
      </c>
      <c r="BU27" s="45" t="s">
        <v>588</v>
      </c>
      <c r="BV27" s="45" t="s">
        <v>588</v>
      </c>
      <c r="BW27" s="45" t="s">
        <v>588</v>
      </c>
      <c r="BX27" s="45" t="s">
        <v>588</v>
      </c>
    </row>
    <row r="28" spans="1:76" s="42" customFormat="1" x14ac:dyDescent="0.25">
      <c r="A28" s="42">
        <v>201314</v>
      </c>
      <c r="B28" s="42" t="s">
        <v>2266</v>
      </c>
      <c r="C28" t="s">
        <v>402</v>
      </c>
      <c r="D28" s="43" t="s">
        <v>1844</v>
      </c>
      <c r="E28" s="43" t="s">
        <v>1844</v>
      </c>
      <c r="F28" s="42">
        <v>2</v>
      </c>
      <c r="G28" s="42" t="s">
        <v>2301</v>
      </c>
      <c r="H28" s="11" t="s">
        <v>2339</v>
      </c>
      <c r="I28" s="44">
        <v>41652</v>
      </c>
      <c r="J28" s="11">
        <v>13</v>
      </c>
      <c r="K28" s="11">
        <v>1</v>
      </c>
      <c r="L28" s="11">
        <v>2014</v>
      </c>
      <c r="M28" s="11" t="s">
        <v>2374</v>
      </c>
      <c r="N28" s="42" t="s">
        <v>12</v>
      </c>
      <c r="O28" s="43" t="s">
        <v>2126</v>
      </c>
      <c r="P28" s="42" t="s">
        <v>588</v>
      </c>
      <c r="Q28" s="42" t="s">
        <v>588</v>
      </c>
      <c r="R28" s="42" t="s">
        <v>588</v>
      </c>
      <c r="S28" s="42" t="s">
        <v>588</v>
      </c>
      <c r="T28" s="42" t="s">
        <v>1847</v>
      </c>
      <c r="U28" s="42">
        <v>3</v>
      </c>
      <c r="V28" s="42" t="s">
        <v>588</v>
      </c>
      <c r="W28" s="42" t="s">
        <v>588</v>
      </c>
      <c r="X28" s="42">
        <v>2</v>
      </c>
      <c r="Y28" s="42">
        <v>2</v>
      </c>
      <c r="Z28" s="42" t="s">
        <v>41</v>
      </c>
      <c r="AA28" s="44">
        <v>41652</v>
      </c>
      <c r="AB28" s="11">
        <v>13</v>
      </c>
      <c r="AC28" s="11">
        <v>1</v>
      </c>
      <c r="AD28" s="11">
        <v>2014</v>
      </c>
      <c r="AE28" s="13" t="s">
        <v>2374</v>
      </c>
      <c r="AF28" s="42" t="s">
        <v>12</v>
      </c>
      <c r="AG28" s="44">
        <v>41656</v>
      </c>
      <c r="AH28" s="11">
        <v>17</v>
      </c>
      <c r="AI28" s="11">
        <v>1</v>
      </c>
      <c r="AJ28" s="11">
        <v>2014</v>
      </c>
      <c r="AK28" s="13" t="s">
        <v>2360</v>
      </c>
      <c r="AL28" s="42" t="s">
        <v>12</v>
      </c>
      <c r="AM28" s="45" t="s">
        <v>41</v>
      </c>
      <c r="AN28" s="45" t="s">
        <v>41</v>
      </c>
      <c r="AO28" s="45" t="s">
        <v>20</v>
      </c>
      <c r="AP28" s="45" t="s">
        <v>588</v>
      </c>
      <c r="AQ28" s="45" t="s">
        <v>588</v>
      </c>
      <c r="AR28" s="42" t="s">
        <v>588</v>
      </c>
      <c r="AS28" s="42" t="s">
        <v>588</v>
      </c>
      <c r="AT28" s="42" t="s">
        <v>588</v>
      </c>
      <c r="AU28" s="45" t="s">
        <v>588</v>
      </c>
      <c r="AV28" s="45" t="s">
        <v>588</v>
      </c>
      <c r="AW28" s="45" t="s">
        <v>588</v>
      </c>
      <c r="AX28" s="45" t="s">
        <v>588</v>
      </c>
      <c r="AY28" s="45" t="s">
        <v>588</v>
      </c>
      <c r="AZ28" s="45" t="s">
        <v>588</v>
      </c>
      <c r="BA28" s="45" t="s">
        <v>588</v>
      </c>
      <c r="BB28" s="45" t="s">
        <v>588</v>
      </c>
      <c r="BC28" s="45" t="s">
        <v>588</v>
      </c>
      <c r="BD28" s="45" t="s">
        <v>588</v>
      </c>
      <c r="BE28" s="45" t="s">
        <v>588</v>
      </c>
      <c r="BF28" s="45" t="s">
        <v>588</v>
      </c>
      <c r="BG28" s="45" t="s">
        <v>588</v>
      </c>
      <c r="BH28" s="45" t="s">
        <v>588</v>
      </c>
      <c r="BI28" s="45" t="s">
        <v>588</v>
      </c>
      <c r="BJ28" s="45" t="s">
        <v>588</v>
      </c>
      <c r="BK28" s="45" t="s">
        <v>588</v>
      </c>
      <c r="BL28" s="45" t="s">
        <v>588</v>
      </c>
      <c r="BM28" s="42" t="s">
        <v>588</v>
      </c>
      <c r="BN28" s="42" t="s">
        <v>588</v>
      </c>
      <c r="BO28" s="45" t="s">
        <v>588</v>
      </c>
      <c r="BP28" s="42" t="s">
        <v>588</v>
      </c>
      <c r="BQ28" s="45" t="s">
        <v>588</v>
      </c>
      <c r="BR28" s="45" t="s">
        <v>588</v>
      </c>
      <c r="BS28" s="42" t="s">
        <v>8</v>
      </c>
      <c r="BT28" s="43" t="s">
        <v>123</v>
      </c>
      <c r="BU28" s="45" t="s">
        <v>588</v>
      </c>
      <c r="BV28" s="45" t="s">
        <v>588</v>
      </c>
      <c r="BW28" s="45" t="s">
        <v>588</v>
      </c>
      <c r="BX28" s="45" t="s">
        <v>588</v>
      </c>
    </row>
    <row r="29" spans="1:76" s="42" customFormat="1" x14ac:dyDescent="0.25">
      <c r="A29" s="42">
        <v>201314</v>
      </c>
      <c r="B29" s="43" t="s">
        <v>2267</v>
      </c>
      <c r="C29" t="s">
        <v>301</v>
      </c>
      <c r="D29" s="43" t="s">
        <v>2268</v>
      </c>
      <c r="E29" s="43" t="s">
        <v>1844</v>
      </c>
      <c r="F29" s="42">
        <v>1</v>
      </c>
      <c r="G29" s="42" t="s">
        <v>2302</v>
      </c>
      <c r="H29" s="11" t="s">
        <v>2340</v>
      </c>
      <c r="I29" s="44">
        <v>41628</v>
      </c>
      <c r="J29" s="11">
        <v>20</v>
      </c>
      <c r="K29" s="11">
        <v>12</v>
      </c>
      <c r="L29" s="11">
        <v>2013</v>
      </c>
      <c r="M29" s="11" t="s">
        <v>2369</v>
      </c>
      <c r="N29" s="42" t="s">
        <v>7</v>
      </c>
      <c r="O29" s="43" t="s">
        <v>51</v>
      </c>
      <c r="P29" s="42" t="s">
        <v>588</v>
      </c>
      <c r="Q29" s="42" t="s">
        <v>588</v>
      </c>
      <c r="R29" s="42" t="s">
        <v>588</v>
      </c>
      <c r="S29" s="42" t="s">
        <v>588</v>
      </c>
      <c r="T29" s="42">
        <v>1</v>
      </c>
      <c r="U29" s="42">
        <v>3</v>
      </c>
      <c r="V29" s="42" t="s">
        <v>588</v>
      </c>
      <c r="W29" s="42" t="s">
        <v>588</v>
      </c>
      <c r="X29" s="42">
        <v>5</v>
      </c>
      <c r="Y29" s="42">
        <v>5</v>
      </c>
      <c r="Z29" s="42" t="s">
        <v>41</v>
      </c>
      <c r="AA29" s="44">
        <v>41644</v>
      </c>
      <c r="AB29" s="11">
        <v>5</v>
      </c>
      <c r="AC29" s="11">
        <v>1</v>
      </c>
      <c r="AD29" s="11">
        <v>2014</v>
      </c>
      <c r="AE29" s="13" t="s">
        <v>2396</v>
      </c>
      <c r="AF29" s="42" t="s">
        <v>12</v>
      </c>
      <c r="AG29" s="44">
        <v>41645</v>
      </c>
      <c r="AH29" s="11">
        <v>6</v>
      </c>
      <c r="AI29" s="11">
        <v>1</v>
      </c>
      <c r="AJ29" s="11">
        <v>2014</v>
      </c>
      <c r="AK29" s="13" t="s">
        <v>2401</v>
      </c>
      <c r="AL29" s="42" t="s">
        <v>12</v>
      </c>
      <c r="AM29" s="45" t="s">
        <v>11</v>
      </c>
      <c r="AN29" s="42" t="s">
        <v>8</v>
      </c>
      <c r="AO29" s="45" t="s">
        <v>41</v>
      </c>
      <c r="AP29" s="42" t="s">
        <v>588</v>
      </c>
      <c r="AQ29" s="45" t="s">
        <v>588</v>
      </c>
      <c r="AR29" s="42" t="s">
        <v>588</v>
      </c>
      <c r="AS29" s="45" t="s">
        <v>588</v>
      </c>
      <c r="AT29" s="42" t="s">
        <v>588</v>
      </c>
      <c r="AU29" s="45" t="s">
        <v>588</v>
      </c>
      <c r="AV29" s="42" t="s">
        <v>588</v>
      </c>
      <c r="AW29" s="45" t="s">
        <v>588</v>
      </c>
      <c r="AX29" s="42" t="s">
        <v>588</v>
      </c>
      <c r="AY29" s="45" t="s">
        <v>588</v>
      </c>
      <c r="AZ29" s="42" t="s">
        <v>588</v>
      </c>
      <c r="BA29" s="45" t="s">
        <v>588</v>
      </c>
      <c r="BB29" s="42" t="s">
        <v>588</v>
      </c>
      <c r="BC29" s="45" t="s">
        <v>588</v>
      </c>
      <c r="BD29" s="42" t="s">
        <v>588</v>
      </c>
      <c r="BE29" s="45" t="s">
        <v>588</v>
      </c>
      <c r="BF29" s="42" t="s">
        <v>588</v>
      </c>
      <c r="BG29" s="45" t="s">
        <v>588</v>
      </c>
      <c r="BH29" s="45" t="s">
        <v>588</v>
      </c>
      <c r="BI29" s="45" t="s">
        <v>588</v>
      </c>
      <c r="BJ29" s="45" t="s">
        <v>588</v>
      </c>
      <c r="BK29" s="45" t="s">
        <v>588</v>
      </c>
      <c r="BL29" s="45" t="s">
        <v>588</v>
      </c>
      <c r="BM29" s="45" t="s">
        <v>588</v>
      </c>
      <c r="BN29" s="45" t="s">
        <v>588</v>
      </c>
      <c r="BO29" s="45" t="s">
        <v>588</v>
      </c>
      <c r="BP29" s="42" t="s">
        <v>588</v>
      </c>
      <c r="BQ29" s="45" t="s">
        <v>588</v>
      </c>
      <c r="BR29" s="45" t="s">
        <v>588</v>
      </c>
      <c r="BS29" s="42" t="s">
        <v>8</v>
      </c>
      <c r="BT29" s="43" t="s">
        <v>120</v>
      </c>
      <c r="BU29" s="45" t="s">
        <v>588</v>
      </c>
      <c r="BV29" s="45" t="s">
        <v>588</v>
      </c>
      <c r="BW29" s="45" t="s">
        <v>588</v>
      </c>
      <c r="BX29" s="45" t="s">
        <v>588</v>
      </c>
    </row>
    <row r="30" spans="1:76" s="42" customFormat="1" x14ac:dyDescent="0.25">
      <c r="A30" s="42">
        <v>201314</v>
      </c>
      <c r="B30" s="43" t="s">
        <v>2267</v>
      </c>
      <c r="C30" t="s">
        <v>301</v>
      </c>
      <c r="D30" s="43" t="s">
        <v>1844</v>
      </c>
      <c r="E30" s="43" t="s">
        <v>1844</v>
      </c>
      <c r="F30" s="42">
        <v>2</v>
      </c>
      <c r="G30" s="42" t="s">
        <v>2303</v>
      </c>
      <c r="H30" s="11" t="s">
        <v>2341</v>
      </c>
      <c r="I30" s="44">
        <v>41658</v>
      </c>
      <c r="J30" s="11">
        <v>19</v>
      </c>
      <c r="K30" s="11">
        <v>1</v>
      </c>
      <c r="L30" s="11">
        <v>2014</v>
      </c>
      <c r="M30" s="11" t="s">
        <v>2375</v>
      </c>
      <c r="N30" s="42" t="s">
        <v>12</v>
      </c>
      <c r="O30" s="43" t="s">
        <v>51</v>
      </c>
      <c r="P30" s="42" t="s">
        <v>588</v>
      </c>
      <c r="Q30" s="42" t="s">
        <v>588</v>
      </c>
      <c r="R30" s="42" t="s">
        <v>588</v>
      </c>
      <c r="S30" s="42" t="s">
        <v>588</v>
      </c>
      <c r="T30" s="42" t="s">
        <v>1847</v>
      </c>
      <c r="U30" s="42">
        <v>3</v>
      </c>
      <c r="V30" s="42" t="s">
        <v>588</v>
      </c>
      <c r="W30" s="42" t="s">
        <v>588</v>
      </c>
      <c r="X30" s="42">
        <v>3</v>
      </c>
      <c r="Y30" s="42">
        <v>3</v>
      </c>
      <c r="Z30" s="42" t="s">
        <v>41</v>
      </c>
      <c r="AA30" s="44">
        <v>41663</v>
      </c>
      <c r="AB30" s="11">
        <v>24</v>
      </c>
      <c r="AC30" s="11">
        <v>1</v>
      </c>
      <c r="AD30" s="11">
        <v>2014</v>
      </c>
      <c r="AE30" s="13" t="s">
        <v>2397</v>
      </c>
      <c r="AF30" s="42" t="s">
        <v>12</v>
      </c>
      <c r="AG30" s="44">
        <v>41670</v>
      </c>
      <c r="AH30" s="11">
        <v>31</v>
      </c>
      <c r="AI30" s="11">
        <v>1</v>
      </c>
      <c r="AJ30" s="11">
        <v>2014</v>
      </c>
      <c r="AK30" s="13" t="s">
        <v>2380</v>
      </c>
      <c r="AL30" s="42" t="s">
        <v>12</v>
      </c>
      <c r="AM30" s="45" t="s">
        <v>41</v>
      </c>
      <c r="AN30" s="45" t="s">
        <v>41</v>
      </c>
      <c r="AO30" s="45" t="s">
        <v>20</v>
      </c>
      <c r="AP30" s="45" t="s">
        <v>588</v>
      </c>
      <c r="AQ30" s="45" t="s">
        <v>588</v>
      </c>
      <c r="AR30" s="45" t="s">
        <v>588</v>
      </c>
      <c r="AS30" s="45" t="s">
        <v>588</v>
      </c>
      <c r="AT30" s="45" t="s">
        <v>588</v>
      </c>
      <c r="AU30" s="45" t="s">
        <v>588</v>
      </c>
      <c r="AV30" s="45" t="s">
        <v>588</v>
      </c>
      <c r="AW30" s="45" t="s">
        <v>588</v>
      </c>
      <c r="AX30" s="45" t="s">
        <v>588</v>
      </c>
      <c r="AY30" s="45" t="s">
        <v>588</v>
      </c>
      <c r="AZ30" s="45" t="s">
        <v>588</v>
      </c>
      <c r="BA30" s="45" t="s">
        <v>588</v>
      </c>
      <c r="BB30" s="45" t="s">
        <v>588</v>
      </c>
      <c r="BC30" s="45" t="s">
        <v>588</v>
      </c>
      <c r="BD30" s="45" t="s">
        <v>588</v>
      </c>
      <c r="BE30" s="45" t="s">
        <v>588</v>
      </c>
      <c r="BF30" s="45" t="s">
        <v>588</v>
      </c>
      <c r="BG30" s="45" t="s">
        <v>588</v>
      </c>
      <c r="BH30" s="45" t="s">
        <v>588</v>
      </c>
      <c r="BI30" s="45" t="s">
        <v>588</v>
      </c>
      <c r="BJ30" s="45" t="s">
        <v>588</v>
      </c>
      <c r="BK30" s="45" t="s">
        <v>588</v>
      </c>
      <c r="BL30" s="45" t="s">
        <v>588</v>
      </c>
      <c r="BM30" s="45" t="s">
        <v>588</v>
      </c>
      <c r="BN30" s="45" t="s">
        <v>588</v>
      </c>
      <c r="BO30" s="45" t="s">
        <v>588</v>
      </c>
      <c r="BP30" s="42" t="s">
        <v>588</v>
      </c>
      <c r="BQ30" s="45" t="s">
        <v>588</v>
      </c>
      <c r="BR30" s="45" t="s">
        <v>588</v>
      </c>
      <c r="BS30" s="42" t="s">
        <v>8</v>
      </c>
      <c r="BT30" s="43" t="s">
        <v>137</v>
      </c>
      <c r="BU30" s="45" t="s">
        <v>588</v>
      </c>
      <c r="BV30" s="45" t="s">
        <v>588</v>
      </c>
      <c r="BW30" s="45" t="s">
        <v>588</v>
      </c>
      <c r="BX30" s="45" t="s">
        <v>588</v>
      </c>
    </row>
    <row r="31" spans="1:76" s="42" customFormat="1" x14ac:dyDescent="0.25">
      <c r="A31" s="42">
        <v>201314</v>
      </c>
      <c r="B31" s="43" t="s">
        <v>2269</v>
      </c>
      <c r="C31" t="s">
        <v>76</v>
      </c>
      <c r="D31" s="43" t="s">
        <v>2270</v>
      </c>
      <c r="E31" s="43" t="s">
        <v>1844</v>
      </c>
      <c r="F31" s="42">
        <v>1</v>
      </c>
      <c r="G31" s="42" t="s">
        <v>2304</v>
      </c>
      <c r="H31" s="11" t="s">
        <v>2342</v>
      </c>
      <c r="I31" s="44">
        <v>41609</v>
      </c>
      <c r="J31" s="11">
        <v>1</v>
      </c>
      <c r="K31" s="11">
        <v>12</v>
      </c>
      <c r="L31" s="11">
        <v>2013</v>
      </c>
      <c r="M31" s="11" t="s">
        <v>2363</v>
      </c>
      <c r="N31" s="42" t="s">
        <v>7</v>
      </c>
      <c r="O31" s="43" t="s">
        <v>10</v>
      </c>
      <c r="P31" s="42" t="s">
        <v>588</v>
      </c>
      <c r="Q31" s="42" t="s">
        <v>588</v>
      </c>
      <c r="R31" s="42" t="s">
        <v>588</v>
      </c>
      <c r="S31" s="42" t="s">
        <v>588</v>
      </c>
      <c r="T31" s="42">
        <v>1</v>
      </c>
      <c r="U31" s="42">
        <v>3</v>
      </c>
      <c r="V31" s="42" t="s">
        <v>588</v>
      </c>
      <c r="W31" s="42" t="s">
        <v>588</v>
      </c>
      <c r="X31" s="42">
        <v>4</v>
      </c>
      <c r="Y31" s="42">
        <v>4</v>
      </c>
      <c r="Z31" s="42" t="s">
        <v>41</v>
      </c>
      <c r="AA31" s="44">
        <v>41615</v>
      </c>
      <c r="AB31" s="11">
        <v>7</v>
      </c>
      <c r="AC31" s="11">
        <v>12</v>
      </c>
      <c r="AD31" s="11">
        <v>2013</v>
      </c>
      <c r="AE31" s="13" t="s">
        <v>2352</v>
      </c>
      <c r="AF31" s="42" t="s">
        <v>7</v>
      </c>
      <c r="AG31" s="44">
        <v>41618</v>
      </c>
      <c r="AH31" s="11">
        <v>10</v>
      </c>
      <c r="AI31" s="11">
        <v>12</v>
      </c>
      <c r="AJ31" s="11">
        <v>2013</v>
      </c>
      <c r="AK31" s="13" t="s">
        <v>2372</v>
      </c>
      <c r="AL31" s="42" t="s">
        <v>7</v>
      </c>
      <c r="AM31" s="45" t="s">
        <v>11</v>
      </c>
      <c r="AN31" s="45" t="s">
        <v>8</v>
      </c>
      <c r="AO31" s="45" t="s">
        <v>41</v>
      </c>
      <c r="AP31" s="45" t="s">
        <v>588</v>
      </c>
      <c r="AQ31" s="45" t="s">
        <v>588</v>
      </c>
      <c r="AR31" s="45" t="s">
        <v>588</v>
      </c>
      <c r="AS31" s="45" t="s">
        <v>588</v>
      </c>
      <c r="AT31" s="45" t="s">
        <v>588</v>
      </c>
      <c r="AU31" s="45" t="s">
        <v>588</v>
      </c>
      <c r="AV31" s="45" t="s">
        <v>588</v>
      </c>
      <c r="AW31" s="45" t="s">
        <v>588</v>
      </c>
      <c r="AX31" s="45" t="s">
        <v>588</v>
      </c>
      <c r="AY31" s="45" t="s">
        <v>588</v>
      </c>
      <c r="AZ31" s="45" t="s">
        <v>588</v>
      </c>
      <c r="BA31" s="45" t="s">
        <v>588</v>
      </c>
      <c r="BB31" s="45" t="s">
        <v>588</v>
      </c>
      <c r="BC31" s="45" t="s">
        <v>588</v>
      </c>
      <c r="BD31" s="45" t="s">
        <v>588</v>
      </c>
      <c r="BE31" s="45" t="s">
        <v>588</v>
      </c>
      <c r="BF31" s="45" t="s">
        <v>588</v>
      </c>
      <c r="BG31" s="45" t="s">
        <v>588</v>
      </c>
      <c r="BH31" s="45" t="s">
        <v>588</v>
      </c>
      <c r="BI31" s="45" t="s">
        <v>588</v>
      </c>
      <c r="BJ31" s="45" t="s">
        <v>588</v>
      </c>
      <c r="BK31" s="45" t="s">
        <v>588</v>
      </c>
      <c r="BL31" s="45" t="s">
        <v>588</v>
      </c>
      <c r="BM31" s="45" t="s">
        <v>588</v>
      </c>
      <c r="BN31" s="45" t="s">
        <v>588</v>
      </c>
      <c r="BO31" s="45" t="s">
        <v>588</v>
      </c>
      <c r="BP31" s="42" t="s">
        <v>588</v>
      </c>
      <c r="BQ31" s="45" t="s">
        <v>588</v>
      </c>
      <c r="BR31" s="45" t="s">
        <v>588</v>
      </c>
      <c r="BS31" s="42" t="s">
        <v>8</v>
      </c>
      <c r="BT31" s="43" t="s">
        <v>120</v>
      </c>
      <c r="BU31" s="45" t="s">
        <v>588</v>
      </c>
      <c r="BV31" s="45" t="s">
        <v>588</v>
      </c>
      <c r="BW31" s="45" t="s">
        <v>2271</v>
      </c>
      <c r="BX31" s="45" t="s">
        <v>588</v>
      </c>
    </row>
    <row r="32" spans="1:76" s="42" customFormat="1" x14ac:dyDescent="0.25">
      <c r="A32" s="42">
        <v>201314</v>
      </c>
      <c r="B32" s="43" t="s">
        <v>2269</v>
      </c>
      <c r="C32" t="s">
        <v>76</v>
      </c>
      <c r="D32" s="43" t="s">
        <v>2270</v>
      </c>
      <c r="E32" s="43" t="s">
        <v>1844</v>
      </c>
      <c r="F32" s="42">
        <v>2</v>
      </c>
      <c r="G32" s="42" t="s">
        <v>2305</v>
      </c>
      <c r="H32" s="11" t="s">
        <v>2343</v>
      </c>
      <c r="I32" s="44">
        <v>41636</v>
      </c>
      <c r="J32" s="11">
        <v>28</v>
      </c>
      <c r="K32" s="11">
        <v>12</v>
      </c>
      <c r="L32" s="11">
        <v>2013</v>
      </c>
      <c r="M32" s="11" t="s">
        <v>2376</v>
      </c>
      <c r="N32" s="42" t="s">
        <v>7</v>
      </c>
      <c r="O32" s="43" t="s">
        <v>10</v>
      </c>
      <c r="P32" s="42" t="s">
        <v>588</v>
      </c>
      <c r="Q32" s="42" t="s">
        <v>588</v>
      </c>
      <c r="R32" s="42" t="s">
        <v>588</v>
      </c>
      <c r="S32" s="42" t="s">
        <v>588</v>
      </c>
      <c r="T32" s="42">
        <v>2</v>
      </c>
      <c r="U32" s="42">
        <v>3</v>
      </c>
      <c r="V32" s="45" t="s">
        <v>588</v>
      </c>
      <c r="W32" s="42" t="s">
        <v>588</v>
      </c>
      <c r="X32" s="42">
        <v>2</v>
      </c>
      <c r="Y32" s="42">
        <v>2</v>
      </c>
      <c r="Z32" s="42" t="s">
        <v>41</v>
      </c>
      <c r="AA32" s="44">
        <v>41636</v>
      </c>
      <c r="AB32" s="11">
        <v>28</v>
      </c>
      <c r="AC32" s="11">
        <v>12</v>
      </c>
      <c r="AD32" s="11">
        <v>2013</v>
      </c>
      <c r="AE32" s="13" t="s">
        <v>2376</v>
      </c>
      <c r="AF32" s="42" t="s">
        <v>7</v>
      </c>
      <c r="AG32" s="44">
        <v>41639</v>
      </c>
      <c r="AH32" s="11">
        <v>31</v>
      </c>
      <c r="AI32" s="11">
        <v>12</v>
      </c>
      <c r="AJ32" s="11">
        <v>2013</v>
      </c>
      <c r="AK32" s="13" t="s">
        <v>2409</v>
      </c>
      <c r="AL32" s="42" t="s">
        <v>7</v>
      </c>
      <c r="AM32" s="45" t="s">
        <v>41</v>
      </c>
      <c r="AN32" s="45" t="s">
        <v>8</v>
      </c>
      <c r="AO32" s="45" t="s">
        <v>32</v>
      </c>
      <c r="AP32" s="45" t="s">
        <v>588</v>
      </c>
      <c r="AQ32" s="45" t="s">
        <v>588</v>
      </c>
      <c r="AR32" s="45" t="s">
        <v>588</v>
      </c>
      <c r="AS32" s="45" t="s">
        <v>588</v>
      </c>
      <c r="AT32" s="45" t="s">
        <v>588</v>
      </c>
      <c r="AU32" s="45" t="s">
        <v>588</v>
      </c>
      <c r="AV32" s="45" t="s">
        <v>588</v>
      </c>
      <c r="AW32" s="45" t="s">
        <v>588</v>
      </c>
      <c r="AX32" s="45" t="s">
        <v>588</v>
      </c>
      <c r="AY32" s="45" t="s">
        <v>588</v>
      </c>
      <c r="AZ32" s="45" t="s">
        <v>588</v>
      </c>
      <c r="BA32" s="45" t="s">
        <v>588</v>
      </c>
      <c r="BB32" s="45" t="s">
        <v>588</v>
      </c>
      <c r="BC32" s="45" t="s">
        <v>588</v>
      </c>
      <c r="BD32" s="45" t="s">
        <v>588</v>
      </c>
      <c r="BE32" s="45" t="s">
        <v>588</v>
      </c>
      <c r="BF32" s="45" t="s">
        <v>588</v>
      </c>
      <c r="BG32" s="45" t="s">
        <v>588</v>
      </c>
      <c r="BH32" s="45" t="s">
        <v>588</v>
      </c>
      <c r="BI32" s="45" t="s">
        <v>588</v>
      </c>
      <c r="BJ32" s="45" t="s">
        <v>588</v>
      </c>
      <c r="BK32" s="45" t="s">
        <v>588</v>
      </c>
      <c r="BL32" s="45" t="s">
        <v>588</v>
      </c>
      <c r="BM32" s="45" t="s">
        <v>588</v>
      </c>
      <c r="BN32" s="45" t="s">
        <v>588</v>
      </c>
      <c r="BO32" s="45" t="s">
        <v>588</v>
      </c>
      <c r="BP32" s="42" t="s">
        <v>588</v>
      </c>
      <c r="BQ32" s="45" t="s">
        <v>588</v>
      </c>
      <c r="BR32" s="45" t="s">
        <v>588</v>
      </c>
      <c r="BS32" s="42" t="s">
        <v>8</v>
      </c>
      <c r="BT32" s="43" t="s">
        <v>120</v>
      </c>
      <c r="BU32" s="45" t="s">
        <v>588</v>
      </c>
      <c r="BV32" s="45" t="s">
        <v>588</v>
      </c>
      <c r="BW32" s="45" t="s">
        <v>588</v>
      </c>
      <c r="BX32" s="45" t="s">
        <v>588</v>
      </c>
    </row>
    <row r="33" spans="1:76" s="42" customFormat="1" x14ac:dyDescent="0.25">
      <c r="A33" s="42">
        <v>201314</v>
      </c>
      <c r="B33" s="43" t="s">
        <v>131</v>
      </c>
      <c r="C33" t="s">
        <v>37</v>
      </c>
      <c r="D33" s="42" t="s">
        <v>38</v>
      </c>
      <c r="E33" s="43" t="s">
        <v>1844</v>
      </c>
      <c r="F33" s="42">
        <v>1</v>
      </c>
      <c r="G33" s="42" t="s">
        <v>2306</v>
      </c>
      <c r="H33" s="11" t="s">
        <v>2344</v>
      </c>
      <c r="I33" s="44">
        <v>41626</v>
      </c>
      <c r="J33" s="11">
        <v>18</v>
      </c>
      <c r="K33" s="11">
        <v>12</v>
      </c>
      <c r="L33" s="11">
        <v>2013</v>
      </c>
      <c r="M33" s="11" t="s">
        <v>2357</v>
      </c>
      <c r="N33" s="42" t="s">
        <v>7</v>
      </c>
      <c r="O33" s="43" t="s">
        <v>36</v>
      </c>
      <c r="P33" s="42" t="s">
        <v>588</v>
      </c>
      <c r="Q33" s="42" t="s">
        <v>588</v>
      </c>
      <c r="R33" s="42" t="s">
        <v>588</v>
      </c>
      <c r="S33" s="42" t="s">
        <v>588</v>
      </c>
      <c r="T33" s="42">
        <v>2</v>
      </c>
      <c r="U33" s="42">
        <v>3</v>
      </c>
      <c r="V33" s="45" t="s">
        <v>588</v>
      </c>
      <c r="W33" s="42" t="s">
        <v>588</v>
      </c>
      <c r="X33" s="42">
        <v>3</v>
      </c>
      <c r="Y33" s="42">
        <v>3</v>
      </c>
      <c r="Z33" s="42" t="s">
        <v>41</v>
      </c>
      <c r="AA33" s="44">
        <v>41642</v>
      </c>
      <c r="AB33" s="11">
        <v>3</v>
      </c>
      <c r="AC33" s="11">
        <v>1</v>
      </c>
      <c r="AD33" s="11">
        <v>2014</v>
      </c>
      <c r="AE33" s="13" t="s">
        <v>2394</v>
      </c>
      <c r="AF33" s="42" t="s">
        <v>12</v>
      </c>
      <c r="AG33" s="44">
        <v>41654</v>
      </c>
      <c r="AH33" s="11">
        <v>15</v>
      </c>
      <c r="AI33" s="11">
        <v>1</v>
      </c>
      <c r="AJ33" s="11">
        <v>2014</v>
      </c>
      <c r="AK33" s="13" t="s">
        <v>2410</v>
      </c>
      <c r="AL33" s="42" t="s">
        <v>12</v>
      </c>
      <c r="AM33" s="45" t="s">
        <v>41</v>
      </c>
      <c r="AN33" s="45" t="s">
        <v>41</v>
      </c>
      <c r="AO33" s="45" t="s">
        <v>20</v>
      </c>
      <c r="AP33" s="45" t="s">
        <v>588</v>
      </c>
      <c r="AQ33" s="45" t="s">
        <v>588</v>
      </c>
      <c r="AR33" s="45" t="s">
        <v>588</v>
      </c>
      <c r="AS33" s="45" t="s">
        <v>588</v>
      </c>
      <c r="AT33" s="45" t="s">
        <v>588</v>
      </c>
      <c r="AU33" s="45" t="s">
        <v>588</v>
      </c>
      <c r="AV33" s="45" t="s">
        <v>588</v>
      </c>
      <c r="AW33" s="45" t="s">
        <v>588</v>
      </c>
      <c r="AX33" s="45" t="s">
        <v>588</v>
      </c>
      <c r="AY33" s="45" t="s">
        <v>588</v>
      </c>
      <c r="AZ33" s="45" t="s">
        <v>588</v>
      </c>
      <c r="BA33" s="45" t="s">
        <v>588</v>
      </c>
      <c r="BB33" s="45" t="s">
        <v>588</v>
      </c>
      <c r="BC33" s="45" t="s">
        <v>588</v>
      </c>
      <c r="BD33" s="45" t="s">
        <v>588</v>
      </c>
      <c r="BE33" s="45" t="s">
        <v>588</v>
      </c>
      <c r="BF33" s="45" t="s">
        <v>588</v>
      </c>
      <c r="BG33" s="45" t="s">
        <v>588</v>
      </c>
      <c r="BH33" s="45" t="s">
        <v>588</v>
      </c>
      <c r="BI33" s="45" t="s">
        <v>588</v>
      </c>
      <c r="BJ33" s="45" t="s">
        <v>588</v>
      </c>
      <c r="BK33" s="45" t="s">
        <v>588</v>
      </c>
      <c r="BL33" s="45" t="s">
        <v>588</v>
      </c>
      <c r="BM33" s="45" t="s">
        <v>588</v>
      </c>
      <c r="BN33" s="45" t="s">
        <v>588</v>
      </c>
      <c r="BO33" s="45" t="s">
        <v>588</v>
      </c>
      <c r="BP33" s="42" t="s">
        <v>588</v>
      </c>
      <c r="BQ33" s="45" t="s">
        <v>588</v>
      </c>
      <c r="BR33" s="45" t="s">
        <v>588</v>
      </c>
      <c r="BS33" s="42" t="s">
        <v>8</v>
      </c>
      <c r="BT33" s="43" t="s">
        <v>123</v>
      </c>
      <c r="BU33" s="45" t="s">
        <v>588</v>
      </c>
      <c r="BV33" s="45" t="s">
        <v>588</v>
      </c>
      <c r="BW33" s="45" t="s">
        <v>588</v>
      </c>
      <c r="BX33" s="45" t="s">
        <v>588</v>
      </c>
    </row>
    <row r="34" spans="1:76" s="42" customFormat="1" x14ac:dyDescent="0.25">
      <c r="A34" s="42">
        <v>201314</v>
      </c>
      <c r="B34" s="43" t="s">
        <v>131</v>
      </c>
      <c r="C34" t="s">
        <v>37</v>
      </c>
      <c r="D34" s="42" t="s">
        <v>38</v>
      </c>
      <c r="E34" s="43" t="s">
        <v>1844</v>
      </c>
      <c r="F34" s="42">
        <v>2</v>
      </c>
      <c r="G34" s="42" t="s">
        <v>2307</v>
      </c>
      <c r="H34" s="11" t="s">
        <v>2345</v>
      </c>
      <c r="I34" s="44">
        <v>41662</v>
      </c>
      <c r="J34" s="11">
        <v>23</v>
      </c>
      <c r="K34" s="11">
        <v>1</v>
      </c>
      <c r="L34" s="11">
        <v>2014</v>
      </c>
      <c r="M34" s="11" t="s">
        <v>2377</v>
      </c>
      <c r="N34" s="42" t="s">
        <v>12</v>
      </c>
      <c r="O34" s="43" t="s">
        <v>10</v>
      </c>
      <c r="P34" s="43">
        <v>-38.758887999999999</v>
      </c>
      <c r="Q34" s="43">
        <v>-145.70056199999999</v>
      </c>
      <c r="T34" s="42">
        <v>3</v>
      </c>
      <c r="U34" s="42">
        <v>3</v>
      </c>
      <c r="V34" s="45">
        <v>41660</v>
      </c>
      <c r="W34" s="42" t="s">
        <v>219</v>
      </c>
      <c r="X34" s="42">
        <v>3</v>
      </c>
      <c r="Y34" s="42">
        <v>2</v>
      </c>
      <c r="Z34" s="42" t="s">
        <v>8</v>
      </c>
      <c r="AA34" s="44">
        <v>41673</v>
      </c>
      <c r="AB34" s="11">
        <v>3</v>
      </c>
      <c r="AC34" s="11">
        <v>2</v>
      </c>
      <c r="AD34" s="11">
        <v>2014</v>
      </c>
      <c r="AE34" s="13" t="s">
        <v>2381</v>
      </c>
      <c r="AF34" s="42" t="s">
        <v>21</v>
      </c>
      <c r="AG34" s="45"/>
      <c r="AH34" s="11">
        <v>0</v>
      </c>
      <c r="AI34" s="11">
        <v>1</v>
      </c>
      <c r="AJ34" s="11">
        <v>1900</v>
      </c>
      <c r="AK34" s="13" t="s">
        <v>2246</v>
      </c>
      <c r="AM34" s="45"/>
      <c r="AP34" s="44">
        <v>41688</v>
      </c>
      <c r="AQ34" s="45" t="s">
        <v>21</v>
      </c>
      <c r="AR34" s="43" t="s">
        <v>195</v>
      </c>
      <c r="AS34" s="42">
        <v>3</v>
      </c>
      <c r="AT34" s="42">
        <v>3</v>
      </c>
      <c r="AU34" s="44">
        <v>41709</v>
      </c>
      <c r="AV34" s="44">
        <v>41710</v>
      </c>
      <c r="AW34" s="45" t="s">
        <v>22</v>
      </c>
      <c r="AX34" s="45" t="s">
        <v>41</v>
      </c>
      <c r="AY34" s="45" t="s">
        <v>41</v>
      </c>
      <c r="AZ34" s="45" t="s">
        <v>20</v>
      </c>
      <c r="BA34" s="45"/>
      <c r="BB34" s="45"/>
      <c r="BC34" s="45"/>
      <c r="BD34" s="45"/>
      <c r="BE34" s="45"/>
      <c r="BF34" s="45"/>
      <c r="BG34" s="45"/>
      <c r="BH34" s="45"/>
      <c r="BI34" s="45"/>
      <c r="BJ34" s="45"/>
      <c r="BK34" s="45"/>
      <c r="BL34" s="45"/>
      <c r="BM34" s="42">
        <v>6</v>
      </c>
      <c r="BN34" s="42">
        <v>6</v>
      </c>
      <c r="BO34" s="45" t="s">
        <v>8</v>
      </c>
      <c r="BP34" s="42">
        <v>2</v>
      </c>
      <c r="BQ34" s="44">
        <v>41726</v>
      </c>
      <c r="BR34" s="45" t="s">
        <v>22</v>
      </c>
      <c r="BS34" s="42" t="s">
        <v>8</v>
      </c>
      <c r="BT34" s="43" t="s">
        <v>120</v>
      </c>
      <c r="BU34" s="42" t="s">
        <v>8</v>
      </c>
      <c r="BV34" s="43" t="s">
        <v>120</v>
      </c>
      <c r="BW34" s="45"/>
      <c r="BX34" s="45"/>
    </row>
    <row r="35" spans="1:76" x14ac:dyDescent="0.25">
      <c r="A35">
        <v>201314</v>
      </c>
      <c r="B35" s="40" t="s">
        <v>2272</v>
      </c>
      <c r="C35" t="s">
        <v>365</v>
      </c>
      <c r="D35" t="s">
        <v>1844</v>
      </c>
      <c r="E35" s="46" t="s">
        <v>1844</v>
      </c>
      <c r="F35">
        <v>1</v>
      </c>
      <c r="G35" t="s">
        <v>2308</v>
      </c>
      <c r="H35" s="11" t="s">
        <v>2346</v>
      </c>
      <c r="I35" s="41">
        <v>41637</v>
      </c>
      <c r="J35" s="11">
        <v>29</v>
      </c>
      <c r="K35" s="11">
        <v>12</v>
      </c>
      <c r="L35" s="11">
        <v>2013</v>
      </c>
      <c r="M35" s="11" t="s">
        <v>2365</v>
      </c>
      <c r="N35" t="s">
        <v>7</v>
      </c>
      <c r="O35" s="40" t="s">
        <v>51</v>
      </c>
      <c r="P35" t="s">
        <v>588</v>
      </c>
      <c r="Q35" t="s">
        <v>588</v>
      </c>
      <c r="R35" t="s">
        <v>588</v>
      </c>
      <c r="S35" t="s">
        <v>588</v>
      </c>
      <c r="T35">
        <v>3</v>
      </c>
      <c r="U35">
        <v>3</v>
      </c>
      <c r="V35" s="1" t="s">
        <v>588</v>
      </c>
      <c r="W35" s="42" t="s">
        <v>588</v>
      </c>
      <c r="X35">
        <v>2</v>
      </c>
      <c r="Y35">
        <v>2</v>
      </c>
      <c r="Z35" t="s">
        <v>41</v>
      </c>
      <c r="AA35" s="41">
        <v>41637</v>
      </c>
      <c r="AB35" s="11">
        <v>29</v>
      </c>
      <c r="AC35" s="11">
        <v>12</v>
      </c>
      <c r="AD35" s="11">
        <v>2013</v>
      </c>
      <c r="AE35" s="13" t="s">
        <v>2365</v>
      </c>
      <c r="AF35" t="s">
        <v>7</v>
      </c>
      <c r="AG35" s="41">
        <v>41659</v>
      </c>
      <c r="AH35" s="11">
        <v>20</v>
      </c>
      <c r="AI35" s="11">
        <v>1</v>
      </c>
      <c r="AJ35" s="11">
        <v>2014</v>
      </c>
      <c r="AK35" s="13" t="s">
        <v>2411</v>
      </c>
      <c r="AL35" t="s">
        <v>12</v>
      </c>
      <c r="AM35" s="1" t="s">
        <v>41</v>
      </c>
      <c r="AN35" s="1" t="s">
        <v>41</v>
      </c>
      <c r="AO35" s="1" t="s">
        <v>20</v>
      </c>
      <c r="AP35" s="1" t="s">
        <v>588</v>
      </c>
      <c r="AQ35" s="1" t="s">
        <v>588</v>
      </c>
      <c r="AR35" s="1" t="s">
        <v>588</v>
      </c>
      <c r="AS35" s="1" t="s">
        <v>588</v>
      </c>
      <c r="AT35" s="1" t="s">
        <v>588</v>
      </c>
      <c r="AU35" s="1" t="s">
        <v>588</v>
      </c>
      <c r="AV35" s="1" t="s">
        <v>588</v>
      </c>
      <c r="AW35" s="1" t="s">
        <v>588</v>
      </c>
      <c r="AX35" s="1" t="s">
        <v>588</v>
      </c>
      <c r="AY35" s="1" t="s">
        <v>588</v>
      </c>
      <c r="AZ35" s="1" t="s">
        <v>588</v>
      </c>
      <c r="BA35" s="1" t="s">
        <v>588</v>
      </c>
      <c r="BB35" s="1" t="s">
        <v>588</v>
      </c>
      <c r="BC35" s="1" t="s">
        <v>588</v>
      </c>
      <c r="BD35" s="1" t="s">
        <v>588</v>
      </c>
      <c r="BE35" s="1" t="s">
        <v>588</v>
      </c>
      <c r="BF35" s="1" t="s">
        <v>588</v>
      </c>
      <c r="BG35" s="1" t="s">
        <v>588</v>
      </c>
      <c r="BH35" s="1" t="s">
        <v>588</v>
      </c>
      <c r="BI35" s="1" t="s">
        <v>588</v>
      </c>
      <c r="BJ35" s="1" t="s">
        <v>588</v>
      </c>
      <c r="BK35" s="1" t="s">
        <v>588</v>
      </c>
      <c r="BL35" s="1" t="s">
        <v>588</v>
      </c>
      <c r="BM35" s="1" t="s">
        <v>588</v>
      </c>
      <c r="BN35" s="1" t="s">
        <v>588</v>
      </c>
      <c r="BO35" s="1" t="s">
        <v>588</v>
      </c>
      <c r="BP35" t="s">
        <v>588</v>
      </c>
      <c r="BQ35" s="1" t="s">
        <v>588</v>
      </c>
      <c r="BR35" s="1" t="s">
        <v>588</v>
      </c>
      <c r="BS35" t="s">
        <v>8</v>
      </c>
      <c r="BT35" s="40" t="s">
        <v>123</v>
      </c>
      <c r="BU35" s="1" t="s">
        <v>588</v>
      </c>
      <c r="BV35" s="1" t="s">
        <v>588</v>
      </c>
      <c r="BW35" s="1" t="s">
        <v>588</v>
      </c>
      <c r="BX35" s="1" t="s">
        <v>588</v>
      </c>
    </row>
    <row r="36" spans="1:76" x14ac:dyDescent="0.25">
      <c r="A36">
        <v>201314</v>
      </c>
      <c r="B36" s="40" t="s">
        <v>132</v>
      </c>
      <c r="C36" t="s">
        <v>39</v>
      </c>
      <c r="D36" t="s">
        <v>1844</v>
      </c>
      <c r="E36" s="46" t="s">
        <v>1844</v>
      </c>
      <c r="F36">
        <v>1</v>
      </c>
      <c r="G36" t="s">
        <v>2309</v>
      </c>
      <c r="H36" s="11" t="s">
        <v>2347</v>
      </c>
      <c r="I36" s="41">
        <v>41630</v>
      </c>
      <c r="J36" s="11">
        <v>22</v>
      </c>
      <c r="K36" s="11">
        <v>12</v>
      </c>
      <c r="L36" s="11">
        <v>2013</v>
      </c>
      <c r="M36" s="11" t="s">
        <v>2378</v>
      </c>
      <c r="N36" t="s">
        <v>7</v>
      </c>
      <c r="O36" s="40" t="s">
        <v>10</v>
      </c>
      <c r="P36" s="42" t="s">
        <v>588</v>
      </c>
      <c r="Q36" s="42" t="s">
        <v>588</v>
      </c>
      <c r="R36" s="42" t="s">
        <v>588</v>
      </c>
      <c r="S36" s="42" t="s">
        <v>588</v>
      </c>
      <c r="T36">
        <v>3</v>
      </c>
      <c r="U36">
        <v>3</v>
      </c>
      <c r="V36" s="1">
        <v>41632</v>
      </c>
      <c r="W36" s="42" t="s">
        <v>223</v>
      </c>
      <c r="X36" s="42">
        <v>3</v>
      </c>
      <c r="Y36" s="42">
        <v>3</v>
      </c>
      <c r="Z36" s="42" t="s">
        <v>41</v>
      </c>
      <c r="AA36" s="41">
        <v>41632</v>
      </c>
      <c r="AB36" s="11">
        <v>24</v>
      </c>
      <c r="AC36" s="11">
        <v>12</v>
      </c>
      <c r="AD36" s="11">
        <v>2013</v>
      </c>
      <c r="AE36" s="13" t="s">
        <v>2385</v>
      </c>
      <c r="AF36" s="42" t="s">
        <v>7</v>
      </c>
      <c r="AG36" s="41">
        <v>41643</v>
      </c>
      <c r="AH36" s="11">
        <v>4</v>
      </c>
      <c r="AI36" s="11">
        <v>1</v>
      </c>
      <c r="AJ36" s="11">
        <v>2014</v>
      </c>
      <c r="AK36" s="13" t="s">
        <v>2405</v>
      </c>
      <c r="AL36" s="42" t="s">
        <v>12</v>
      </c>
      <c r="AM36" s="40" t="s">
        <v>11</v>
      </c>
      <c r="AN36" s="45" t="s">
        <v>8</v>
      </c>
      <c r="AO36" s="45" t="s">
        <v>41</v>
      </c>
      <c r="AP36" s="1" t="s">
        <v>588</v>
      </c>
      <c r="AQ36" s="1" t="s">
        <v>588</v>
      </c>
      <c r="AR36" s="1" t="s">
        <v>588</v>
      </c>
      <c r="AS36" s="45" t="s">
        <v>588</v>
      </c>
      <c r="AT36" s="45" t="s">
        <v>588</v>
      </c>
      <c r="AU36" s="1" t="s">
        <v>588</v>
      </c>
      <c r="AV36" s="1" t="s">
        <v>588</v>
      </c>
      <c r="AW36" s="1" t="s">
        <v>588</v>
      </c>
      <c r="AX36" s="1" t="s">
        <v>588</v>
      </c>
      <c r="AY36" s="1" t="s">
        <v>588</v>
      </c>
      <c r="AZ36" s="1" t="s">
        <v>588</v>
      </c>
      <c r="BA36" s="1" t="s">
        <v>588</v>
      </c>
      <c r="BB36" s="1" t="s">
        <v>588</v>
      </c>
      <c r="BC36" s="1" t="s">
        <v>588</v>
      </c>
      <c r="BD36" s="1" t="s">
        <v>588</v>
      </c>
      <c r="BE36" s="1" t="s">
        <v>588</v>
      </c>
      <c r="BF36" s="1" t="s">
        <v>588</v>
      </c>
      <c r="BG36" s="1" t="s">
        <v>588</v>
      </c>
      <c r="BH36" s="1" t="s">
        <v>588</v>
      </c>
      <c r="BI36" s="1" t="s">
        <v>588</v>
      </c>
      <c r="BJ36" s="1" t="s">
        <v>588</v>
      </c>
      <c r="BK36" s="1" t="s">
        <v>588</v>
      </c>
      <c r="BL36" s="1" t="s">
        <v>588</v>
      </c>
      <c r="BM36" s="45" t="s">
        <v>588</v>
      </c>
      <c r="BN36" s="45" t="s">
        <v>588</v>
      </c>
      <c r="BO36" s="1" t="s">
        <v>588</v>
      </c>
      <c r="BP36" t="s">
        <v>588</v>
      </c>
      <c r="BQ36" s="1" t="s">
        <v>588</v>
      </c>
      <c r="BR36" s="1" t="s">
        <v>588</v>
      </c>
      <c r="BS36" t="s">
        <v>8</v>
      </c>
      <c r="BT36" s="40" t="s">
        <v>120</v>
      </c>
      <c r="BU36" s="1" t="s">
        <v>588</v>
      </c>
      <c r="BV36" s="1" t="s">
        <v>588</v>
      </c>
      <c r="BW36" s="1" t="s">
        <v>588</v>
      </c>
      <c r="BX36" s="1" t="s">
        <v>588</v>
      </c>
    </row>
    <row r="37" spans="1:76" x14ac:dyDescent="0.25">
      <c r="A37">
        <v>201314</v>
      </c>
      <c r="B37" s="40" t="s">
        <v>132</v>
      </c>
      <c r="C37" t="s">
        <v>39</v>
      </c>
      <c r="D37" t="s">
        <v>1844</v>
      </c>
      <c r="E37" s="46" t="s">
        <v>1844</v>
      </c>
      <c r="F37">
        <v>2</v>
      </c>
      <c r="G37" t="s">
        <v>2310</v>
      </c>
      <c r="H37" s="11" t="s">
        <v>2348</v>
      </c>
      <c r="I37" s="41">
        <v>41655</v>
      </c>
      <c r="J37" s="11">
        <v>16</v>
      </c>
      <c r="K37" s="11">
        <v>1</v>
      </c>
      <c r="L37" s="11">
        <v>2014</v>
      </c>
      <c r="M37" s="11" t="s">
        <v>2379</v>
      </c>
      <c r="N37" t="s">
        <v>12</v>
      </c>
      <c r="O37" s="40" t="s">
        <v>10</v>
      </c>
      <c r="P37" s="42" t="s">
        <v>588</v>
      </c>
      <c r="Q37" s="42" t="s">
        <v>588</v>
      </c>
      <c r="R37" s="42" t="s">
        <v>588</v>
      </c>
      <c r="S37" s="42" t="s">
        <v>588</v>
      </c>
      <c r="T37">
        <v>3</v>
      </c>
      <c r="U37">
        <v>3</v>
      </c>
      <c r="V37" s="1">
        <v>41659</v>
      </c>
      <c r="W37" s="42" t="s">
        <v>223</v>
      </c>
      <c r="X37" s="42">
        <v>4</v>
      </c>
      <c r="Y37" s="42">
        <v>4</v>
      </c>
      <c r="Z37" t="s">
        <v>8</v>
      </c>
      <c r="AA37" s="41">
        <v>41670</v>
      </c>
      <c r="AB37" s="11">
        <v>31</v>
      </c>
      <c r="AC37" s="11">
        <v>1</v>
      </c>
      <c r="AD37" s="11">
        <v>2014</v>
      </c>
      <c r="AE37" s="13" t="s">
        <v>2380</v>
      </c>
      <c r="AF37" s="42" t="s">
        <v>12</v>
      </c>
      <c r="AG37" t="s">
        <v>588</v>
      </c>
      <c r="AH37" s="11" t="s">
        <v>588</v>
      </c>
      <c r="AI37" s="11" t="s">
        <v>588</v>
      </c>
      <c r="AJ37" s="11" t="s">
        <v>588</v>
      </c>
      <c r="AK37" s="13" t="s">
        <v>588</v>
      </c>
      <c r="AL37" s="42" t="s">
        <v>588</v>
      </c>
      <c r="AM37" s="1" t="s">
        <v>588</v>
      </c>
      <c r="AN37" s="45" t="s">
        <v>588</v>
      </c>
      <c r="AO37" s="45" t="s">
        <v>588</v>
      </c>
      <c r="AP37" s="41">
        <v>41687</v>
      </c>
      <c r="AQ37" t="s">
        <v>21</v>
      </c>
      <c r="AR37" s="40" t="s">
        <v>195</v>
      </c>
      <c r="AS37">
        <v>2</v>
      </c>
      <c r="AT37">
        <v>3</v>
      </c>
      <c r="AU37" s="41">
        <v>41687</v>
      </c>
      <c r="AV37" s="41">
        <v>41688</v>
      </c>
      <c r="AW37" s="1" t="s">
        <v>21</v>
      </c>
      <c r="AX37" s="1" t="s">
        <v>41</v>
      </c>
      <c r="AY37" s="1" t="s">
        <v>41</v>
      </c>
      <c r="AZ37" s="1" t="s">
        <v>20</v>
      </c>
      <c r="BA37" s="41">
        <v>41691</v>
      </c>
      <c r="BB37" s="41">
        <v>41709</v>
      </c>
      <c r="BC37" s="1" t="s">
        <v>22</v>
      </c>
      <c r="BD37" s="1" t="s">
        <v>41</v>
      </c>
      <c r="BE37" s="1" t="s">
        <v>41</v>
      </c>
      <c r="BF37" s="1" t="s">
        <v>20</v>
      </c>
      <c r="BG37" s="1" t="s">
        <v>588</v>
      </c>
      <c r="BH37" s="1" t="s">
        <v>588</v>
      </c>
      <c r="BI37" s="1" t="s">
        <v>588</v>
      </c>
      <c r="BJ37" s="1" t="s">
        <v>588</v>
      </c>
      <c r="BK37" s="1" t="s">
        <v>588</v>
      </c>
      <c r="BL37" s="1" t="s">
        <v>588</v>
      </c>
      <c r="BM37">
        <v>4</v>
      </c>
      <c r="BN37">
        <v>4</v>
      </c>
      <c r="BO37" s="1" t="s">
        <v>41</v>
      </c>
      <c r="BP37" t="s">
        <v>588</v>
      </c>
      <c r="BQ37" s="1" t="s">
        <v>588</v>
      </c>
      <c r="BR37" s="1" t="s">
        <v>588</v>
      </c>
      <c r="BS37" t="s">
        <v>8</v>
      </c>
      <c r="BT37" s="40" t="s">
        <v>120</v>
      </c>
      <c r="BU37" t="s">
        <v>8</v>
      </c>
      <c r="BV37" s="40" t="s">
        <v>123</v>
      </c>
      <c r="BW37" s="1" t="s">
        <v>588</v>
      </c>
      <c r="BX37" s="1" t="s">
        <v>588</v>
      </c>
    </row>
    <row r="38" spans="1:76" x14ac:dyDescent="0.25">
      <c r="A38">
        <v>201314</v>
      </c>
      <c r="B38" s="40" t="s">
        <v>45</v>
      </c>
      <c r="C38" t="s">
        <v>45</v>
      </c>
      <c r="D38" s="40" t="s">
        <v>2273</v>
      </c>
      <c r="E38" s="46" t="s">
        <v>1844</v>
      </c>
      <c r="F38">
        <v>1</v>
      </c>
      <c r="G38" t="s">
        <v>2311</v>
      </c>
      <c r="H38" s="11" t="s">
        <v>2311</v>
      </c>
      <c r="I38" s="41">
        <v>41630</v>
      </c>
      <c r="J38" s="11">
        <v>22</v>
      </c>
      <c r="K38" s="11">
        <v>12</v>
      </c>
      <c r="L38" s="11">
        <v>2013</v>
      </c>
      <c r="M38" s="11" t="s">
        <v>2378</v>
      </c>
      <c r="N38" t="s">
        <v>7</v>
      </c>
      <c r="O38" s="40" t="s">
        <v>10</v>
      </c>
      <c r="P38" s="42" t="s">
        <v>588</v>
      </c>
      <c r="Q38" s="42" t="s">
        <v>588</v>
      </c>
      <c r="R38" s="42" t="s">
        <v>588</v>
      </c>
      <c r="S38" s="42" t="s">
        <v>588</v>
      </c>
      <c r="T38">
        <v>3</v>
      </c>
      <c r="U38">
        <v>3</v>
      </c>
      <c r="V38" s="1" t="s">
        <v>588</v>
      </c>
      <c r="W38" s="42" t="s">
        <v>588</v>
      </c>
      <c r="X38" s="42">
        <v>3</v>
      </c>
      <c r="Y38" s="42">
        <v>3</v>
      </c>
      <c r="Z38" t="s">
        <v>647</v>
      </c>
      <c r="AA38" s="41">
        <v>41632</v>
      </c>
      <c r="AB38" s="11">
        <v>24</v>
      </c>
      <c r="AC38" s="11">
        <v>12</v>
      </c>
      <c r="AD38" s="11">
        <v>2013</v>
      </c>
      <c r="AE38" s="13" t="s">
        <v>2385</v>
      </c>
      <c r="AF38" s="42" t="s">
        <v>7</v>
      </c>
      <c r="AG38" s="41">
        <v>41655</v>
      </c>
      <c r="AH38" s="11">
        <v>16</v>
      </c>
      <c r="AI38" s="11">
        <v>1</v>
      </c>
      <c r="AJ38" s="11">
        <v>2014</v>
      </c>
      <c r="AK38" s="13" t="s">
        <v>2379</v>
      </c>
      <c r="AL38" s="42" t="s">
        <v>12</v>
      </c>
      <c r="AM38" s="1" t="s">
        <v>41</v>
      </c>
      <c r="AN38" s="45" t="s">
        <v>41</v>
      </c>
      <c r="AO38" s="45" t="s">
        <v>20</v>
      </c>
      <c r="AP38" s="1" t="s">
        <v>588</v>
      </c>
      <c r="AQ38" s="1" t="s">
        <v>588</v>
      </c>
      <c r="AR38" s="1" t="s">
        <v>588</v>
      </c>
      <c r="AS38" s="1" t="s">
        <v>588</v>
      </c>
      <c r="AT38" s="1" t="s">
        <v>588</v>
      </c>
      <c r="AU38" s="1" t="s">
        <v>588</v>
      </c>
      <c r="AV38" s="1" t="s">
        <v>588</v>
      </c>
      <c r="AW38" s="1" t="s">
        <v>588</v>
      </c>
      <c r="AX38" s="1" t="s">
        <v>588</v>
      </c>
      <c r="AY38" s="1" t="s">
        <v>588</v>
      </c>
      <c r="AZ38" s="1" t="s">
        <v>588</v>
      </c>
      <c r="BA38" s="1" t="s">
        <v>588</v>
      </c>
      <c r="BB38" s="1" t="s">
        <v>588</v>
      </c>
      <c r="BC38" s="1" t="s">
        <v>588</v>
      </c>
      <c r="BD38" s="1" t="s">
        <v>588</v>
      </c>
      <c r="BE38" s="1" t="s">
        <v>588</v>
      </c>
      <c r="BF38" s="1" t="s">
        <v>588</v>
      </c>
      <c r="BG38" s="1" t="s">
        <v>588</v>
      </c>
      <c r="BH38" s="1" t="s">
        <v>588</v>
      </c>
      <c r="BI38" s="1" t="s">
        <v>588</v>
      </c>
      <c r="BJ38" s="1" t="s">
        <v>588</v>
      </c>
      <c r="BK38" s="1" t="s">
        <v>588</v>
      </c>
      <c r="BL38" s="1" t="s">
        <v>588</v>
      </c>
      <c r="BM38" s="1" t="s">
        <v>588</v>
      </c>
      <c r="BN38" s="1" t="s">
        <v>588</v>
      </c>
      <c r="BO38" s="1" t="s">
        <v>588</v>
      </c>
      <c r="BP38" s="1" t="s">
        <v>588</v>
      </c>
      <c r="BQ38" s="1" t="s">
        <v>588</v>
      </c>
      <c r="BR38" s="1" t="s">
        <v>588</v>
      </c>
      <c r="BS38" t="s">
        <v>8</v>
      </c>
      <c r="BT38" s="40" t="s">
        <v>123</v>
      </c>
      <c r="BU38" s="1" t="s">
        <v>588</v>
      </c>
      <c r="BV38" s="1" t="s">
        <v>588</v>
      </c>
      <c r="BW38" s="1" t="s">
        <v>588</v>
      </c>
      <c r="BX38" s="1" t="s">
        <v>588</v>
      </c>
    </row>
    <row r="39" spans="1:76" x14ac:dyDescent="0.25">
      <c r="A39">
        <v>201314</v>
      </c>
      <c r="B39" s="40" t="s">
        <v>45</v>
      </c>
      <c r="C39" t="s">
        <v>45</v>
      </c>
      <c r="D39" s="40" t="s">
        <v>2273</v>
      </c>
      <c r="E39" s="46" t="s">
        <v>1844</v>
      </c>
      <c r="F39">
        <v>2</v>
      </c>
      <c r="G39" t="s">
        <v>2312</v>
      </c>
      <c r="H39" s="11" t="s">
        <v>2312</v>
      </c>
      <c r="I39" s="41">
        <v>41670</v>
      </c>
      <c r="J39" s="11">
        <v>31</v>
      </c>
      <c r="K39" s="11">
        <v>1</v>
      </c>
      <c r="L39" s="11">
        <v>2014</v>
      </c>
      <c r="M39" s="11" t="s">
        <v>2380</v>
      </c>
      <c r="N39" t="s">
        <v>12</v>
      </c>
      <c r="O39" s="40" t="s">
        <v>10</v>
      </c>
      <c r="P39" s="42" t="s">
        <v>588</v>
      </c>
      <c r="Q39" s="42" t="s">
        <v>588</v>
      </c>
      <c r="R39" s="42" t="s">
        <v>588</v>
      </c>
      <c r="S39" s="42" t="s">
        <v>588</v>
      </c>
      <c r="T39">
        <v>3</v>
      </c>
      <c r="U39">
        <v>3</v>
      </c>
      <c r="V39" s="1" t="s">
        <v>588</v>
      </c>
      <c r="W39" s="42" t="s">
        <v>588</v>
      </c>
      <c r="X39" s="42">
        <v>2</v>
      </c>
      <c r="Y39" s="42">
        <v>2</v>
      </c>
      <c r="Z39" t="s">
        <v>8</v>
      </c>
      <c r="AA39" s="41">
        <v>41682</v>
      </c>
      <c r="AB39" s="11">
        <v>12</v>
      </c>
      <c r="AC39" s="11">
        <v>2</v>
      </c>
      <c r="AD39" s="11">
        <v>2014</v>
      </c>
      <c r="AE39" s="13" t="s">
        <v>2383</v>
      </c>
      <c r="AF39" s="42" t="s">
        <v>21</v>
      </c>
      <c r="AG39" s="1" t="s">
        <v>588</v>
      </c>
      <c r="AH39" s="11" t="s">
        <v>588</v>
      </c>
      <c r="AI39" s="11" t="s">
        <v>588</v>
      </c>
      <c r="AJ39" s="11" t="s">
        <v>588</v>
      </c>
      <c r="AK39" s="13" t="s">
        <v>588</v>
      </c>
      <c r="AL39" s="42" t="s">
        <v>588</v>
      </c>
      <c r="AM39" s="1" t="s">
        <v>588</v>
      </c>
      <c r="AN39" s="45" t="s">
        <v>588</v>
      </c>
      <c r="AO39" s="45" t="s">
        <v>588</v>
      </c>
      <c r="AP39" s="41">
        <v>41687</v>
      </c>
      <c r="AQ39" s="1" t="s">
        <v>21</v>
      </c>
      <c r="AR39" s="40" t="s">
        <v>195</v>
      </c>
      <c r="AS39">
        <v>3</v>
      </c>
      <c r="AT39">
        <v>3</v>
      </c>
      <c r="AU39" s="41">
        <v>41687</v>
      </c>
      <c r="AV39" s="41">
        <v>41709</v>
      </c>
      <c r="AW39" s="1" t="s">
        <v>22</v>
      </c>
      <c r="AX39" s="1" t="s">
        <v>41</v>
      </c>
      <c r="AY39" s="1" t="s">
        <v>41</v>
      </c>
      <c r="AZ39" s="1" t="s">
        <v>20</v>
      </c>
      <c r="BA39" s="1" t="s">
        <v>588</v>
      </c>
      <c r="BB39" s="1" t="s">
        <v>588</v>
      </c>
      <c r="BC39" s="1" t="s">
        <v>588</v>
      </c>
      <c r="BD39" s="1" t="s">
        <v>588</v>
      </c>
      <c r="BE39" s="1" t="s">
        <v>588</v>
      </c>
      <c r="BF39" s="1" t="s">
        <v>588</v>
      </c>
      <c r="BG39" s="1" t="s">
        <v>588</v>
      </c>
      <c r="BH39" s="1" t="s">
        <v>588</v>
      </c>
      <c r="BI39" s="1" t="s">
        <v>588</v>
      </c>
      <c r="BJ39" s="1" t="s">
        <v>588</v>
      </c>
      <c r="BK39" s="1" t="s">
        <v>588</v>
      </c>
      <c r="BL39" s="1" t="s">
        <v>588</v>
      </c>
      <c r="BM39">
        <v>3</v>
      </c>
      <c r="BN39">
        <v>3</v>
      </c>
      <c r="BO39" s="1" t="s">
        <v>8</v>
      </c>
      <c r="BP39">
        <v>2</v>
      </c>
      <c r="BQ39" s="41">
        <v>41726</v>
      </c>
      <c r="BR39" s="1" t="s">
        <v>22</v>
      </c>
      <c r="BS39" t="s">
        <v>8</v>
      </c>
      <c r="BT39" s="40" t="s">
        <v>120</v>
      </c>
      <c r="BU39" t="s">
        <v>8</v>
      </c>
      <c r="BV39" s="40" t="s">
        <v>120</v>
      </c>
      <c r="BW39" s="1" t="s">
        <v>588</v>
      </c>
      <c r="BX39" s="1" t="s">
        <v>588</v>
      </c>
    </row>
    <row r="40" spans="1:76" x14ac:dyDescent="0.25">
      <c r="A40">
        <v>201314</v>
      </c>
      <c r="B40" s="40" t="s">
        <v>138</v>
      </c>
      <c r="C40" t="s">
        <v>56</v>
      </c>
      <c r="D40" t="s">
        <v>5</v>
      </c>
      <c r="E40" t="s">
        <v>2274</v>
      </c>
      <c r="F40">
        <v>1</v>
      </c>
      <c r="G40" t="s">
        <v>2313</v>
      </c>
      <c r="H40" s="11" t="s">
        <v>2349</v>
      </c>
      <c r="I40" s="41">
        <v>41641</v>
      </c>
      <c r="J40" s="11">
        <v>2</v>
      </c>
      <c r="K40" s="11">
        <v>1</v>
      </c>
      <c r="L40" s="11">
        <v>2014</v>
      </c>
      <c r="M40" s="11" t="s">
        <v>2373</v>
      </c>
      <c r="N40" t="s">
        <v>12</v>
      </c>
      <c r="O40" s="40" t="s">
        <v>10</v>
      </c>
      <c r="P40" s="42" t="s">
        <v>588</v>
      </c>
      <c r="Q40" s="42" t="s">
        <v>588</v>
      </c>
      <c r="R40" s="42" t="s">
        <v>588</v>
      </c>
      <c r="S40" s="42" t="s">
        <v>588</v>
      </c>
      <c r="T40">
        <v>1</v>
      </c>
      <c r="U40">
        <v>3</v>
      </c>
      <c r="V40" s="1" t="s">
        <v>588</v>
      </c>
      <c r="W40" s="42" t="s">
        <v>588</v>
      </c>
      <c r="X40" s="42">
        <v>3</v>
      </c>
      <c r="Y40" s="42">
        <v>3</v>
      </c>
      <c r="Z40" t="s">
        <v>41</v>
      </c>
      <c r="AA40" s="41">
        <v>41642</v>
      </c>
      <c r="AB40" s="11">
        <v>3</v>
      </c>
      <c r="AC40" s="11">
        <v>1</v>
      </c>
      <c r="AD40" s="11">
        <v>2014</v>
      </c>
      <c r="AE40" s="13" t="s">
        <v>2394</v>
      </c>
      <c r="AF40" s="42" t="s">
        <v>12</v>
      </c>
      <c r="AG40" s="41">
        <v>41644</v>
      </c>
      <c r="AH40" s="11">
        <v>5</v>
      </c>
      <c r="AI40" s="11">
        <v>1</v>
      </c>
      <c r="AJ40" s="11">
        <v>2014</v>
      </c>
      <c r="AK40" s="13" t="s">
        <v>2396</v>
      </c>
      <c r="AL40" s="42" t="s">
        <v>12</v>
      </c>
      <c r="AM40" s="1" t="s">
        <v>41</v>
      </c>
      <c r="AN40" s="45" t="s">
        <v>41</v>
      </c>
      <c r="AO40" s="45" t="s">
        <v>20</v>
      </c>
      <c r="AP40" s="1" t="s">
        <v>588</v>
      </c>
      <c r="AQ40" s="1" t="s">
        <v>588</v>
      </c>
      <c r="AR40" s="1" t="s">
        <v>588</v>
      </c>
      <c r="AS40" s="1" t="s">
        <v>588</v>
      </c>
      <c r="AT40" s="1" t="s">
        <v>588</v>
      </c>
      <c r="AU40" s="1" t="s">
        <v>588</v>
      </c>
      <c r="AV40" s="1" t="s">
        <v>588</v>
      </c>
      <c r="AW40" s="1" t="s">
        <v>588</v>
      </c>
      <c r="AX40" s="1" t="s">
        <v>588</v>
      </c>
      <c r="AY40" s="1" t="s">
        <v>588</v>
      </c>
      <c r="AZ40" s="1" t="s">
        <v>588</v>
      </c>
      <c r="BA40" s="1" t="s">
        <v>588</v>
      </c>
      <c r="BB40" s="1" t="s">
        <v>588</v>
      </c>
      <c r="BC40" s="1" t="s">
        <v>588</v>
      </c>
      <c r="BD40" s="1" t="s">
        <v>588</v>
      </c>
      <c r="BE40" s="1" t="s">
        <v>588</v>
      </c>
      <c r="BF40" s="1" t="s">
        <v>588</v>
      </c>
      <c r="BG40" s="1" t="s">
        <v>588</v>
      </c>
      <c r="BH40" s="1" t="s">
        <v>588</v>
      </c>
      <c r="BI40" s="1" t="s">
        <v>588</v>
      </c>
      <c r="BJ40" s="1" t="s">
        <v>588</v>
      </c>
      <c r="BK40" s="1" t="s">
        <v>588</v>
      </c>
      <c r="BL40" s="1" t="s">
        <v>588</v>
      </c>
      <c r="BM40" s="1" t="s">
        <v>588</v>
      </c>
      <c r="BN40" s="1" t="s">
        <v>588</v>
      </c>
      <c r="BO40" s="1" t="s">
        <v>588</v>
      </c>
      <c r="BP40" s="1" t="s">
        <v>588</v>
      </c>
      <c r="BQ40" s="1" t="s">
        <v>588</v>
      </c>
      <c r="BR40" s="1" t="s">
        <v>588</v>
      </c>
      <c r="BS40" t="s">
        <v>8</v>
      </c>
      <c r="BT40" s="40" t="s">
        <v>120</v>
      </c>
      <c r="BU40" s="1" t="s">
        <v>588</v>
      </c>
      <c r="BV40" s="1" t="s">
        <v>588</v>
      </c>
      <c r="BW40" s="1" t="s">
        <v>588</v>
      </c>
      <c r="BX40" s="1" t="s">
        <v>588</v>
      </c>
    </row>
    <row r="41" spans="1:76" x14ac:dyDescent="0.25">
      <c r="A41">
        <v>201314</v>
      </c>
      <c r="B41" s="40" t="s">
        <v>138</v>
      </c>
      <c r="C41" t="s">
        <v>56</v>
      </c>
      <c r="D41" t="s">
        <v>5</v>
      </c>
      <c r="E41" t="s">
        <v>2274</v>
      </c>
      <c r="F41">
        <v>2</v>
      </c>
      <c r="G41" t="s">
        <v>2314</v>
      </c>
      <c r="H41" s="11" t="s">
        <v>2350</v>
      </c>
      <c r="I41" s="41">
        <v>41658</v>
      </c>
      <c r="J41" s="11">
        <v>19</v>
      </c>
      <c r="K41" s="11">
        <v>1</v>
      </c>
      <c r="L41" s="11">
        <v>2014</v>
      </c>
      <c r="M41" s="11" t="s">
        <v>2375</v>
      </c>
      <c r="N41" t="s">
        <v>12</v>
      </c>
      <c r="O41" s="40" t="s">
        <v>10</v>
      </c>
      <c r="P41" s="42" t="s">
        <v>588</v>
      </c>
      <c r="Q41" s="42" t="s">
        <v>588</v>
      </c>
      <c r="R41" s="42" t="s">
        <v>588</v>
      </c>
      <c r="S41" s="42" t="s">
        <v>588</v>
      </c>
      <c r="T41">
        <v>3</v>
      </c>
      <c r="U41">
        <v>3</v>
      </c>
      <c r="V41" s="1" t="s">
        <v>588</v>
      </c>
      <c r="W41" s="42" t="s">
        <v>588</v>
      </c>
      <c r="X41" s="42">
        <v>2</v>
      </c>
      <c r="Y41" s="42">
        <v>2</v>
      </c>
      <c r="Z41" t="s">
        <v>41</v>
      </c>
      <c r="AA41" s="41">
        <v>41658</v>
      </c>
      <c r="AB41" s="11">
        <v>19</v>
      </c>
      <c r="AC41" s="11">
        <v>1</v>
      </c>
      <c r="AD41" s="11">
        <v>2014</v>
      </c>
      <c r="AE41" s="13" t="s">
        <v>2375</v>
      </c>
      <c r="AF41" s="42" t="s">
        <v>12</v>
      </c>
      <c r="AG41" s="41">
        <v>41664</v>
      </c>
      <c r="AH41" s="11">
        <v>25</v>
      </c>
      <c r="AI41" s="11">
        <v>1</v>
      </c>
      <c r="AJ41" s="11">
        <v>2014</v>
      </c>
      <c r="AK41" s="13" t="s">
        <v>2412</v>
      </c>
      <c r="AL41" s="42" t="s">
        <v>12</v>
      </c>
      <c r="AM41" s="1" t="s">
        <v>41</v>
      </c>
      <c r="AN41" s="45" t="s">
        <v>41</v>
      </c>
      <c r="AO41" s="45" t="s">
        <v>20</v>
      </c>
      <c r="AP41" s="1" t="s">
        <v>588</v>
      </c>
      <c r="AQ41" s="1" t="s">
        <v>588</v>
      </c>
      <c r="AR41" s="1" t="s">
        <v>588</v>
      </c>
      <c r="AS41" s="1" t="s">
        <v>588</v>
      </c>
      <c r="AT41" s="1" t="s">
        <v>588</v>
      </c>
      <c r="AU41" s="1" t="s">
        <v>588</v>
      </c>
      <c r="AV41" s="1" t="s">
        <v>588</v>
      </c>
      <c r="AW41" s="1" t="s">
        <v>588</v>
      </c>
      <c r="AX41" s="1" t="s">
        <v>588</v>
      </c>
      <c r="AY41" s="1" t="s">
        <v>588</v>
      </c>
      <c r="AZ41" s="1" t="s">
        <v>588</v>
      </c>
      <c r="BA41" s="1" t="s">
        <v>588</v>
      </c>
      <c r="BB41" s="1" t="s">
        <v>588</v>
      </c>
      <c r="BC41" s="1" t="s">
        <v>588</v>
      </c>
      <c r="BD41" s="1" t="s">
        <v>588</v>
      </c>
      <c r="BE41" s="1" t="s">
        <v>588</v>
      </c>
      <c r="BF41" s="1" t="s">
        <v>588</v>
      </c>
      <c r="BG41" s="1" t="s">
        <v>588</v>
      </c>
      <c r="BH41" s="1" t="s">
        <v>588</v>
      </c>
      <c r="BI41" s="1" t="s">
        <v>588</v>
      </c>
      <c r="BJ41" s="1" t="s">
        <v>588</v>
      </c>
      <c r="BK41" s="1" t="s">
        <v>588</v>
      </c>
      <c r="BL41" s="1" t="s">
        <v>588</v>
      </c>
      <c r="BM41" s="1" t="s">
        <v>588</v>
      </c>
      <c r="BN41" s="1" t="s">
        <v>588</v>
      </c>
      <c r="BO41" s="1" t="s">
        <v>588</v>
      </c>
      <c r="BP41" s="1" t="s">
        <v>588</v>
      </c>
      <c r="BQ41" s="1" t="s">
        <v>588</v>
      </c>
      <c r="BR41" s="1" t="s">
        <v>588</v>
      </c>
      <c r="BS41" t="s">
        <v>41</v>
      </c>
      <c r="BT41" s="40" t="s">
        <v>42</v>
      </c>
      <c r="BU41" s="1" t="s">
        <v>588</v>
      </c>
      <c r="BV41" s="1" t="s">
        <v>588</v>
      </c>
      <c r="BW41" s="1" t="s">
        <v>588</v>
      </c>
      <c r="BX41" s="1" t="s">
        <v>588</v>
      </c>
    </row>
    <row r="42" spans="1:76" x14ac:dyDescent="0.25">
      <c r="A42">
        <v>201314</v>
      </c>
      <c r="B42" s="40" t="s">
        <v>138</v>
      </c>
      <c r="C42" t="s">
        <v>56</v>
      </c>
      <c r="D42" t="s">
        <v>5</v>
      </c>
      <c r="E42" t="s">
        <v>2274</v>
      </c>
      <c r="F42">
        <v>3</v>
      </c>
      <c r="G42" t="s">
        <v>2315</v>
      </c>
      <c r="H42" s="11" t="s">
        <v>2351</v>
      </c>
      <c r="I42" s="41">
        <v>41673</v>
      </c>
      <c r="J42" s="11">
        <v>3</v>
      </c>
      <c r="K42" s="11">
        <v>2</v>
      </c>
      <c r="L42" s="11">
        <v>2014</v>
      </c>
      <c r="M42" s="11" t="s">
        <v>2381</v>
      </c>
      <c r="N42" t="s">
        <v>21</v>
      </c>
      <c r="O42" s="40" t="s">
        <v>10</v>
      </c>
      <c r="P42" s="42" t="s">
        <v>588</v>
      </c>
      <c r="Q42" s="42" t="s">
        <v>588</v>
      </c>
      <c r="R42" s="42" t="s">
        <v>588</v>
      </c>
      <c r="S42" s="42" t="s">
        <v>588</v>
      </c>
      <c r="T42">
        <v>3</v>
      </c>
      <c r="U42">
        <v>3</v>
      </c>
      <c r="V42" s="1">
        <v>41675</v>
      </c>
      <c r="W42" s="42" t="s">
        <v>223</v>
      </c>
      <c r="X42" s="42">
        <v>4</v>
      </c>
      <c r="Y42" s="42">
        <v>3</v>
      </c>
      <c r="Z42" t="s">
        <v>647</v>
      </c>
      <c r="AA42" s="41">
        <v>41682</v>
      </c>
      <c r="AB42" s="11">
        <v>12</v>
      </c>
      <c r="AC42" s="11">
        <v>2</v>
      </c>
      <c r="AD42" s="11">
        <v>2014</v>
      </c>
      <c r="AE42" s="13" t="s">
        <v>2383</v>
      </c>
      <c r="AF42" s="42" t="s">
        <v>21</v>
      </c>
      <c r="AG42" s="41">
        <v>41712</v>
      </c>
      <c r="AH42" s="11">
        <v>14</v>
      </c>
      <c r="AI42" s="11">
        <v>3</v>
      </c>
      <c r="AJ42" s="11">
        <v>2014</v>
      </c>
      <c r="AK42" s="13" t="s">
        <v>2413</v>
      </c>
      <c r="AL42" s="42" t="s">
        <v>22</v>
      </c>
      <c r="AM42" s="1" t="s">
        <v>41</v>
      </c>
      <c r="AN42" s="45" t="s">
        <v>41</v>
      </c>
      <c r="AO42" s="45" t="s">
        <v>20</v>
      </c>
      <c r="AP42" s="1" t="s">
        <v>588</v>
      </c>
      <c r="AQ42" s="1" t="s">
        <v>588</v>
      </c>
      <c r="AR42" s="1" t="s">
        <v>588</v>
      </c>
      <c r="AS42" s="1" t="s">
        <v>588</v>
      </c>
      <c r="AT42" s="1" t="s">
        <v>588</v>
      </c>
      <c r="AU42" s="1" t="s">
        <v>588</v>
      </c>
      <c r="AV42" s="1" t="s">
        <v>588</v>
      </c>
      <c r="AW42" s="1" t="s">
        <v>588</v>
      </c>
      <c r="AX42" s="1" t="s">
        <v>588</v>
      </c>
      <c r="AY42" s="1" t="s">
        <v>588</v>
      </c>
      <c r="AZ42" s="1" t="s">
        <v>588</v>
      </c>
      <c r="BA42" s="1" t="s">
        <v>588</v>
      </c>
      <c r="BB42" s="1" t="s">
        <v>588</v>
      </c>
      <c r="BC42" s="1" t="s">
        <v>588</v>
      </c>
      <c r="BD42" s="1" t="s">
        <v>588</v>
      </c>
      <c r="BE42" s="1" t="s">
        <v>588</v>
      </c>
      <c r="BF42" s="1" t="s">
        <v>588</v>
      </c>
      <c r="BG42" s="1" t="s">
        <v>588</v>
      </c>
      <c r="BH42" s="1" t="s">
        <v>588</v>
      </c>
      <c r="BI42" s="1" t="s">
        <v>588</v>
      </c>
      <c r="BJ42" s="1" t="s">
        <v>588</v>
      </c>
      <c r="BK42" s="1" t="s">
        <v>588</v>
      </c>
      <c r="BL42" s="1" t="s">
        <v>588</v>
      </c>
      <c r="BM42" s="1" t="s">
        <v>588</v>
      </c>
      <c r="BN42" s="1" t="s">
        <v>588</v>
      </c>
      <c r="BO42" s="1" t="s">
        <v>588</v>
      </c>
      <c r="BP42" s="1" t="s">
        <v>588</v>
      </c>
      <c r="BQ42" s="1" t="s">
        <v>588</v>
      </c>
      <c r="BR42" s="1" t="s">
        <v>588</v>
      </c>
      <c r="BS42" t="s">
        <v>8</v>
      </c>
      <c r="BT42" s="40" t="s">
        <v>120</v>
      </c>
      <c r="BU42" s="1" t="s">
        <v>588</v>
      </c>
      <c r="BV42" s="1" t="s">
        <v>588</v>
      </c>
      <c r="BW42" s="1" t="s">
        <v>588</v>
      </c>
      <c r="BX42" s="1" t="s">
        <v>588</v>
      </c>
    </row>
  </sheetData>
  <phoneticPr fontId="2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35A7-67F5-4776-B0F4-E456FB7DEAC0}">
  <dimension ref="A1:BX28"/>
  <sheetViews>
    <sheetView zoomScale="80" zoomScaleNormal="80" workbookViewId="0">
      <pane xSplit="8" ySplit="1" topLeftCell="AF5" activePane="bottomRight" state="frozen"/>
      <selection pane="topRight" activeCell="I1" sqref="I1"/>
      <selection pane="bottomLeft" activeCell="A2" sqref="A2"/>
      <selection pane="bottomRight" activeCell="AJ12" sqref="AJ12"/>
    </sheetView>
  </sheetViews>
  <sheetFormatPr defaultRowHeight="15" x14ac:dyDescent="0.25"/>
  <cols>
    <col min="1" max="1" width="9.28515625" style="11" bestFit="1" customWidth="1"/>
    <col min="2" max="2" width="28.7109375" style="11" bestFit="1" customWidth="1"/>
    <col min="3" max="3" width="39.42578125" style="11" bestFit="1" customWidth="1"/>
    <col min="4" max="5" width="9.140625" style="11"/>
    <col min="6" max="6" width="9.28515625" style="11" bestFit="1" customWidth="1"/>
    <col min="7" max="7" width="9.140625" style="11"/>
    <col min="8" max="8" width="72.7109375" style="11" bestFit="1" customWidth="1"/>
    <col min="9" max="9" width="15.7109375" style="11" bestFit="1" customWidth="1"/>
    <col min="10" max="10" width="4.5703125" style="11" bestFit="1" customWidth="1"/>
    <col min="11" max="11" width="6.7109375" style="11" bestFit="1" customWidth="1"/>
    <col min="12" max="12" width="5.5703125" style="11" bestFit="1" customWidth="1"/>
    <col min="13" max="13" width="21" style="11" bestFit="1" customWidth="1"/>
    <col min="14" max="15" width="9.140625" style="11"/>
    <col min="16" max="17" width="9.28515625" style="11" bestFit="1" customWidth="1"/>
    <col min="18" max="19" width="9.140625" style="11"/>
    <col min="20" max="21" width="9.28515625" style="11" bestFit="1" customWidth="1"/>
    <col min="22" max="22" width="11.28515625" style="11" bestFit="1" customWidth="1"/>
    <col min="23" max="23" width="9.140625" style="11"/>
    <col min="24" max="25" width="9.28515625" style="11" bestFit="1" customWidth="1"/>
    <col min="26" max="26" width="9.140625" style="11"/>
    <col min="27" max="27" width="11.28515625" style="11" bestFit="1" customWidth="1"/>
    <col min="28" max="28" width="4.5703125" style="11" bestFit="1" customWidth="1"/>
    <col min="29" max="29" width="6.7109375" style="11" bestFit="1" customWidth="1"/>
    <col min="30" max="30" width="5.5703125" style="11" bestFit="1" customWidth="1"/>
    <col min="31" max="31" width="24.28515625" style="11" bestFit="1" customWidth="1"/>
    <col min="32" max="32" width="9.140625" style="11"/>
    <col min="33" max="33" width="11.28515625" style="11" bestFit="1" customWidth="1"/>
    <col min="34" max="36" width="8.42578125" style="11" bestFit="1" customWidth="1"/>
    <col min="37" max="37" width="22.7109375" style="11" bestFit="1" customWidth="1"/>
    <col min="38" max="41" width="9.140625" style="11"/>
    <col min="42" max="42" width="11.28515625" style="11" bestFit="1" customWidth="1"/>
    <col min="43" max="44" width="9.140625" style="11"/>
    <col min="45" max="46" width="9.28515625" style="11" bestFit="1" customWidth="1"/>
    <col min="47" max="48" width="11.28515625" style="11" bestFit="1" customWidth="1"/>
    <col min="49" max="52" width="9.140625" style="11"/>
    <col min="53" max="54" width="11.28515625" style="11" bestFit="1" customWidth="1"/>
    <col min="55" max="58" width="9.140625" style="11"/>
    <col min="59" max="60" width="11.28515625" style="11" bestFit="1" customWidth="1"/>
    <col min="61" max="64" width="9.140625" style="11"/>
    <col min="65" max="66" width="9.28515625" style="11" bestFit="1" customWidth="1"/>
    <col min="67" max="67" width="9.140625" style="11"/>
    <col min="68" max="68" width="9.28515625" style="11" bestFit="1" customWidth="1"/>
    <col min="69" max="69" width="11.28515625" style="11" bestFit="1" customWidth="1"/>
    <col min="70" max="16384" width="9.140625" style="11"/>
  </cols>
  <sheetData>
    <row r="1" spans="1:76" s="15" customFormat="1" x14ac:dyDescent="0.25">
      <c r="A1" s="12" t="s">
        <v>0</v>
      </c>
      <c r="B1" s="12" t="s">
        <v>139</v>
      </c>
      <c r="C1" s="49" t="s">
        <v>231</v>
      </c>
      <c r="D1" s="12" t="s">
        <v>1</v>
      </c>
      <c r="E1" s="12" t="s">
        <v>2</v>
      </c>
      <c r="F1" s="12" t="s">
        <v>140</v>
      </c>
      <c r="G1" s="12" t="s">
        <v>141</v>
      </c>
      <c r="H1" s="49" t="s">
        <v>593</v>
      </c>
      <c r="I1" s="12" t="s">
        <v>142</v>
      </c>
      <c r="J1" s="12" t="s">
        <v>589</v>
      </c>
      <c r="K1" s="12" t="s">
        <v>590</v>
      </c>
      <c r="L1" s="12" t="s">
        <v>591</v>
      </c>
      <c r="M1" s="49" t="s">
        <v>592</v>
      </c>
      <c r="N1" s="12" t="s">
        <v>143</v>
      </c>
      <c r="O1" s="12" t="s">
        <v>3</v>
      </c>
      <c r="P1" s="12" t="s">
        <v>212</v>
      </c>
      <c r="Q1" s="12"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49" t="s">
        <v>594</v>
      </c>
      <c r="AF1" s="12" t="s">
        <v>154</v>
      </c>
      <c r="AG1" s="12" t="s">
        <v>155</v>
      </c>
      <c r="AH1" s="12" t="s">
        <v>589</v>
      </c>
      <c r="AI1" s="12" t="s">
        <v>590</v>
      </c>
      <c r="AJ1" s="12" t="s">
        <v>591</v>
      </c>
      <c r="AK1" s="4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596</v>
      </c>
      <c r="BU1" s="12" t="s">
        <v>190</v>
      </c>
      <c r="BV1" s="12" t="s">
        <v>597</v>
      </c>
      <c r="BW1" s="12" t="s">
        <v>192</v>
      </c>
      <c r="BX1" s="12" t="s">
        <v>193</v>
      </c>
    </row>
    <row r="2" spans="1:76" x14ac:dyDescent="0.25">
      <c r="A2" s="11">
        <v>201213</v>
      </c>
      <c r="B2" s="11" t="s">
        <v>2251</v>
      </c>
      <c r="C2" t="s">
        <v>57</v>
      </c>
      <c r="D2" s="28" t="s">
        <v>2414</v>
      </c>
      <c r="E2" s="28" t="s">
        <v>2252</v>
      </c>
      <c r="F2" s="11">
        <v>1</v>
      </c>
      <c r="G2" s="11" t="s">
        <v>2446</v>
      </c>
      <c r="H2" s="11" t="s">
        <v>2447</v>
      </c>
      <c r="I2" s="13">
        <v>41319</v>
      </c>
      <c r="J2" s="11">
        <v>14</v>
      </c>
      <c r="K2" s="11">
        <v>2</v>
      </c>
      <c r="L2" s="11">
        <v>2013</v>
      </c>
      <c r="M2" s="11" t="s">
        <v>2448</v>
      </c>
      <c r="N2" s="11" t="s">
        <v>21</v>
      </c>
      <c r="O2" s="11" t="s">
        <v>10</v>
      </c>
      <c r="P2" s="39" t="s">
        <v>588</v>
      </c>
      <c r="Q2" s="39" t="s">
        <v>588</v>
      </c>
      <c r="R2" s="11" t="s">
        <v>588</v>
      </c>
      <c r="S2" s="11" t="s">
        <v>588</v>
      </c>
      <c r="T2" s="11">
        <v>3</v>
      </c>
      <c r="U2" s="11">
        <v>3</v>
      </c>
      <c r="V2" s="11" t="s">
        <v>588</v>
      </c>
      <c r="W2" s="11" t="s">
        <v>588</v>
      </c>
      <c r="X2" s="11">
        <v>3</v>
      </c>
      <c r="Y2" s="11">
        <v>3</v>
      </c>
      <c r="Z2" s="11" t="s">
        <v>41</v>
      </c>
      <c r="AA2" s="13">
        <v>41329</v>
      </c>
      <c r="AB2" s="11">
        <v>24</v>
      </c>
      <c r="AC2" s="11">
        <v>2</v>
      </c>
      <c r="AD2" s="11">
        <v>2013</v>
      </c>
      <c r="AE2" s="13" t="s">
        <v>2449</v>
      </c>
      <c r="AF2" s="11" t="s">
        <v>21</v>
      </c>
      <c r="AG2" s="13">
        <v>41338</v>
      </c>
      <c r="AH2" s="11">
        <v>5</v>
      </c>
      <c r="AI2" s="11">
        <v>3</v>
      </c>
      <c r="AJ2" s="11">
        <v>2013</v>
      </c>
      <c r="AK2" s="13" t="s">
        <v>2430</v>
      </c>
      <c r="AL2" s="11" t="s">
        <v>22</v>
      </c>
      <c r="AM2" s="13" t="s">
        <v>25</v>
      </c>
      <c r="AN2" s="11" t="s">
        <v>2415</v>
      </c>
      <c r="AO2" s="13" t="s">
        <v>588</v>
      </c>
      <c r="AP2" s="47" t="s">
        <v>588</v>
      </c>
      <c r="AQ2" s="13" t="s">
        <v>588</v>
      </c>
      <c r="AR2" s="48" t="s">
        <v>588</v>
      </c>
      <c r="AS2" s="11" t="s">
        <v>588</v>
      </c>
      <c r="AT2" s="11" t="s">
        <v>588</v>
      </c>
      <c r="AU2" s="47" t="s">
        <v>588</v>
      </c>
      <c r="AV2" s="47" t="s">
        <v>588</v>
      </c>
      <c r="AW2" s="13" t="s">
        <v>588</v>
      </c>
      <c r="AX2" s="13" t="s">
        <v>588</v>
      </c>
      <c r="AY2" s="13" t="s">
        <v>588</v>
      </c>
      <c r="AZ2" s="13" t="s">
        <v>588</v>
      </c>
      <c r="BA2" s="47" t="s">
        <v>588</v>
      </c>
      <c r="BB2" s="47" t="s">
        <v>588</v>
      </c>
      <c r="BC2" s="13" t="s">
        <v>588</v>
      </c>
      <c r="BD2" s="13" t="s">
        <v>588</v>
      </c>
      <c r="BE2" s="13" t="s">
        <v>588</v>
      </c>
      <c r="BF2" s="13" t="s">
        <v>588</v>
      </c>
      <c r="BG2" s="13" t="s">
        <v>588</v>
      </c>
      <c r="BH2" s="13" t="s">
        <v>588</v>
      </c>
      <c r="BI2" s="13" t="s">
        <v>588</v>
      </c>
      <c r="BJ2" s="13" t="s">
        <v>588</v>
      </c>
      <c r="BK2" s="13" t="s">
        <v>588</v>
      </c>
      <c r="BL2" s="13" t="s">
        <v>588</v>
      </c>
      <c r="BM2" s="11" t="s">
        <v>588</v>
      </c>
      <c r="BN2" s="11" t="s">
        <v>588</v>
      </c>
      <c r="BO2" s="13" t="s">
        <v>588</v>
      </c>
      <c r="BP2" s="13" t="s">
        <v>588</v>
      </c>
      <c r="BQ2" s="13" t="s">
        <v>588</v>
      </c>
      <c r="BR2" s="13" t="s">
        <v>588</v>
      </c>
      <c r="BS2" s="11" t="s">
        <v>8</v>
      </c>
      <c r="BT2" s="11" t="s">
        <v>120</v>
      </c>
      <c r="BU2" s="13" t="s">
        <v>588</v>
      </c>
      <c r="BV2" s="48" t="s">
        <v>588</v>
      </c>
      <c r="BW2" s="13" t="s">
        <v>588</v>
      </c>
      <c r="BX2" s="13" t="s">
        <v>588</v>
      </c>
    </row>
    <row r="3" spans="1:76" s="28" customFormat="1" x14ac:dyDescent="0.25">
      <c r="A3" s="28">
        <v>201213</v>
      </c>
      <c r="B3" s="11" t="s">
        <v>2257</v>
      </c>
      <c r="C3" t="s">
        <v>23</v>
      </c>
      <c r="D3" s="28" t="s">
        <v>24</v>
      </c>
      <c r="E3" s="28" t="s">
        <v>588</v>
      </c>
      <c r="F3" s="28">
        <v>1</v>
      </c>
      <c r="G3" s="28" t="s">
        <v>2450</v>
      </c>
      <c r="H3" s="11" t="s">
        <v>2451</v>
      </c>
      <c r="I3" s="13">
        <v>41221</v>
      </c>
      <c r="J3" s="11">
        <v>8</v>
      </c>
      <c r="K3" s="11">
        <v>11</v>
      </c>
      <c r="L3" s="11">
        <v>2012</v>
      </c>
      <c r="M3" s="11" t="s">
        <v>2452</v>
      </c>
      <c r="N3" s="28" t="s">
        <v>17</v>
      </c>
      <c r="O3" s="33" t="s">
        <v>10</v>
      </c>
      <c r="P3" s="37" t="s">
        <v>588</v>
      </c>
      <c r="Q3" s="37" t="s">
        <v>588</v>
      </c>
      <c r="R3" s="28" t="s">
        <v>588</v>
      </c>
      <c r="S3" s="28" t="s">
        <v>588</v>
      </c>
      <c r="T3" s="28">
        <v>3</v>
      </c>
      <c r="U3" s="28">
        <v>3</v>
      </c>
      <c r="V3" s="29" t="s">
        <v>588</v>
      </c>
      <c r="W3" s="28" t="s">
        <v>588</v>
      </c>
      <c r="X3" s="28">
        <v>4</v>
      </c>
      <c r="Y3" s="28">
        <v>4</v>
      </c>
      <c r="Z3" s="28" t="s">
        <v>8</v>
      </c>
      <c r="AA3" s="13">
        <v>41233</v>
      </c>
      <c r="AB3" s="11">
        <v>20</v>
      </c>
      <c r="AC3" s="11">
        <v>11</v>
      </c>
      <c r="AD3" s="11">
        <v>2012</v>
      </c>
      <c r="AE3" s="13" t="s">
        <v>2453</v>
      </c>
      <c r="AF3" s="28" t="s">
        <v>17</v>
      </c>
      <c r="AG3" s="34" t="s">
        <v>588</v>
      </c>
      <c r="AH3" s="11" t="s">
        <v>588</v>
      </c>
      <c r="AI3" s="11" t="s">
        <v>588</v>
      </c>
      <c r="AJ3" s="11" t="s">
        <v>588</v>
      </c>
      <c r="AK3" s="13" t="s">
        <v>588</v>
      </c>
      <c r="AL3" s="28" t="s">
        <v>588</v>
      </c>
      <c r="AM3" s="29" t="s">
        <v>588</v>
      </c>
      <c r="AN3" s="28" t="s">
        <v>588</v>
      </c>
      <c r="AO3" s="33" t="s">
        <v>588</v>
      </c>
      <c r="AP3" s="13">
        <v>41249</v>
      </c>
      <c r="AQ3" s="29" t="s">
        <v>7</v>
      </c>
      <c r="AR3" s="11" t="s">
        <v>195</v>
      </c>
      <c r="AS3" s="28">
        <v>2</v>
      </c>
      <c r="AT3" s="28">
        <v>3</v>
      </c>
      <c r="AU3" s="13">
        <v>41249</v>
      </c>
      <c r="AV3" s="13">
        <v>41263</v>
      </c>
      <c r="AW3" s="29" t="s">
        <v>7</v>
      </c>
      <c r="AX3" s="29" t="s">
        <v>41</v>
      </c>
      <c r="AY3" s="29" t="s">
        <v>41</v>
      </c>
      <c r="AZ3" s="29" t="s">
        <v>20</v>
      </c>
      <c r="BA3" s="29" t="s">
        <v>588</v>
      </c>
      <c r="BB3" s="29" t="s">
        <v>588</v>
      </c>
      <c r="BC3" s="29" t="s">
        <v>588</v>
      </c>
      <c r="BD3" s="29" t="s">
        <v>588</v>
      </c>
      <c r="BE3" s="29" t="s">
        <v>588</v>
      </c>
      <c r="BF3" s="29" t="s">
        <v>588</v>
      </c>
      <c r="BG3" s="29" t="s">
        <v>588</v>
      </c>
      <c r="BH3" s="29" t="s">
        <v>588</v>
      </c>
      <c r="BI3" s="29" t="s">
        <v>588</v>
      </c>
      <c r="BJ3" s="29" t="s">
        <v>588</v>
      </c>
      <c r="BK3" s="29" t="s">
        <v>588</v>
      </c>
      <c r="BL3" s="29" t="s">
        <v>588</v>
      </c>
      <c r="BM3" s="28">
        <v>6</v>
      </c>
      <c r="BN3" s="28">
        <v>6</v>
      </c>
      <c r="BO3" s="29" t="s">
        <v>8</v>
      </c>
      <c r="BP3" s="28">
        <v>1</v>
      </c>
      <c r="BQ3" s="13">
        <v>41305</v>
      </c>
      <c r="BR3" s="29" t="s">
        <v>12</v>
      </c>
      <c r="BS3" s="28" t="s">
        <v>8</v>
      </c>
      <c r="BT3" s="11" t="s">
        <v>120</v>
      </c>
      <c r="BU3" s="28" t="s">
        <v>8</v>
      </c>
      <c r="BV3" s="11" t="s">
        <v>120</v>
      </c>
      <c r="BW3" s="29" t="s">
        <v>588</v>
      </c>
      <c r="BX3" s="29" t="s">
        <v>588</v>
      </c>
    </row>
    <row r="4" spans="1:76" s="28" customFormat="1" x14ac:dyDescent="0.25">
      <c r="A4" s="28">
        <v>201213</v>
      </c>
      <c r="B4" s="11" t="s">
        <v>122</v>
      </c>
      <c r="C4" t="s">
        <v>14</v>
      </c>
      <c r="D4" s="28" t="s">
        <v>15</v>
      </c>
      <c r="E4" s="28" t="s">
        <v>1844</v>
      </c>
      <c r="F4" s="28">
        <v>1</v>
      </c>
      <c r="G4" s="28" t="s">
        <v>2454</v>
      </c>
      <c r="H4" s="11" t="s">
        <v>2455</v>
      </c>
      <c r="I4" s="13">
        <v>41281</v>
      </c>
      <c r="J4" s="11">
        <v>7</v>
      </c>
      <c r="K4" s="11">
        <v>1</v>
      </c>
      <c r="L4" s="11">
        <v>2013</v>
      </c>
      <c r="M4" s="11" t="s">
        <v>2456</v>
      </c>
      <c r="N4" s="28" t="s">
        <v>12</v>
      </c>
      <c r="O4" s="11" t="s">
        <v>10</v>
      </c>
      <c r="P4" s="11">
        <v>-38.395859000000002</v>
      </c>
      <c r="Q4" s="11">
        <v>145.34849500000001</v>
      </c>
      <c r="R4" s="28" t="s">
        <v>588</v>
      </c>
      <c r="S4" s="28" t="s">
        <v>588</v>
      </c>
      <c r="T4" s="28">
        <v>3</v>
      </c>
      <c r="U4" s="28">
        <v>3</v>
      </c>
      <c r="V4" s="29">
        <v>41274</v>
      </c>
      <c r="W4" s="28" t="s">
        <v>219</v>
      </c>
      <c r="X4" s="28">
        <v>3</v>
      </c>
      <c r="Y4" s="28">
        <v>3</v>
      </c>
      <c r="Z4" s="28" t="s">
        <v>8</v>
      </c>
      <c r="AA4" s="13">
        <v>41281</v>
      </c>
      <c r="AB4" s="11">
        <v>7</v>
      </c>
      <c r="AC4" s="11">
        <v>1</v>
      </c>
      <c r="AD4" s="11">
        <v>2013</v>
      </c>
      <c r="AE4" s="13" t="s">
        <v>2456</v>
      </c>
      <c r="AF4" s="28" t="s">
        <v>12</v>
      </c>
      <c r="AG4" s="34" t="s">
        <v>588</v>
      </c>
      <c r="AH4" s="11" t="s">
        <v>588</v>
      </c>
      <c r="AI4" s="11" t="s">
        <v>588</v>
      </c>
      <c r="AJ4" s="11" t="s">
        <v>588</v>
      </c>
      <c r="AK4" s="13" t="s">
        <v>588</v>
      </c>
      <c r="AL4" s="28" t="s">
        <v>588</v>
      </c>
      <c r="AM4" s="29" t="s">
        <v>588</v>
      </c>
      <c r="AN4" s="28" t="s">
        <v>588</v>
      </c>
      <c r="AO4" s="33" t="s">
        <v>588</v>
      </c>
      <c r="AP4" s="13">
        <v>41302</v>
      </c>
      <c r="AQ4" s="29" t="s">
        <v>12</v>
      </c>
      <c r="AR4" s="11" t="s">
        <v>195</v>
      </c>
      <c r="AS4" s="28">
        <v>3</v>
      </c>
      <c r="AT4" s="28">
        <v>3</v>
      </c>
      <c r="AU4" s="13">
        <v>41302</v>
      </c>
      <c r="AV4" s="13">
        <v>41317</v>
      </c>
      <c r="AW4" s="29" t="s">
        <v>21</v>
      </c>
      <c r="AX4" s="29" t="s">
        <v>41</v>
      </c>
      <c r="AY4" s="29" t="s">
        <v>41</v>
      </c>
      <c r="AZ4" s="29" t="s">
        <v>20</v>
      </c>
      <c r="BA4" s="13">
        <v>41325</v>
      </c>
      <c r="BB4" s="29" t="s">
        <v>1996</v>
      </c>
      <c r="BC4" s="29" t="s">
        <v>588</v>
      </c>
      <c r="BD4" s="29" t="s">
        <v>588</v>
      </c>
      <c r="BE4" s="29" t="s">
        <v>588</v>
      </c>
      <c r="BF4" s="29" t="s">
        <v>588</v>
      </c>
      <c r="BG4" s="13">
        <v>41325</v>
      </c>
      <c r="BH4" s="29" t="s">
        <v>1996</v>
      </c>
      <c r="BI4" s="29" t="s">
        <v>588</v>
      </c>
      <c r="BJ4" s="29" t="s">
        <v>588</v>
      </c>
      <c r="BK4" s="29" t="s">
        <v>588</v>
      </c>
      <c r="BL4" s="29" t="s">
        <v>588</v>
      </c>
      <c r="BM4" s="28">
        <v>4</v>
      </c>
      <c r="BN4" s="28">
        <v>4</v>
      </c>
      <c r="BO4" s="29" t="s">
        <v>647</v>
      </c>
      <c r="BP4" s="28" t="s">
        <v>588</v>
      </c>
      <c r="BQ4" s="29" t="s">
        <v>588</v>
      </c>
      <c r="BR4" s="29" t="s">
        <v>588</v>
      </c>
      <c r="BS4" s="28" t="s">
        <v>8</v>
      </c>
      <c r="BT4" s="11" t="s">
        <v>120</v>
      </c>
      <c r="BU4" s="28" t="s">
        <v>8</v>
      </c>
      <c r="BV4" s="11" t="s">
        <v>2416</v>
      </c>
      <c r="BW4" s="29" t="s">
        <v>2417</v>
      </c>
      <c r="BX4" s="29" t="s">
        <v>588</v>
      </c>
    </row>
    <row r="5" spans="1:76" s="28" customFormat="1" x14ac:dyDescent="0.25">
      <c r="A5" s="28">
        <v>201213</v>
      </c>
      <c r="B5" s="28" t="s">
        <v>2418</v>
      </c>
      <c r="C5" t="s">
        <v>265</v>
      </c>
      <c r="D5" s="28" t="s">
        <v>1992</v>
      </c>
      <c r="E5" s="28" t="s">
        <v>1440</v>
      </c>
      <c r="F5" s="28">
        <v>1</v>
      </c>
      <c r="G5" s="28" t="s">
        <v>2457</v>
      </c>
      <c r="H5" s="11" t="s">
        <v>2458</v>
      </c>
      <c r="I5" s="29">
        <v>41276</v>
      </c>
      <c r="J5" s="11">
        <v>2</v>
      </c>
      <c r="K5" s="11">
        <v>1</v>
      </c>
      <c r="L5" s="11">
        <v>2013</v>
      </c>
      <c r="M5" s="11" t="s">
        <v>2459</v>
      </c>
      <c r="N5" s="28" t="s">
        <v>12</v>
      </c>
      <c r="O5" s="28" t="s">
        <v>51</v>
      </c>
      <c r="P5" s="28">
        <v>-38.386569999999999</v>
      </c>
      <c r="Q5" s="28">
        <v>145.33500699999999</v>
      </c>
      <c r="R5" s="28" t="s">
        <v>588</v>
      </c>
      <c r="S5" s="28" t="s">
        <v>588</v>
      </c>
      <c r="T5" s="28">
        <v>3</v>
      </c>
      <c r="U5" s="28">
        <v>3</v>
      </c>
      <c r="V5" s="29" t="s">
        <v>588</v>
      </c>
      <c r="W5" s="28" t="s">
        <v>588</v>
      </c>
      <c r="X5" s="28">
        <v>7</v>
      </c>
      <c r="Y5" s="28">
        <v>7</v>
      </c>
      <c r="Z5" s="28" t="s">
        <v>41</v>
      </c>
      <c r="AA5" s="29">
        <v>41297</v>
      </c>
      <c r="AB5" s="11">
        <v>23</v>
      </c>
      <c r="AC5" s="11">
        <v>1</v>
      </c>
      <c r="AD5" s="11">
        <v>2013</v>
      </c>
      <c r="AE5" s="13" t="s">
        <v>2460</v>
      </c>
      <c r="AF5" s="28" t="s">
        <v>12</v>
      </c>
      <c r="AG5" s="29">
        <v>41301</v>
      </c>
      <c r="AH5" s="11">
        <v>27</v>
      </c>
      <c r="AI5" s="11">
        <v>1</v>
      </c>
      <c r="AJ5" s="11">
        <v>2013</v>
      </c>
      <c r="AK5" s="13" t="s">
        <v>2433</v>
      </c>
      <c r="AL5" s="28" t="s">
        <v>12</v>
      </c>
      <c r="AM5" s="29" t="s">
        <v>11</v>
      </c>
      <c r="AN5" s="29" t="s">
        <v>8</v>
      </c>
      <c r="AO5" s="29" t="s">
        <v>588</v>
      </c>
      <c r="AP5" s="29" t="s">
        <v>588</v>
      </c>
      <c r="AQ5" s="29" t="s">
        <v>588</v>
      </c>
      <c r="AR5" s="29" t="s">
        <v>588</v>
      </c>
      <c r="AS5" s="28" t="s">
        <v>588</v>
      </c>
      <c r="AT5" s="28" t="s">
        <v>588</v>
      </c>
      <c r="AU5" s="29" t="s">
        <v>588</v>
      </c>
      <c r="AV5" s="29" t="s">
        <v>588</v>
      </c>
      <c r="AW5" s="29" t="s">
        <v>588</v>
      </c>
      <c r="AX5" s="29" t="s">
        <v>588</v>
      </c>
      <c r="AY5" s="29" t="s">
        <v>588</v>
      </c>
      <c r="AZ5" s="29" t="s">
        <v>588</v>
      </c>
      <c r="BA5" s="29" t="s">
        <v>588</v>
      </c>
      <c r="BB5" s="29" t="s">
        <v>588</v>
      </c>
      <c r="BC5" s="29" t="s">
        <v>588</v>
      </c>
      <c r="BD5" s="29" t="s">
        <v>588</v>
      </c>
      <c r="BE5" s="29" t="s">
        <v>588</v>
      </c>
      <c r="BF5" s="29" t="s">
        <v>588</v>
      </c>
      <c r="BG5" s="29" t="s">
        <v>588</v>
      </c>
      <c r="BH5" s="29" t="s">
        <v>588</v>
      </c>
      <c r="BI5" s="29" t="s">
        <v>588</v>
      </c>
      <c r="BJ5" s="29" t="s">
        <v>588</v>
      </c>
      <c r="BK5" s="29" t="s">
        <v>588</v>
      </c>
      <c r="BL5" s="29" t="s">
        <v>588</v>
      </c>
      <c r="BM5" s="28" t="s">
        <v>588</v>
      </c>
      <c r="BN5" s="28" t="s">
        <v>588</v>
      </c>
      <c r="BO5" s="29" t="s">
        <v>588</v>
      </c>
      <c r="BP5" s="28" t="s">
        <v>588</v>
      </c>
      <c r="BQ5" s="29" t="s">
        <v>588</v>
      </c>
      <c r="BR5" s="29" t="s">
        <v>588</v>
      </c>
      <c r="BS5" s="28" t="s">
        <v>41</v>
      </c>
      <c r="BT5" s="33" t="s">
        <v>42</v>
      </c>
      <c r="BU5" s="29" t="s">
        <v>588</v>
      </c>
      <c r="BV5" s="29" t="s">
        <v>588</v>
      </c>
      <c r="BW5" s="29" t="s">
        <v>2419</v>
      </c>
      <c r="BX5" s="29" t="s">
        <v>588</v>
      </c>
    </row>
    <row r="6" spans="1:76" s="28" customFormat="1" x14ac:dyDescent="0.25">
      <c r="A6" s="28">
        <v>201213</v>
      </c>
      <c r="B6" s="28" t="s">
        <v>125</v>
      </c>
      <c r="C6" t="s">
        <v>1906</v>
      </c>
      <c r="D6" s="28" t="s">
        <v>2127</v>
      </c>
      <c r="E6" s="28" t="s">
        <v>1844</v>
      </c>
      <c r="F6" s="28">
        <v>1</v>
      </c>
      <c r="G6" s="28" t="s">
        <v>2461</v>
      </c>
      <c r="H6" s="11" t="s">
        <v>2720</v>
      </c>
      <c r="I6" s="29">
        <v>41188</v>
      </c>
      <c r="J6" s="11">
        <v>6</v>
      </c>
      <c r="K6" s="11">
        <v>10</v>
      </c>
      <c r="L6" s="11">
        <v>2012</v>
      </c>
      <c r="M6" s="11" t="s">
        <v>2462</v>
      </c>
      <c r="N6" s="28" t="s">
        <v>29</v>
      </c>
      <c r="O6" s="28" t="s">
        <v>10</v>
      </c>
      <c r="P6" s="28">
        <v>-38.645209999999999</v>
      </c>
      <c r="Q6" s="28">
        <v>145.712524</v>
      </c>
      <c r="R6" s="28" t="s">
        <v>588</v>
      </c>
      <c r="S6" s="28" t="s">
        <v>588</v>
      </c>
      <c r="T6" s="28">
        <v>3</v>
      </c>
      <c r="U6" s="28">
        <v>3</v>
      </c>
      <c r="V6" s="29">
        <v>41188</v>
      </c>
      <c r="W6" s="28" t="s">
        <v>219</v>
      </c>
      <c r="X6" s="28">
        <v>16</v>
      </c>
      <c r="Y6" s="28">
        <v>15</v>
      </c>
      <c r="Z6" s="28" t="s">
        <v>2119</v>
      </c>
      <c r="AA6" s="29">
        <v>41216</v>
      </c>
      <c r="AB6" s="11">
        <v>3</v>
      </c>
      <c r="AC6" s="11">
        <v>11</v>
      </c>
      <c r="AD6" s="11">
        <v>2012</v>
      </c>
      <c r="AE6" s="13" t="s">
        <v>2463</v>
      </c>
      <c r="AF6" s="28" t="s">
        <v>17</v>
      </c>
      <c r="AG6" s="29">
        <v>41217</v>
      </c>
      <c r="AH6" s="11">
        <v>4</v>
      </c>
      <c r="AI6" s="11">
        <v>11</v>
      </c>
      <c r="AJ6" s="11">
        <v>2012</v>
      </c>
      <c r="AK6" s="13" t="s">
        <v>2434</v>
      </c>
      <c r="AL6" s="28" t="s">
        <v>17</v>
      </c>
      <c r="AM6" s="29" t="s">
        <v>588</v>
      </c>
      <c r="AN6" s="29" t="s">
        <v>588</v>
      </c>
      <c r="AO6" s="29" t="s">
        <v>588</v>
      </c>
      <c r="AP6" s="29">
        <v>41217</v>
      </c>
      <c r="AQ6" s="29" t="s">
        <v>17</v>
      </c>
      <c r="AR6" s="29" t="s">
        <v>2120</v>
      </c>
      <c r="AS6" s="28">
        <v>0</v>
      </c>
      <c r="AT6" s="28" t="s">
        <v>588</v>
      </c>
      <c r="AU6" s="29">
        <v>41217</v>
      </c>
      <c r="AV6" s="29">
        <v>41217</v>
      </c>
      <c r="AW6" s="29" t="s">
        <v>588</v>
      </c>
      <c r="AX6" s="29" t="s">
        <v>588</v>
      </c>
      <c r="AY6" s="29" t="s">
        <v>588</v>
      </c>
      <c r="AZ6" s="29" t="s">
        <v>588</v>
      </c>
      <c r="BA6" s="29" t="s">
        <v>588</v>
      </c>
      <c r="BB6" s="29" t="s">
        <v>588</v>
      </c>
      <c r="BC6" s="29" t="s">
        <v>588</v>
      </c>
      <c r="BD6" s="29" t="s">
        <v>588</v>
      </c>
      <c r="BE6" s="29" t="s">
        <v>588</v>
      </c>
      <c r="BF6" s="29" t="s">
        <v>588</v>
      </c>
      <c r="BG6" s="29" t="s">
        <v>588</v>
      </c>
      <c r="BH6" s="29" t="s">
        <v>588</v>
      </c>
      <c r="BI6" s="29" t="s">
        <v>588</v>
      </c>
      <c r="BJ6" s="29" t="s">
        <v>588</v>
      </c>
      <c r="BK6" s="29" t="s">
        <v>588</v>
      </c>
      <c r="BL6" s="29" t="s">
        <v>588</v>
      </c>
      <c r="BM6" s="28" t="s">
        <v>588</v>
      </c>
      <c r="BN6" s="28" t="s">
        <v>588</v>
      </c>
      <c r="BO6" s="29" t="s">
        <v>41</v>
      </c>
      <c r="BP6" s="28" t="s">
        <v>588</v>
      </c>
      <c r="BQ6" s="29" t="s">
        <v>588</v>
      </c>
      <c r="BR6" s="29" t="s">
        <v>588</v>
      </c>
      <c r="BS6" s="28" t="s">
        <v>8</v>
      </c>
      <c r="BT6" s="28" t="s">
        <v>120</v>
      </c>
      <c r="BU6" s="28" t="s">
        <v>8</v>
      </c>
      <c r="BV6" s="28" t="s">
        <v>120</v>
      </c>
      <c r="BW6" s="29" t="s">
        <v>2420</v>
      </c>
      <c r="BX6" s="29" t="s">
        <v>588</v>
      </c>
    </row>
    <row r="7" spans="1:76" s="28" customFormat="1" x14ac:dyDescent="0.25">
      <c r="A7" s="28">
        <v>201213</v>
      </c>
      <c r="B7" s="11" t="s">
        <v>125</v>
      </c>
      <c r="C7" t="s">
        <v>1906</v>
      </c>
      <c r="D7" s="28" t="s">
        <v>2127</v>
      </c>
      <c r="E7" s="28" t="s">
        <v>1844</v>
      </c>
      <c r="F7" s="28">
        <v>2</v>
      </c>
      <c r="G7" s="28" t="s">
        <v>2464</v>
      </c>
      <c r="H7" s="11" t="s">
        <v>2721</v>
      </c>
      <c r="I7" s="13">
        <v>41238</v>
      </c>
      <c r="J7" s="11">
        <v>25</v>
      </c>
      <c r="K7" s="11">
        <v>11</v>
      </c>
      <c r="L7" s="11">
        <v>2012</v>
      </c>
      <c r="M7" s="11" t="s">
        <v>2465</v>
      </c>
      <c r="N7" s="28" t="s">
        <v>17</v>
      </c>
      <c r="O7" s="33" t="s">
        <v>10</v>
      </c>
      <c r="P7" s="37" t="s">
        <v>588</v>
      </c>
      <c r="Q7" s="37" t="s">
        <v>588</v>
      </c>
      <c r="R7" s="33" t="s">
        <v>588</v>
      </c>
      <c r="S7" s="33" t="s">
        <v>588</v>
      </c>
      <c r="T7" s="28">
        <v>3</v>
      </c>
      <c r="U7" s="28">
        <v>3</v>
      </c>
      <c r="V7" s="29" t="s">
        <v>588</v>
      </c>
      <c r="W7" s="28" t="s">
        <v>588</v>
      </c>
      <c r="X7" s="28">
        <v>8</v>
      </c>
      <c r="Y7" s="28">
        <v>8</v>
      </c>
      <c r="Z7" s="28" t="s">
        <v>41</v>
      </c>
      <c r="AA7" s="13">
        <v>41247</v>
      </c>
      <c r="AB7" s="11">
        <v>4</v>
      </c>
      <c r="AC7" s="11">
        <v>12</v>
      </c>
      <c r="AD7" s="11">
        <v>2012</v>
      </c>
      <c r="AE7" s="13" t="s">
        <v>2466</v>
      </c>
      <c r="AF7" s="28" t="s">
        <v>7</v>
      </c>
      <c r="AG7" s="13">
        <v>41248</v>
      </c>
      <c r="AH7" s="11">
        <v>5</v>
      </c>
      <c r="AI7" s="11">
        <v>12</v>
      </c>
      <c r="AJ7" s="11">
        <v>2012</v>
      </c>
      <c r="AK7" s="13" t="s">
        <v>2435</v>
      </c>
      <c r="AL7" s="28" t="s">
        <v>7</v>
      </c>
      <c r="AM7" s="29" t="s">
        <v>8</v>
      </c>
      <c r="AN7" s="28" t="s">
        <v>8</v>
      </c>
      <c r="AO7" s="33" t="s">
        <v>2421</v>
      </c>
      <c r="AP7" s="29" t="s">
        <v>588</v>
      </c>
      <c r="AQ7" s="29" t="s">
        <v>588</v>
      </c>
      <c r="AR7" s="29" t="s">
        <v>588</v>
      </c>
      <c r="AS7" s="28" t="s">
        <v>588</v>
      </c>
      <c r="AT7" s="28" t="s">
        <v>588</v>
      </c>
      <c r="AU7" s="29" t="s">
        <v>588</v>
      </c>
      <c r="AV7" s="29" t="s">
        <v>588</v>
      </c>
      <c r="AW7" s="29" t="s">
        <v>588</v>
      </c>
      <c r="AX7" s="29" t="s">
        <v>588</v>
      </c>
      <c r="AY7" s="29" t="s">
        <v>588</v>
      </c>
      <c r="AZ7" s="29" t="s">
        <v>588</v>
      </c>
      <c r="BA7" s="29" t="s">
        <v>588</v>
      </c>
      <c r="BB7" s="29" t="s">
        <v>588</v>
      </c>
      <c r="BC7" s="29" t="s">
        <v>588</v>
      </c>
      <c r="BD7" s="29" t="s">
        <v>588</v>
      </c>
      <c r="BE7" s="29" t="s">
        <v>588</v>
      </c>
      <c r="BF7" s="29" t="s">
        <v>588</v>
      </c>
      <c r="BG7" s="29" t="s">
        <v>588</v>
      </c>
      <c r="BH7" s="29" t="s">
        <v>588</v>
      </c>
      <c r="BI7" s="29" t="s">
        <v>588</v>
      </c>
      <c r="BJ7" s="29" t="s">
        <v>588</v>
      </c>
      <c r="BK7" s="29" t="s">
        <v>588</v>
      </c>
      <c r="BL7" s="29" t="s">
        <v>588</v>
      </c>
      <c r="BM7" s="28" t="s">
        <v>588</v>
      </c>
      <c r="BN7" s="28" t="s">
        <v>588</v>
      </c>
      <c r="BO7" s="29" t="s">
        <v>588</v>
      </c>
      <c r="BP7" s="28" t="s">
        <v>588</v>
      </c>
      <c r="BQ7" s="29" t="s">
        <v>588</v>
      </c>
      <c r="BR7" s="29" t="s">
        <v>588</v>
      </c>
      <c r="BS7" s="28" t="s">
        <v>8</v>
      </c>
      <c r="BT7" s="11" t="s">
        <v>120</v>
      </c>
      <c r="BU7" s="29" t="s">
        <v>588</v>
      </c>
      <c r="BV7" s="29" t="s">
        <v>588</v>
      </c>
      <c r="BW7" s="29" t="s">
        <v>588</v>
      </c>
      <c r="BX7" s="29" t="s">
        <v>588</v>
      </c>
    </row>
    <row r="8" spans="1:76" s="28" customFormat="1" x14ac:dyDescent="0.25">
      <c r="A8" s="28">
        <v>201213</v>
      </c>
      <c r="B8" s="11" t="s">
        <v>125</v>
      </c>
      <c r="C8" t="s">
        <v>1906</v>
      </c>
      <c r="D8" s="28" t="s">
        <v>2127</v>
      </c>
      <c r="E8" s="28" t="s">
        <v>1844</v>
      </c>
      <c r="F8" s="28">
        <v>3</v>
      </c>
      <c r="G8" s="28" t="s">
        <v>2467</v>
      </c>
      <c r="H8" s="11" t="s">
        <v>2722</v>
      </c>
      <c r="I8" s="13">
        <v>41259</v>
      </c>
      <c r="J8" s="11">
        <v>16</v>
      </c>
      <c r="K8" s="11">
        <v>12</v>
      </c>
      <c r="L8" s="11">
        <v>2012</v>
      </c>
      <c r="M8" s="11" t="s">
        <v>2468</v>
      </c>
      <c r="N8" s="28" t="s">
        <v>7</v>
      </c>
      <c r="O8" s="11" t="s">
        <v>10</v>
      </c>
      <c r="P8" s="37" t="s">
        <v>588</v>
      </c>
      <c r="Q8" s="37" t="s">
        <v>588</v>
      </c>
      <c r="R8" s="33" t="s">
        <v>588</v>
      </c>
      <c r="S8" s="33" t="s">
        <v>588</v>
      </c>
      <c r="T8" s="28">
        <v>2</v>
      </c>
      <c r="U8" s="28">
        <v>2</v>
      </c>
      <c r="V8" s="29" t="s">
        <v>588</v>
      </c>
      <c r="W8" s="28" t="s">
        <v>588</v>
      </c>
      <c r="X8" s="28">
        <v>2</v>
      </c>
      <c r="Y8" s="28">
        <v>2</v>
      </c>
      <c r="Z8" s="28" t="s">
        <v>41</v>
      </c>
      <c r="AA8" s="13">
        <v>41259</v>
      </c>
      <c r="AB8" s="11">
        <v>16</v>
      </c>
      <c r="AC8" s="11">
        <v>12</v>
      </c>
      <c r="AD8" s="11">
        <v>2012</v>
      </c>
      <c r="AE8" s="13" t="s">
        <v>2468</v>
      </c>
      <c r="AF8" s="28" t="s">
        <v>7</v>
      </c>
      <c r="AG8" s="13">
        <v>41261</v>
      </c>
      <c r="AH8" s="11">
        <v>18</v>
      </c>
      <c r="AI8" s="11">
        <v>12</v>
      </c>
      <c r="AJ8" s="11">
        <v>2012</v>
      </c>
      <c r="AK8" s="13" t="s">
        <v>2436</v>
      </c>
      <c r="AL8" s="28" t="s">
        <v>7</v>
      </c>
      <c r="AM8" s="29" t="s">
        <v>41</v>
      </c>
      <c r="AN8" s="28" t="s">
        <v>41</v>
      </c>
      <c r="AO8" s="29" t="s">
        <v>20</v>
      </c>
      <c r="AP8" s="34" t="s">
        <v>588</v>
      </c>
      <c r="AQ8" s="29" t="s">
        <v>588</v>
      </c>
      <c r="AR8" s="33" t="s">
        <v>588</v>
      </c>
      <c r="AS8" s="28" t="s">
        <v>588</v>
      </c>
      <c r="AT8" s="28" t="s">
        <v>588</v>
      </c>
      <c r="AU8" s="34" t="s">
        <v>588</v>
      </c>
      <c r="AV8" s="29" t="s">
        <v>588</v>
      </c>
      <c r="AW8" s="29" t="s">
        <v>588</v>
      </c>
      <c r="AX8" s="29" t="s">
        <v>588</v>
      </c>
      <c r="AY8" s="29" t="s">
        <v>588</v>
      </c>
      <c r="AZ8" s="29" t="s">
        <v>588</v>
      </c>
      <c r="BA8" s="29" t="s">
        <v>588</v>
      </c>
      <c r="BB8" s="29" t="s">
        <v>588</v>
      </c>
      <c r="BC8" s="29" t="s">
        <v>588</v>
      </c>
      <c r="BD8" s="29" t="s">
        <v>588</v>
      </c>
      <c r="BE8" s="29" t="s">
        <v>588</v>
      </c>
      <c r="BF8" s="29" t="s">
        <v>588</v>
      </c>
      <c r="BG8" s="29" t="s">
        <v>588</v>
      </c>
      <c r="BH8" s="29" t="s">
        <v>588</v>
      </c>
      <c r="BI8" s="29" t="s">
        <v>588</v>
      </c>
      <c r="BJ8" s="29" t="s">
        <v>588</v>
      </c>
      <c r="BK8" s="29" t="s">
        <v>588</v>
      </c>
      <c r="BL8" s="29" t="s">
        <v>588</v>
      </c>
      <c r="BM8" s="28" t="s">
        <v>588</v>
      </c>
      <c r="BN8" s="28" t="s">
        <v>588</v>
      </c>
      <c r="BO8" s="29" t="s">
        <v>588</v>
      </c>
      <c r="BP8" s="28" t="s">
        <v>588</v>
      </c>
      <c r="BQ8" s="29" t="s">
        <v>588</v>
      </c>
      <c r="BR8" s="29" t="s">
        <v>588</v>
      </c>
      <c r="BS8" s="28" t="s">
        <v>8</v>
      </c>
      <c r="BT8" s="11" t="s">
        <v>120</v>
      </c>
      <c r="BU8" s="28" t="s">
        <v>588</v>
      </c>
      <c r="BV8" s="33" t="s">
        <v>588</v>
      </c>
      <c r="BW8" s="29" t="s">
        <v>588</v>
      </c>
      <c r="BX8" s="29" t="s">
        <v>588</v>
      </c>
    </row>
    <row r="9" spans="1:76" s="28" customFormat="1" x14ac:dyDescent="0.25">
      <c r="A9" s="28">
        <v>201213</v>
      </c>
      <c r="B9" s="11" t="s">
        <v>125</v>
      </c>
      <c r="C9" t="s">
        <v>1906</v>
      </c>
      <c r="D9" s="28" t="s">
        <v>2127</v>
      </c>
      <c r="E9" s="28" t="s">
        <v>1844</v>
      </c>
      <c r="F9" s="28">
        <v>4</v>
      </c>
      <c r="G9" s="28" t="s">
        <v>2469</v>
      </c>
      <c r="H9" s="11" t="s">
        <v>2723</v>
      </c>
      <c r="I9" s="13">
        <v>41292</v>
      </c>
      <c r="J9" s="11">
        <v>18</v>
      </c>
      <c r="K9" s="11">
        <v>1</v>
      </c>
      <c r="L9" s="11">
        <v>2013</v>
      </c>
      <c r="M9" s="11" t="s">
        <v>2470</v>
      </c>
      <c r="N9" s="28" t="s">
        <v>12</v>
      </c>
      <c r="O9" s="11" t="s">
        <v>10</v>
      </c>
      <c r="P9" s="32" t="s">
        <v>588</v>
      </c>
      <c r="Q9" s="32" t="s">
        <v>588</v>
      </c>
      <c r="R9" s="33" t="s">
        <v>588</v>
      </c>
      <c r="S9" s="33" t="s">
        <v>588</v>
      </c>
      <c r="T9" s="28">
        <v>3</v>
      </c>
      <c r="U9" s="28">
        <v>3</v>
      </c>
      <c r="V9" s="29">
        <v>41258</v>
      </c>
      <c r="W9" s="28" t="s">
        <v>219</v>
      </c>
      <c r="X9" s="28">
        <v>10</v>
      </c>
      <c r="Y9" s="28">
        <v>7</v>
      </c>
      <c r="Z9" s="28" t="s">
        <v>8</v>
      </c>
      <c r="AA9" s="13">
        <v>41305</v>
      </c>
      <c r="AB9" s="11">
        <v>31</v>
      </c>
      <c r="AC9" s="11">
        <v>1</v>
      </c>
      <c r="AD9" s="11">
        <v>2013</v>
      </c>
      <c r="AE9" s="13" t="s">
        <v>2471</v>
      </c>
      <c r="AF9" s="28" t="s">
        <v>12</v>
      </c>
      <c r="AG9" s="34" t="s">
        <v>588</v>
      </c>
      <c r="AH9" s="11" t="s">
        <v>588</v>
      </c>
      <c r="AI9" s="11" t="s">
        <v>588</v>
      </c>
      <c r="AJ9" s="11" t="s">
        <v>588</v>
      </c>
      <c r="AK9" s="13" t="s">
        <v>588</v>
      </c>
      <c r="AL9" s="28" t="s">
        <v>588</v>
      </c>
      <c r="AM9" s="33" t="s">
        <v>588</v>
      </c>
      <c r="AN9" s="33" t="s">
        <v>588</v>
      </c>
      <c r="AO9" s="33" t="s">
        <v>588</v>
      </c>
      <c r="AP9" s="13">
        <v>41307</v>
      </c>
      <c r="AQ9" s="29" t="s">
        <v>21</v>
      </c>
      <c r="AR9" s="11" t="s">
        <v>195</v>
      </c>
      <c r="AS9" s="28">
        <v>1</v>
      </c>
      <c r="AT9" s="28">
        <v>3</v>
      </c>
      <c r="AU9" s="29" t="s">
        <v>588</v>
      </c>
      <c r="AV9" s="29" t="s">
        <v>588</v>
      </c>
      <c r="AW9" s="29" t="s">
        <v>588</v>
      </c>
      <c r="AX9" s="29" t="s">
        <v>588</v>
      </c>
      <c r="AY9" s="29" t="s">
        <v>588</v>
      </c>
      <c r="AZ9" s="29" t="s">
        <v>588</v>
      </c>
      <c r="BA9" s="29" t="s">
        <v>588</v>
      </c>
      <c r="BB9" s="29" t="s">
        <v>588</v>
      </c>
      <c r="BC9" s="29" t="s">
        <v>588</v>
      </c>
      <c r="BD9" s="29" t="s">
        <v>588</v>
      </c>
      <c r="BE9" s="29" t="s">
        <v>588</v>
      </c>
      <c r="BF9" s="29" t="s">
        <v>588</v>
      </c>
      <c r="BG9" s="29" t="s">
        <v>588</v>
      </c>
      <c r="BH9" s="29" t="s">
        <v>588</v>
      </c>
      <c r="BI9" s="29" t="s">
        <v>588</v>
      </c>
      <c r="BJ9" s="29" t="s">
        <v>588</v>
      </c>
      <c r="BK9" s="29" t="s">
        <v>588</v>
      </c>
      <c r="BL9" s="29" t="s">
        <v>588</v>
      </c>
      <c r="BM9" s="28">
        <v>21</v>
      </c>
      <c r="BN9" s="28">
        <v>20</v>
      </c>
      <c r="BO9" s="29" t="s">
        <v>8</v>
      </c>
      <c r="BP9" s="28">
        <v>1</v>
      </c>
      <c r="BQ9" s="13">
        <v>41345</v>
      </c>
      <c r="BR9" s="29" t="s">
        <v>22</v>
      </c>
      <c r="BS9" s="28" t="s">
        <v>8</v>
      </c>
      <c r="BT9" s="11" t="s">
        <v>120</v>
      </c>
      <c r="BU9" s="29" t="s">
        <v>8</v>
      </c>
      <c r="BV9" s="11" t="s">
        <v>126</v>
      </c>
      <c r="BW9" s="29" t="s">
        <v>588</v>
      </c>
      <c r="BX9" s="29" t="s">
        <v>588</v>
      </c>
    </row>
    <row r="10" spans="1:76" s="28" customFormat="1" x14ac:dyDescent="0.25">
      <c r="A10" s="28">
        <v>201213</v>
      </c>
      <c r="B10" s="11" t="s">
        <v>2267</v>
      </c>
      <c r="C10" t="s">
        <v>301</v>
      </c>
      <c r="D10" s="28" t="s">
        <v>2268</v>
      </c>
      <c r="E10" s="28" t="s">
        <v>1844</v>
      </c>
      <c r="F10" s="28">
        <v>1</v>
      </c>
      <c r="G10" s="28" t="s">
        <v>2472</v>
      </c>
      <c r="H10" s="11" t="s">
        <v>2473</v>
      </c>
      <c r="I10" s="13">
        <v>41230</v>
      </c>
      <c r="J10" s="11">
        <v>17</v>
      </c>
      <c r="K10" s="11">
        <v>11</v>
      </c>
      <c r="L10" s="11">
        <v>2012</v>
      </c>
      <c r="M10" s="11" t="s">
        <v>2474</v>
      </c>
      <c r="N10" s="28" t="s">
        <v>17</v>
      </c>
      <c r="O10" s="33" t="s">
        <v>51</v>
      </c>
      <c r="P10" s="37" t="s">
        <v>588</v>
      </c>
      <c r="Q10" s="37" t="s">
        <v>588</v>
      </c>
      <c r="R10" s="33" t="s">
        <v>588</v>
      </c>
      <c r="S10" s="33" t="s">
        <v>588</v>
      </c>
      <c r="T10" s="28">
        <v>3</v>
      </c>
      <c r="U10" s="28">
        <v>3</v>
      </c>
      <c r="V10" s="29" t="s">
        <v>588</v>
      </c>
      <c r="W10" s="28" t="s">
        <v>588</v>
      </c>
      <c r="X10" s="28">
        <v>1</v>
      </c>
      <c r="Y10" s="28">
        <v>1</v>
      </c>
      <c r="Z10" s="28" t="s">
        <v>8</v>
      </c>
      <c r="AA10" s="13">
        <v>41230</v>
      </c>
      <c r="AB10" s="11">
        <v>17</v>
      </c>
      <c r="AC10" s="11">
        <v>11</v>
      </c>
      <c r="AD10" s="11">
        <v>2012</v>
      </c>
      <c r="AE10" s="13" t="s">
        <v>2474</v>
      </c>
      <c r="AF10" s="28" t="s">
        <v>17</v>
      </c>
      <c r="AG10" s="34" t="s">
        <v>588</v>
      </c>
      <c r="AH10" s="11" t="s">
        <v>588</v>
      </c>
      <c r="AI10" s="11" t="s">
        <v>588</v>
      </c>
      <c r="AJ10" s="11" t="s">
        <v>588</v>
      </c>
      <c r="AK10" s="13" t="s">
        <v>588</v>
      </c>
      <c r="AL10" s="28" t="s">
        <v>588</v>
      </c>
      <c r="AM10" s="29" t="s">
        <v>588</v>
      </c>
      <c r="AN10" s="33" t="s">
        <v>588</v>
      </c>
      <c r="AO10" s="11" t="s">
        <v>588</v>
      </c>
      <c r="AP10" s="13">
        <v>41245</v>
      </c>
      <c r="AQ10" s="29" t="s">
        <v>7</v>
      </c>
      <c r="AR10" s="11" t="s">
        <v>195</v>
      </c>
      <c r="AS10" s="33">
        <v>3</v>
      </c>
      <c r="AT10" s="33">
        <v>3</v>
      </c>
      <c r="AU10" s="13">
        <v>41246</v>
      </c>
      <c r="AV10" s="13">
        <v>41269</v>
      </c>
      <c r="AW10" s="29" t="s">
        <v>7</v>
      </c>
      <c r="AX10" s="29" t="s">
        <v>41</v>
      </c>
      <c r="AY10" s="29" t="s">
        <v>41</v>
      </c>
      <c r="AZ10" s="29" t="s">
        <v>20</v>
      </c>
      <c r="BA10" s="13">
        <v>41246</v>
      </c>
      <c r="BB10" s="13">
        <v>41269</v>
      </c>
      <c r="BC10" s="29" t="s">
        <v>7</v>
      </c>
      <c r="BD10" s="29" t="s">
        <v>41</v>
      </c>
      <c r="BE10" s="29" t="s">
        <v>41</v>
      </c>
      <c r="BF10" s="29" t="s">
        <v>20</v>
      </c>
      <c r="BG10" s="29">
        <v>41267</v>
      </c>
      <c r="BH10" s="13">
        <v>41269</v>
      </c>
      <c r="BI10" s="29" t="s">
        <v>7</v>
      </c>
      <c r="BJ10" s="29" t="s">
        <v>41</v>
      </c>
      <c r="BK10" s="29" t="s">
        <v>41</v>
      </c>
      <c r="BL10" s="29" t="s">
        <v>20</v>
      </c>
      <c r="BM10" s="28">
        <v>3</v>
      </c>
      <c r="BN10" s="28">
        <v>3</v>
      </c>
      <c r="BO10" s="29" t="s">
        <v>41</v>
      </c>
      <c r="BP10" s="28" t="s">
        <v>588</v>
      </c>
      <c r="BQ10" s="29" t="s">
        <v>588</v>
      </c>
      <c r="BR10" s="29" t="s">
        <v>588</v>
      </c>
      <c r="BS10" s="28" t="s">
        <v>8</v>
      </c>
      <c r="BT10" s="11" t="s">
        <v>123</v>
      </c>
      <c r="BU10" s="29" t="s">
        <v>8</v>
      </c>
      <c r="BV10" s="11" t="s">
        <v>137</v>
      </c>
      <c r="BW10" s="29" t="s">
        <v>588</v>
      </c>
      <c r="BX10" s="29" t="s">
        <v>588</v>
      </c>
    </row>
    <row r="11" spans="1:76" s="28" customFormat="1" x14ac:dyDescent="0.25">
      <c r="A11" s="28">
        <v>201213</v>
      </c>
      <c r="B11" s="11" t="s">
        <v>2267</v>
      </c>
      <c r="C11" t="s">
        <v>301</v>
      </c>
      <c r="D11" s="28" t="s">
        <v>2268</v>
      </c>
      <c r="E11" s="28" t="s">
        <v>1844</v>
      </c>
      <c r="F11" s="28">
        <v>2</v>
      </c>
      <c r="G11" s="28" t="s">
        <v>2475</v>
      </c>
      <c r="H11" s="11" t="s">
        <v>2476</v>
      </c>
      <c r="I11" s="13">
        <v>41294</v>
      </c>
      <c r="J11" s="11">
        <v>20</v>
      </c>
      <c r="K11" s="11">
        <v>1</v>
      </c>
      <c r="L11" s="11">
        <v>2013</v>
      </c>
      <c r="M11" s="11" t="s">
        <v>2477</v>
      </c>
      <c r="N11" s="28" t="s">
        <v>12</v>
      </c>
      <c r="O11" s="33" t="s">
        <v>10</v>
      </c>
      <c r="P11" s="37" t="s">
        <v>588</v>
      </c>
      <c r="Q11" s="37" t="s">
        <v>588</v>
      </c>
      <c r="R11" s="33" t="s">
        <v>588</v>
      </c>
      <c r="S11" s="33" t="s">
        <v>588</v>
      </c>
      <c r="T11" s="28">
        <v>3</v>
      </c>
      <c r="U11" s="28">
        <v>3</v>
      </c>
      <c r="V11" s="29" t="s">
        <v>588</v>
      </c>
      <c r="W11" s="28" t="s">
        <v>588</v>
      </c>
      <c r="X11" s="28">
        <v>3</v>
      </c>
      <c r="Y11" s="28">
        <v>3</v>
      </c>
      <c r="Z11" s="28" t="s">
        <v>41</v>
      </c>
      <c r="AA11" s="13">
        <v>41294</v>
      </c>
      <c r="AB11" s="11">
        <v>20</v>
      </c>
      <c r="AC11" s="11">
        <v>1</v>
      </c>
      <c r="AD11" s="11">
        <v>2013</v>
      </c>
      <c r="AE11" s="13" t="s">
        <v>2477</v>
      </c>
      <c r="AF11" s="28" t="s">
        <v>12</v>
      </c>
      <c r="AG11" s="13">
        <v>41298</v>
      </c>
      <c r="AH11" s="11">
        <v>24</v>
      </c>
      <c r="AI11" s="11">
        <v>1</v>
      </c>
      <c r="AJ11" s="11">
        <v>2013</v>
      </c>
      <c r="AK11" s="13" t="s">
        <v>2440</v>
      </c>
      <c r="AL11" s="28" t="s">
        <v>12</v>
      </c>
      <c r="AM11" s="29" t="s">
        <v>41</v>
      </c>
      <c r="AN11" s="29" t="s">
        <v>41</v>
      </c>
      <c r="AO11" s="29" t="s">
        <v>20</v>
      </c>
      <c r="AP11" s="29" t="s">
        <v>588</v>
      </c>
      <c r="AQ11" s="29" t="s">
        <v>588</v>
      </c>
      <c r="AR11" s="33" t="s">
        <v>588</v>
      </c>
      <c r="AS11" s="28" t="s">
        <v>588</v>
      </c>
      <c r="AT11" s="28" t="s">
        <v>588</v>
      </c>
      <c r="AU11" s="29" t="s">
        <v>588</v>
      </c>
      <c r="AV11" s="29" t="s">
        <v>588</v>
      </c>
      <c r="AW11" s="29" t="s">
        <v>588</v>
      </c>
      <c r="AX11" s="29" t="s">
        <v>588</v>
      </c>
      <c r="AY11" s="29" t="s">
        <v>588</v>
      </c>
      <c r="AZ11" s="29" t="s">
        <v>588</v>
      </c>
      <c r="BA11" s="29" t="s">
        <v>588</v>
      </c>
      <c r="BB11" s="29" t="s">
        <v>588</v>
      </c>
      <c r="BC11" s="29" t="s">
        <v>588</v>
      </c>
      <c r="BD11" s="29" t="s">
        <v>588</v>
      </c>
      <c r="BE11" s="29" t="s">
        <v>588</v>
      </c>
      <c r="BF11" s="29" t="s">
        <v>588</v>
      </c>
      <c r="BG11" s="29" t="s">
        <v>588</v>
      </c>
      <c r="BH11" s="29" t="s">
        <v>588</v>
      </c>
      <c r="BI11" s="29" t="s">
        <v>588</v>
      </c>
      <c r="BJ11" s="29" t="s">
        <v>588</v>
      </c>
      <c r="BK11" s="29" t="s">
        <v>588</v>
      </c>
      <c r="BL11" s="29" t="s">
        <v>588</v>
      </c>
      <c r="BM11" s="28" t="s">
        <v>588</v>
      </c>
      <c r="BN11" s="28" t="s">
        <v>588</v>
      </c>
      <c r="BO11" s="29" t="s">
        <v>588</v>
      </c>
      <c r="BP11" s="28" t="s">
        <v>588</v>
      </c>
      <c r="BQ11" s="29" t="s">
        <v>588</v>
      </c>
      <c r="BR11" s="29" t="s">
        <v>588</v>
      </c>
      <c r="BS11" s="28" t="s">
        <v>8</v>
      </c>
      <c r="BT11" s="11" t="s">
        <v>123</v>
      </c>
      <c r="BU11" s="29" t="s">
        <v>588</v>
      </c>
      <c r="BV11" s="29" t="s">
        <v>588</v>
      </c>
      <c r="BW11" s="29" t="s">
        <v>588</v>
      </c>
      <c r="BX11" s="29" t="s">
        <v>588</v>
      </c>
    </row>
    <row r="12" spans="1:76" s="28" customFormat="1" x14ac:dyDescent="0.25">
      <c r="A12" s="28">
        <v>201213</v>
      </c>
      <c r="B12" s="11" t="s">
        <v>308</v>
      </c>
      <c r="C12" t="s">
        <v>308</v>
      </c>
      <c r="D12" s="28" t="s">
        <v>1844</v>
      </c>
      <c r="E12" s="28" t="s">
        <v>1844</v>
      </c>
      <c r="F12" s="28">
        <v>1</v>
      </c>
      <c r="G12" s="28" t="s">
        <v>2478</v>
      </c>
      <c r="H12" s="11" t="s">
        <v>2478</v>
      </c>
      <c r="I12" s="13">
        <v>41219</v>
      </c>
      <c r="J12" s="11">
        <v>6</v>
      </c>
      <c r="K12" s="11">
        <v>11</v>
      </c>
      <c r="L12" s="11">
        <v>2012</v>
      </c>
      <c r="M12" s="11" t="s">
        <v>2438</v>
      </c>
      <c r="N12" s="28" t="s">
        <v>17</v>
      </c>
      <c r="O12" s="11" t="s">
        <v>19</v>
      </c>
      <c r="P12" s="32" t="s">
        <v>588</v>
      </c>
      <c r="Q12" s="32" t="s">
        <v>588</v>
      </c>
      <c r="R12" s="33" t="s">
        <v>588</v>
      </c>
      <c r="S12" s="33" t="s">
        <v>588</v>
      </c>
      <c r="T12" s="28">
        <v>2</v>
      </c>
      <c r="U12" s="28">
        <v>2</v>
      </c>
      <c r="V12" s="29" t="s">
        <v>588</v>
      </c>
      <c r="W12" s="28" t="s">
        <v>588</v>
      </c>
      <c r="X12" s="28">
        <v>3</v>
      </c>
      <c r="Y12" s="28">
        <v>3</v>
      </c>
      <c r="Z12" s="28" t="s">
        <v>41</v>
      </c>
      <c r="AA12" s="13">
        <v>41336</v>
      </c>
      <c r="AB12" s="11">
        <v>3</v>
      </c>
      <c r="AC12" s="11">
        <v>3</v>
      </c>
      <c r="AD12" s="11">
        <v>2013</v>
      </c>
      <c r="AE12" s="13" t="s">
        <v>2479</v>
      </c>
      <c r="AF12" s="28" t="s">
        <v>22</v>
      </c>
      <c r="AG12" s="13">
        <v>41351</v>
      </c>
      <c r="AH12" s="11">
        <v>18</v>
      </c>
      <c r="AI12" s="11">
        <v>3</v>
      </c>
      <c r="AJ12" s="11">
        <v>2013</v>
      </c>
      <c r="AK12" s="13" t="s">
        <v>2437</v>
      </c>
      <c r="AL12" s="28" t="s">
        <v>22</v>
      </c>
      <c r="AM12" s="29" t="s">
        <v>41</v>
      </c>
      <c r="AN12" s="33" t="s">
        <v>8</v>
      </c>
      <c r="AO12" s="33" t="s">
        <v>11</v>
      </c>
      <c r="AP12" s="29" t="s">
        <v>588</v>
      </c>
      <c r="AQ12" s="29" t="s">
        <v>588</v>
      </c>
      <c r="AR12" s="29" t="s">
        <v>588</v>
      </c>
      <c r="AS12" s="28" t="s">
        <v>588</v>
      </c>
      <c r="AT12" s="28" t="s">
        <v>588</v>
      </c>
      <c r="AU12" s="29" t="s">
        <v>588</v>
      </c>
      <c r="AV12" s="29" t="s">
        <v>588</v>
      </c>
      <c r="AW12" s="29" t="s">
        <v>588</v>
      </c>
      <c r="AX12" s="29" t="s">
        <v>588</v>
      </c>
      <c r="AY12" s="29" t="s">
        <v>588</v>
      </c>
      <c r="AZ12" s="29" t="s">
        <v>588</v>
      </c>
      <c r="BA12" s="29" t="s">
        <v>588</v>
      </c>
      <c r="BB12" s="29" t="s">
        <v>588</v>
      </c>
      <c r="BC12" s="29" t="s">
        <v>588</v>
      </c>
      <c r="BD12" s="29" t="s">
        <v>588</v>
      </c>
      <c r="BE12" s="29" t="s">
        <v>588</v>
      </c>
      <c r="BF12" s="29" t="s">
        <v>588</v>
      </c>
      <c r="BG12" s="29" t="s">
        <v>588</v>
      </c>
      <c r="BH12" s="29" t="s">
        <v>588</v>
      </c>
      <c r="BI12" s="29" t="s">
        <v>588</v>
      </c>
      <c r="BJ12" s="29" t="s">
        <v>588</v>
      </c>
      <c r="BK12" s="29" t="s">
        <v>588</v>
      </c>
      <c r="BL12" s="29" t="s">
        <v>588</v>
      </c>
      <c r="BM12" s="28" t="s">
        <v>588</v>
      </c>
      <c r="BN12" s="28" t="s">
        <v>588</v>
      </c>
      <c r="BO12" s="29" t="s">
        <v>588</v>
      </c>
      <c r="BP12" s="28" t="s">
        <v>588</v>
      </c>
      <c r="BQ12" s="29" t="s">
        <v>588</v>
      </c>
      <c r="BR12" s="29" t="s">
        <v>588</v>
      </c>
      <c r="BS12" s="28" t="s">
        <v>8</v>
      </c>
      <c r="BT12" s="11" t="s">
        <v>120</v>
      </c>
      <c r="BU12" s="29" t="s">
        <v>588</v>
      </c>
      <c r="BV12" s="29" t="s">
        <v>588</v>
      </c>
      <c r="BW12" s="29" t="s">
        <v>2422</v>
      </c>
      <c r="BX12" s="29" t="s">
        <v>588</v>
      </c>
    </row>
    <row r="13" spans="1:76" s="28" customFormat="1" x14ac:dyDescent="0.25">
      <c r="A13" s="28">
        <v>201213</v>
      </c>
      <c r="B13" s="28" t="s">
        <v>579</v>
      </c>
      <c r="C13" t="s">
        <v>559</v>
      </c>
      <c r="D13" s="28" t="s">
        <v>1844</v>
      </c>
      <c r="E13" s="28" t="s">
        <v>1844</v>
      </c>
      <c r="F13" s="28">
        <v>1</v>
      </c>
      <c r="G13" s="28" t="s">
        <v>2480</v>
      </c>
      <c r="H13" s="11" t="s">
        <v>2481</v>
      </c>
      <c r="I13" s="13">
        <v>41265</v>
      </c>
      <c r="J13" s="11">
        <v>22</v>
      </c>
      <c r="K13" s="11">
        <v>12</v>
      </c>
      <c r="L13" s="11">
        <v>2012</v>
      </c>
      <c r="M13" s="11" t="s">
        <v>2482</v>
      </c>
      <c r="N13" s="28" t="s">
        <v>7</v>
      </c>
      <c r="O13" s="11" t="s">
        <v>36</v>
      </c>
      <c r="P13" s="11">
        <v>-38</v>
      </c>
      <c r="Q13" s="11">
        <v>145</v>
      </c>
      <c r="R13" s="28" t="s">
        <v>588</v>
      </c>
      <c r="S13" s="28" t="s">
        <v>588</v>
      </c>
      <c r="T13" s="28">
        <v>2</v>
      </c>
      <c r="U13" s="28">
        <v>2</v>
      </c>
      <c r="V13" s="28" t="s">
        <v>588</v>
      </c>
      <c r="W13" s="28" t="s">
        <v>588</v>
      </c>
      <c r="X13" s="28">
        <v>5</v>
      </c>
      <c r="Y13" s="28">
        <v>5</v>
      </c>
      <c r="Z13" s="28" t="s">
        <v>41</v>
      </c>
      <c r="AA13" s="13">
        <v>41274</v>
      </c>
      <c r="AB13" s="11">
        <v>31</v>
      </c>
      <c r="AC13" s="11">
        <v>12</v>
      </c>
      <c r="AD13" s="11">
        <v>2012</v>
      </c>
      <c r="AE13" s="13" t="s">
        <v>2483</v>
      </c>
      <c r="AF13" s="28" t="s">
        <v>7</v>
      </c>
      <c r="AG13" s="13">
        <v>41279</v>
      </c>
      <c r="AH13" s="11">
        <v>5</v>
      </c>
      <c r="AI13" s="11">
        <v>1</v>
      </c>
      <c r="AJ13" s="11">
        <v>2013</v>
      </c>
      <c r="AK13" s="13" t="s">
        <v>2431</v>
      </c>
      <c r="AL13" s="28" t="s">
        <v>12</v>
      </c>
      <c r="AM13" s="29" t="s">
        <v>41</v>
      </c>
      <c r="AN13" s="28" t="s">
        <v>41</v>
      </c>
      <c r="AO13" s="29" t="s">
        <v>20</v>
      </c>
      <c r="AP13" s="28" t="s">
        <v>588</v>
      </c>
      <c r="AQ13" s="29" t="s">
        <v>588</v>
      </c>
      <c r="AR13" s="28" t="s">
        <v>588</v>
      </c>
      <c r="AS13" s="28" t="s">
        <v>588</v>
      </c>
      <c r="AT13" s="28" t="s">
        <v>588</v>
      </c>
      <c r="AU13" s="29" t="s">
        <v>588</v>
      </c>
      <c r="AV13" s="28" t="s">
        <v>588</v>
      </c>
      <c r="AW13" s="29" t="s">
        <v>588</v>
      </c>
      <c r="AX13" s="28" t="s">
        <v>588</v>
      </c>
      <c r="AY13" s="29" t="s">
        <v>588</v>
      </c>
      <c r="AZ13" s="28" t="s">
        <v>588</v>
      </c>
      <c r="BA13" s="29" t="s">
        <v>588</v>
      </c>
      <c r="BB13" s="28" t="s">
        <v>588</v>
      </c>
      <c r="BC13" s="29" t="s">
        <v>588</v>
      </c>
      <c r="BD13" s="28" t="s">
        <v>588</v>
      </c>
      <c r="BE13" s="29" t="s">
        <v>588</v>
      </c>
      <c r="BF13" s="28" t="s">
        <v>588</v>
      </c>
      <c r="BG13" s="29" t="s">
        <v>588</v>
      </c>
      <c r="BH13" s="28" t="s">
        <v>588</v>
      </c>
      <c r="BI13" s="29" t="s">
        <v>588</v>
      </c>
      <c r="BJ13" s="28" t="s">
        <v>588</v>
      </c>
      <c r="BK13" s="29" t="s">
        <v>588</v>
      </c>
      <c r="BL13" s="28" t="s">
        <v>588</v>
      </c>
      <c r="BM13" s="28" t="s">
        <v>588</v>
      </c>
      <c r="BN13" s="28" t="s">
        <v>588</v>
      </c>
      <c r="BO13" s="29" t="s">
        <v>588</v>
      </c>
      <c r="BP13" s="28" t="s">
        <v>588</v>
      </c>
      <c r="BQ13" s="29" t="s">
        <v>588</v>
      </c>
      <c r="BR13" s="28" t="s">
        <v>588</v>
      </c>
      <c r="BS13" s="28" t="s">
        <v>8</v>
      </c>
      <c r="BT13" s="11" t="s">
        <v>1617</v>
      </c>
      <c r="BU13" s="29" t="s">
        <v>588</v>
      </c>
      <c r="BV13" s="28" t="s">
        <v>588</v>
      </c>
      <c r="BW13" s="29" t="s">
        <v>588</v>
      </c>
      <c r="BX13" s="28" t="s">
        <v>588</v>
      </c>
    </row>
    <row r="14" spans="1:76" s="28" customFormat="1" x14ac:dyDescent="0.25">
      <c r="A14" s="28">
        <v>201213</v>
      </c>
      <c r="B14" s="28" t="s">
        <v>579</v>
      </c>
      <c r="C14" t="s">
        <v>559</v>
      </c>
      <c r="D14" s="28" t="s">
        <v>1844</v>
      </c>
      <c r="E14" s="28" t="s">
        <v>1844</v>
      </c>
      <c r="F14" s="28">
        <v>2</v>
      </c>
      <c r="G14" s="28" t="s">
        <v>2484</v>
      </c>
      <c r="H14" s="11" t="s">
        <v>2485</v>
      </c>
      <c r="I14" s="13">
        <v>41309</v>
      </c>
      <c r="J14" s="11">
        <v>4</v>
      </c>
      <c r="K14" s="11">
        <v>2</v>
      </c>
      <c r="L14" s="11">
        <v>2013</v>
      </c>
      <c r="M14" s="11" t="s">
        <v>2486</v>
      </c>
      <c r="N14" s="28" t="s">
        <v>21</v>
      </c>
      <c r="O14" s="33" t="s">
        <v>2126</v>
      </c>
      <c r="P14" s="32" t="s">
        <v>588</v>
      </c>
      <c r="Q14" s="32" t="s">
        <v>588</v>
      </c>
      <c r="R14" s="28" t="s">
        <v>588</v>
      </c>
      <c r="S14" s="28" t="s">
        <v>588</v>
      </c>
      <c r="T14" s="28" t="s">
        <v>1847</v>
      </c>
      <c r="U14" s="28">
        <v>3</v>
      </c>
      <c r="V14" s="29" t="s">
        <v>588</v>
      </c>
      <c r="W14" s="28" t="s">
        <v>588</v>
      </c>
      <c r="X14" s="28">
        <v>2</v>
      </c>
      <c r="Y14" s="28">
        <v>2</v>
      </c>
      <c r="Z14" s="28" t="s">
        <v>41</v>
      </c>
      <c r="AA14" s="13">
        <v>41309</v>
      </c>
      <c r="AB14" s="11">
        <v>4</v>
      </c>
      <c r="AC14" s="11">
        <v>2</v>
      </c>
      <c r="AD14" s="11">
        <v>2013</v>
      </c>
      <c r="AE14" s="13" t="s">
        <v>2486</v>
      </c>
      <c r="AF14" s="28" t="s">
        <v>21</v>
      </c>
      <c r="AG14" s="13">
        <v>41324</v>
      </c>
      <c r="AH14" s="11">
        <v>19</v>
      </c>
      <c r="AI14" s="11">
        <v>2</v>
      </c>
      <c r="AJ14" s="11">
        <v>2013</v>
      </c>
      <c r="AK14" s="13" t="s">
        <v>2432</v>
      </c>
      <c r="AL14" s="28" t="s">
        <v>21</v>
      </c>
      <c r="AM14" s="33" t="s">
        <v>41</v>
      </c>
      <c r="AN14" s="33" t="s">
        <v>8</v>
      </c>
      <c r="AO14" s="29" t="s">
        <v>32</v>
      </c>
      <c r="AP14" s="29" t="s">
        <v>588</v>
      </c>
      <c r="AQ14" s="29" t="s">
        <v>588</v>
      </c>
      <c r="AR14" s="29" t="s">
        <v>588</v>
      </c>
      <c r="AS14" s="28" t="s">
        <v>588</v>
      </c>
      <c r="AT14" s="28" t="s">
        <v>588</v>
      </c>
      <c r="AU14" s="29" t="s">
        <v>588</v>
      </c>
      <c r="AV14" s="29" t="s">
        <v>588</v>
      </c>
      <c r="AW14" s="29" t="s">
        <v>588</v>
      </c>
      <c r="AX14" s="29" t="s">
        <v>588</v>
      </c>
      <c r="AY14" s="29" t="s">
        <v>588</v>
      </c>
      <c r="AZ14" s="29" t="s">
        <v>588</v>
      </c>
      <c r="BA14" s="29" t="s">
        <v>588</v>
      </c>
      <c r="BB14" s="29" t="s">
        <v>588</v>
      </c>
      <c r="BC14" s="29" t="s">
        <v>588</v>
      </c>
      <c r="BD14" s="29" t="s">
        <v>588</v>
      </c>
      <c r="BE14" s="29" t="s">
        <v>588</v>
      </c>
      <c r="BF14" s="29" t="s">
        <v>588</v>
      </c>
      <c r="BG14" s="29" t="s">
        <v>588</v>
      </c>
      <c r="BH14" s="29" t="s">
        <v>588</v>
      </c>
      <c r="BI14" s="29" t="s">
        <v>588</v>
      </c>
      <c r="BJ14" s="29" t="s">
        <v>588</v>
      </c>
      <c r="BK14" s="29" t="s">
        <v>588</v>
      </c>
      <c r="BL14" s="29" t="s">
        <v>588</v>
      </c>
      <c r="BM14" s="28" t="s">
        <v>588</v>
      </c>
      <c r="BN14" s="28" t="s">
        <v>588</v>
      </c>
      <c r="BO14" s="29" t="s">
        <v>588</v>
      </c>
      <c r="BP14" s="28" t="s">
        <v>588</v>
      </c>
      <c r="BQ14" s="29" t="s">
        <v>588</v>
      </c>
      <c r="BR14" s="29" t="s">
        <v>588</v>
      </c>
      <c r="BS14" s="28" t="s">
        <v>41</v>
      </c>
      <c r="BT14" s="33" t="s">
        <v>42</v>
      </c>
      <c r="BU14" s="29" t="s">
        <v>588</v>
      </c>
      <c r="BV14" s="29" t="s">
        <v>588</v>
      </c>
      <c r="BW14" s="29" t="s">
        <v>588</v>
      </c>
      <c r="BX14" s="29" t="s">
        <v>588</v>
      </c>
    </row>
    <row r="15" spans="1:76" s="28" customFormat="1" x14ac:dyDescent="0.25">
      <c r="A15" s="28">
        <v>201213</v>
      </c>
      <c r="B15" s="11" t="s">
        <v>1854</v>
      </c>
      <c r="C15" t="s">
        <v>1907</v>
      </c>
      <c r="D15" s="28" t="s">
        <v>1855</v>
      </c>
      <c r="E15" s="28" t="s">
        <v>433</v>
      </c>
      <c r="F15" s="28">
        <v>1</v>
      </c>
      <c r="G15" s="28" t="s">
        <v>2487</v>
      </c>
      <c r="H15" s="11" t="s">
        <v>2488</v>
      </c>
      <c r="I15" s="13">
        <v>41284</v>
      </c>
      <c r="J15" s="11">
        <v>10</v>
      </c>
      <c r="K15" s="11">
        <v>1</v>
      </c>
      <c r="L15" s="11">
        <v>2013</v>
      </c>
      <c r="M15" s="11" t="s">
        <v>2489</v>
      </c>
      <c r="N15" s="28" t="s">
        <v>12</v>
      </c>
      <c r="O15" s="11" t="s">
        <v>10</v>
      </c>
      <c r="P15" s="37" t="s">
        <v>588</v>
      </c>
      <c r="Q15" s="37" t="s">
        <v>588</v>
      </c>
      <c r="R15" s="33" t="s">
        <v>588</v>
      </c>
      <c r="S15" s="33" t="s">
        <v>588</v>
      </c>
      <c r="T15" s="28">
        <v>1</v>
      </c>
      <c r="U15" s="28">
        <v>3</v>
      </c>
      <c r="V15" s="29" t="s">
        <v>588</v>
      </c>
      <c r="W15" s="28" t="s">
        <v>588</v>
      </c>
      <c r="X15" s="28">
        <v>3</v>
      </c>
      <c r="Y15" s="28">
        <v>3</v>
      </c>
      <c r="Z15" s="28" t="s">
        <v>8</v>
      </c>
      <c r="AA15" s="13">
        <v>41309</v>
      </c>
      <c r="AB15" s="11">
        <v>4</v>
      </c>
      <c r="AC15" s="11">
        <v>2</v>
      </c>
      <c r="AD15" s="11">
        <v>2013</v>
      </c>
      <c r="AE15" s="13" t="s">
        <v>2486</v>
      </c>
      <c r="AF15" s="28" t="s">
        <v>21</v>
      </c>
      <c r="AG15" s="34" t="s">
        <v>588</v>
      </c>
      <c r="AH15" s="11" t="s">
        <v>588</v>
      </c>
      <c r="AI15" s="11" t="s">
        <v>588</v>
      </c>
      <c r="AJ15" s="11" t="s">
        <v>588</v>
      </c>
      <c r="AK15" s="13" t="s">
        <v>588</v>
      </c>
      <c r="AL15" s="28" t="s">
        <v>588</v>
      </c>
      <c r="AM15" s="29" t="s">
        <v>588</v>
      </c>
      <c r="AN15" s="33" t="s">
        <v>588</v>
      </c>
      <c r="AO15" s="33" t="s">
        <v>588</v>
      </c>
      <c r="AP15" s="13">
        <v>41338</v>
      </c>
      <c r="AQ15" s="29" t="s">
        <v>22</v>
      </c>
      <c r="AR15" s="11" t="s">
        <v>1214</v>
      </c>
      <c r="AS15" s="28">
        <v>1</v>
      </c>
      <c r="AT15" s="28">
        <v>1</v>
      </c>
      <c r="AU15" s="13">
        <v>41338</v>
      </c>
      <c r="AV15" s="29" t="s">
        <v>1996</v>
      </c>
      <c r="AW15" s="29" t="s">
        <v>588</v>
      </c>
      <c r="AX15" s="29" t="s">
        <v>588</v>
      </c>
      <c r="AY15" s="29" t="s">
        <v>588</v>
      </c>
      <c r="AZ15" s="29" t="s">
        <v>588</v>
      </c>
      <c r="BA15" s="29" t="s">
        <v>588</v>
      </c>
      <c r="BB15" s="29" t="s">
        <v>588</v>
      </c>
      <c r="BC15" s="29" t="s">
        <v>588</v>
      </c>
      <c r="BD15" s="29" t="s">
        <v>588</v>
      </c>
      <c r="BE15" s="29" t="s">
        <v>588</v>
      </c>
      <c r="BF15" s="29" t="s">
        <v>588</v>
      </c>
      <c r="BG15" s="29" t="s">
        <v>588</v>
      </c>
      <c r="BH15" s="29" t="s">
        <v>588</v>
      </c>
      <c r="BI15" s="29" t="s">
        <v>588</v>
      </c>
      <c r="BJ15" s="29" t="s">
        <v>588</v>
      </c>
      <c r="BK15" s="29" t="s">
        <v>588</v>
      </c>
      <c r="BL15" s="29" t="s">
        <v>588</v>
      </c>
      <c r="BM15" s="28">
        <v>1</v>
      </c>
      <c r="BN15" s="28">
        <v>1</v>
      </c>
      <c r="BO15" s="29" t="s">
        <v>647</v>
      </c>
      <c r="BP15" s="28" t="s">
        <v>588</v>
      </c>
      <c r="BQ15" s="29" t="s">
        <v>588</v>
      </c>
      <c r="BR15" s="29" t="s">
        <v>588</v>
      </c>
      <c r="BS15" s="28" t="s">
        <v>8</v>
      </c>
      <c r="BT15" s="11" t="s">
        <v>120</v>
      </c>
      <c r="BU15" s="29" t="s">
        <v>8</v>
      </c>
      <c r="BV15" s="11" t="s">
        <v>120</v>
      </c>
      <c r="BW15" s="29" t="s">
        <v>2424</v>
      </c>
      <c r="BX15" s="29" t="s">
        <v>588</v>
      </c>
    </row>
    <row r="16" spans="1:76" s="28" customFormat="1" x14ac:dyDescent="0.25">
      <c r="A16" s="28">
        <v>201213</v>
      </c>
      <c r="B16" s="11" t="s">
        <v>2264</v>
      </c>
      <c r="C16" t="s">
        <v>432</v>
      </c>
      <c r="D16" s="28" t="s">
        <v>1852</v>
      </c>
      <c r="E16" s="28" t="s">
        <v>2423</v>
      </c>
      <c r="F16" s="28">
        <v>1</v>
      </c>
      <c r="G16" s="28" t="s">
        <v>2490</v>
      </c>
      <c r="H16" s="11" t="s">
        <v>2491</v>
      </c>
      <c r="I16" s="13">
        <v>41284</v>
      </c>
      <c r="J16" s="11">
        <v>10</v>
      </c>
      <c r="K16" s="11">
        <v>1</v>
      </c>
      <c r="L16" s="11">
        <v>2013</v>
      </c>
      <c r="M16" s="11" t="s">
        <v>2489</v>
      </c>
      <c r="N16" s="28" t="s">
        <v>12</v>
      </c>
      <c r="O16" s="11" t="s">
        <v>19</v>
      </c>
      <c r="P16" s="37" t="s">
        <v>588</v>
      </c>
      <c r="Q16" s="37" t="s">
        <v>588</v>
      </c>
      <c r="R16" s="33" t="s">
        <v>588</v>
      </c>
      <c r="S16" s="33" t="s">
        <v>588</v>
      </c>
      <c r="T16" s="28">
        <v>1</v>
      </c>
      <c r="U16" s="28">
        <v>3</v>
      </c>
      <c r="V16" s="29" t="s">
        <v>588</v>
      </c>
      <c r="W16" s="28" t="s">
        <v>588</v>
      </c>
      <c r="X16" s="28">
        <v>1</v>
      </c>
      <c r="Y16" s="28">
        <v>1</v>
      </c>
      <c r="Z16" s="28" t="s">
        <v>8</v>
      </c>
      <c r="AA16" s="13">
        <v>41284</v>
      </c>
      <c r="AB16" s="11">
        <v>10</v>
      </c>
      <c r="AC16" s="11">
        <v>1</v>
      </c>
      <c r="AD16" s="11">
        <v>2013</v>
      </c>
      <c r="AE16" s="13" t="s">
        <v>2489</v>
      </c>
      <c r="AF16" s="28" t="s">
        <v>12</v>
      </c>
      <c r="AG16" s="34" t="s">
        <v>588</v>
      </c>
      <c r="AH16" s="11" t="s">
        <v>588</v>
      </c>
      <c r="AI16" s="11" t="s">
        <v>588</v>
      </c>
      <c r="AJ16" s="11" t="s">
        <v>588</v>
      </c>
      <c r="AK16" s="13" t="s">
        <v>588</v>
      </c>
      <c r="AL16" s="28" t="s">
        <v>588</v>
      </c>
      <c r="AM16" s="29" t="s">
        <v>588</v>
      </c>
      <c r="AN16" s="33" t="s">
        <v>588</v>
      </c>
      <c r="AO16" s="33" t="s">
        <v>588</v>
      </c>
      <c r="AP16" s="13">
        <v>41292</v>
      </c>
      <c r="AQ16" s="29" t="s">
        <v>12</v>
      </c>
      <c r="AR16" s="11" t="s">
        <v>195</v>
      </c>
      <c r="AS16" s="28">
        <v>1</v>
      </c>
      <c r="AT16" s="28">
        <v>1</v>
      </c>
      <c r="AU16" s="29" t="s">
        <v>588</v>
      </c>
      <c r="AV16" s="29" t="s">
        <v>588</v>
      </c>
      <c r="AW16" s="29" t="s">
        <v>588</v>
      </c>
      <c r="AX16" s="29" t="s">
        <v>588</v>
      </c>
      <c r="AY16" s="29" t="s">
        <v>588</v>
      </c>
      <c r="AZ16" s="29" t="s">
        <v>588</v>
      </c>
      <c r="BA16" s="29" t="s">
        <v>588</v>
      </c>
      <c r="BB16" s="29" t="s">
        <v>588</v>
      </c>
      <c r="BC16" s="29" t="s">
        <v>588</v>
      </c>
      <c r="BD16" s="29" t="s">
        <v>588</v>
      </c>
      <c r="BE16" s="29" t="s">
        <v>588</v>
      </c>
      <c r="BF16" s="29" t="s">
        <v>588</v>
      </c>
      <c r="BG16" s="29" t="s">
        <v>588</v>
      </c>
      <c r="BH16" s="29" t="s">
        <v>588</v>
      </c>
      <c r="BI16" s="29" t="s">
        <v>588</v>
      </c>
      <c r="BJ16" s="29" t="s">
        <v>588</v>
      </c>
      <c r="BK16" s="29" t="s">
        <v>588</v>
      </c>
      <c r="BL16" s="29" t="s">
        <v>588</v>
      </c>
      <c r="BM16" s="28">
        <v>4</v>
      </c>
      <c r="BN16" s="28">
        <v>4</v>
      </c>
      <c r="BO16" s="29" t="s">
        <v>8</v>
      </c>
      <c r="BP16" s="28">
        <v>1</v>
      </c>
      <c r="BQ16" s="13">
        <v>41329</v>
      </c>
      <c r="BR16" s="29" t="s">
        <v>21</v>
      </c>
      <c r="BS16" s="28" t="s">
        <v>8</v>
      </c>
      <c r="BT16" s="11" t="s">
        <v>120</v>
      </c>
      <c r="BU16" s="28" t="s">
        <v>8</v>
      </c>
      <c r="BV16" s="11" t="s">
        <v>120</v>
      </c>
      <c r="BW16" s="29" t="s">
        <v>588</v>
      </c>
      <c r="BX16" s="29" t="s">
        <v>588</v>
      </c>
    </row>
    <row r="17" spans="1:76" s="28" customFormat="1" x14ac:dyDescent="0.25">
      <c r="A17" s="28">
        <v>201213</v>
      </c>
      <c r="B17" s="11" t="s">
        <v>129</v>
      </c>
      <c r="C17" t="s">
        <v>35</v>
      </c>
      <c r="D17" s="28" t="s">
        <v>1844</v>
      </c>
      <c r="E17" s="28" t="s">
        <v>1844</v>
      </c>
      <c r="F17" s="28">
        <v>1</v>
      </c>
      <c r="G17" s="28" t="s">
        <v>2492</v>
      </c>
      <c r="H17" s="11" t="s">
        <v>2493</v>
      </c>
      <c r="I17" s="13">
        <v>41215</v>
      </c>
      <c r="J17" s="11">
        <v>2</v>
      </c>
      <c r="K17" s="11">
        <v>11</v>
      </c>
      <c r="L17" s="11">
        <v>2012</v>
      </c>
      <c r="M17" s="11" t="s">
        <v>2494</v>
      </c>
      <c r="N17" s="28" t="s">
        <v>17</v>
      </c>
      <c r="O17" s="11" t="s">
        <v>51</v>
      </c>
      <c r="P17" s="37" t="s">
        <v>588</v>
      </c>
      <c r="Q17" s="37" t="s">
        <v>588</v>
      </c>
      <c r="R17" s="33" t="s">
        <v>588</v>
      </c>
      <c r="S17" s="33" t="s">
        <v>588</v>
      </c>
      <c r="T17" s="28">
        <v>1</v>
      </c>
      <c r="U17" s="28">
        <v>3</v>
      </c>
      <c r="V17" s="29" t="s">
        <v>588</v>
      </c>
      <c r="W17" s="28" t="s">
        <v>588</v>
      </c>
      <c r="X17" s="28">
        <v>2</v>
      </c>
      <c r="Y17" s="28">
        <v>2</v>
      </c>
      <c r="Z17" s="28" t="s">
        <v>41</v>
      </c>
      <c r="AA17" s="13">
        <v>41215</v>
      </c>
      <c r="AB17" s="11">
        <v>2</v>
      </c>
      <c r="AC17" s="11">
        <v>11</v>
      </c>
      <c r="AD17" s="11">
        <v>2012</v>
      </c>
      <c r="AE17" s="13" t="s">
        <v>2494</v>
      </c>
      <c r="AF17" s="28" t="s">
        <v>17</v>
      </c>
      <c r="AG17" s="13">
        <v>41219</v>
      </c>
      <c r="AH17" s="11">
        <v>6</v>
      </c>
      <c r="AI17" s="11">
        <v>11</v>
      </c>
      <c r="AJ17" s="11">
        <v>2012</v>
      </c>
      <c r="AK17" s="13" t="s">
        <v>2438</v>
      </c>
      <c r="AL17" s="28" t="s">
        <v>17</v>
      </c>
      <c r="AM17" s="29" t="s">
        <v>41</v>
      </c>
      <c r="AN17" s="33" t="s">
        <v>8</v>
      </c>
      <c r="AO17" s="11" t="s">
        <v>32</v>
      </c>
      <c r="AP17" s="34" t="s">
        <v>588</v>
      </c>
      <c r="AQ17" s="29" t="s">
        <v>588</v>
      </c>
      <c r="AR17" s="33" t="s">
        <v>588</v>
      </c>
      <c r="AS17" s="28" t="s">
        <v>588</v>
      </c>
      <c r="AT17" s="28" t="s">
        <v>588</v>
      </c>
      <c r="AU17" s="34" t="s">
        <v>588</v>
      </c>
      <c r="AV17" s="34" t="s">
        <v>588</v>
      </c>
      <c r="AW17" s="29" t="s">
        <v>588</v>
      </c>
      <c r="AX17" s="29" t="s">
        <v>588</v>
      </c>
      <c r="AY17" s="29" t="s">
        <v>588</v>
      </c>
      <c r="AZ17" s="29" t="s">
        <v>588</v>
      </c>
      <c r="BA17" s="34" t="s">
        <v>588</v>
      </c>
      <c r="BB17" s="34" t="s">
        <v>588</v>
      </c>
      <c r="BC17" s="29" t="s">
        <v>588</v>
      </c>
      <c r="BD17" s="29" t="s">
        <v>588</v>
      </c>
      <c r="BE17" s="29" t="s">
        <v>588</v>
      </c>
      <c r="BF17" s="29" t="s">
        <v>588</v>
      </c>
      <c r="BG17" s="34" t="s">
        <v>588</v>
      </c>
      <c r="BH17" s="34" t="s">
        <v>588</v>
      </c>
      <c r="BI17" s="29" t="s">
        <v>588</v>
      </c>
      <c r="BJ17" s="29" t="s">
        <v>588</v>
      </c>
      <c r="BK17" s="29" t="s">
        <v>588</v>
      </c>
      <c r="BL17" s="33" t="s">
        <v>588</v>
      </c>
      <c r="BM17" s="28" t="s">
        <v>588</v>
      </c>
      <c r="BN17" s="28" t="s">
        <v>588</v>
      </c>
      <c r="BO17" s="29" t="s">
        <v>588</v>
      </c>
      <c r="BP17" s="28" t="s">
        <v>588</v>
      </c>
      <c r="BQ17" s="29" t="s">
        <v>588</v>
      </c>
      <c r="BR17" s="29" t="s">
        <v>588</v>
      </c>
      <c r="BS17" s="28" t="s">
        <v>8</v>
      </c>
      <c r="BT17" s="11" t="s">
        <v>120</v>
      </c>
      <c r="BU17" s="28" t="s">
        <v>588</v>
      </c>
      <c r="BV17" s="33" t="s">
        <v>588</v>
      </c>
      <c r="BW17" s="29" t="s">
        <v>588</v>
      </c>
      <c r="BX17" s="29" t="s">
        <v>588</v>
      </c>
    </row>
    <row r="18" spans="1:76" s="28" customFormat="1" x14ac:dyDescent="0.25">
      <c r="A18" s="28">
        <v>201213</v>
      </c>
      <c r="B18" s="11" t="s">
        <v>129</v>
      </c>
      <c r="C18" t="s">
        <v>35</v>
      </c>
      <c r="D18" s="28" t="s">
        <v>1844</v>
      </c>
      <c r="E18" s="28" t="s">
        <v>1844</v>
      </c>
      <c r="F18" s="28">
        <v>2</v>
      </c>
      <c r="G18" s="28" t="s">
        <v>2495</v>
      </c>
      <c r="H18" s="11" t="s">
        <v>2496</v>
      </c>
      <c r="I18" s="13">
        <v>41287</v>
      </c>
      <c r="J18" s="11">
        <v>13</v>
      </c>
      <c r="K18" s="11">
        <v>1</v>
      </c>
      <c r="L18" s="11">
        <v>2013</v>
      </c>
      <c r="M18" s="11" t="s">
        <v>2497</v>
      </c>
      <c r="N18" s="28" t="s">
        <v>12</v>
      </c>
      <c r="O18" s="11" t="s">
        <v>51</v>
      </c>
      <c r="P18" s="37" t="s">
        <v>588</v>
      </c>
      <c r="Q18" s="37" t="s">
        <v>588</v>
      </c>
      <c r="R18" s="33" t="s">
        <v>588</v>
      </c>
      <c r="S18" s="33" t="s">
        <v>588</v>
      </c>
      <c r="T18" s="28">
        <v>1</v>
      </c>
      <c r="U18" s="28">
        <v>3</v>
      </c>
      <c r="V18" s="29" t="s">
        <v>588</v>
      </c>
      <c r="W18" s="28" t="s">
        <v>588</v>
      </c>
      <c r="X18" s="28">
        <v>4</v>
      </c>
      <c r="Y18" s="28">
        <v>4</v>
      </c>
      <c r="Z18" s="28" t="s">
        <v>41</v>
      </c>
      <c r="AA18" s="13">
        <v>41324</v>
      </c>
      <c r="AB18" s="11">
        <v>19</v>
      </c>
      <c r="AC18" s="11">
        <v>2</v>
      </c>
      <c r="AD18" s="11">
        <v>2013</v>
      </c>
      <c r="AE18" s="13" t="s">
        <v>2432</v>
      </c>
      <c r="AF18" s="28" t="s">
        <v>21</v>
      </c>
      <c r="AG18" s="13">
        <v>41333</v>
      </c>
      <c r="AH18" s="11">
        <v>28</v>
      </c>
      <c r="AI18" s="11">
        <v>2</v>
      </c>
      <c r="AJ18" s="11">
        <v>2013</v>
      </c>
      <c r="AK18" s="13" t="s">
        <v>2439</v>
      </c>
      <c r="AL18" s="28" t="s">
        <v>21</v>
      </c>
      <c r="AM18" s="29" t="s">
        <v>41</v>
      </c>
      <c r="AN18" s="33" t="s">
        <v>8</v>
      </c>
      <c r="AO18" s="11" t="s">
        <v>32</v>
      </c>
      <c r="AP18" s="34" t="s">
        <v>588</v>
      </c>
      <c r="AQ18" s="29" t="s">
        <v>588</v>
      </c>
      <c r="AR18" s="33" t="s">
        <v>588</v>
      </c>
      <c r="AS18" s="28" t="s">
        <v>588</v>
      </c>
      <c r="AT18" s="28" t="s">
        <v>588</v>
      </c>
      <c r="AU18" s="34" t="s">
        <v>588</v>
      </c>
      <c r="AV18" s="34" t="s">
        <v>588</v>
      </c>
      <c r="AW18" s="29" t="s">
        <v>588</v>
      </c>
      <c r="AX18" s="29" t="s">
        <v>588</v>
      </c>
      <c r="AY18" s="29" t="s">
        <v>588</v>
      </c>
      <c r="AZ18" s="29" t="s">
        <v>588</v>
      </c>
      <c r="BA18" s="29" t="s">
        <v>588</v>
      </c>
      <c r="BB18" s="29" t="s">
        <v>588</v>
      </c>
      <c r="BC18" s="29" t="s">
        <v>588</v>
      </c>
      <c r="BD18" s="29" t="s">
        <v>588</v>
      </c>
      <c r="BE18" s="29" t="s">
        <v>588</v>
      </c>
      <c r="BF18" s="29" t="s">
        <v>588</v>
      </c>
      <c r="BG18" s="29" t="s">
        <v>588</v>
      </c>
      <c r="BH18" s="29" t="s">
        <v>588</v>
      </c>
      <c r="BI18" s="29" t="s">
        <v>588</v>
      </c>
      <c r="BJ18" s="29" t="s">
        <v>588</v>
      </c>
      <c r="BK18" s="29" t="s">
        <v>588</v>
      </c>
      <c r="BL18" s="29" t="s">
        <v>588</v>
      </c>
      <c r="BM18" s="28" t="s">
        <v>588</v>
      </c>
      <c r="BN18" s="28" t="s">
        <v>588</v>
      </c>
      <c r="BO18" s="29" t="s">
        <v>588</v>
      </c>
      <c r="BP18" s="28" t="s">
        <v>588</v>
      </c>
      <c r="BQ18" s="29" t="s">
        <v>588</v>
      </c>
      <c r="BR18" s="29" t="s">
        <v>588</v>
      </c>
      <c r="BS18" s="28" t="s">
        <v>8</v>
      </c>
      <c r="BT18" s="11" t="s">
        <v>120</v>
      </c>
      <c r="BU18" s="28" t="s">
        <v>588</v>
      </c>
      <c r="BV18" s="33" t="s">
        <v>588</v>
      </c>
      <c r="BW18" s="29" t="s">
        <v>588</v>
      </c>
      <c r="BX18" s="29" t="s">
        <v>588</v>
      </c>
    </row>
    <row r="19" spans="1:76" s="28" customFormat="1" x14ac:dyDescent="0.25">
      <c r="A19" s="28">
        <v>201213</v>
      </c>
      <c r="B19" s="11" t="s">
        <v>131</v>
      </c>
      <c r="C19" t="s">
        <v>37</v>
      </c>
      <c r="D19" s="28" t="s">
        <v>38</v>
      </c>
      <c r="E19" s="28" t="s">
        <v>1844</v>
      </c>
      <c r="F19" s="28">
        <v>1</v>
      </c>
      <c r="G19" s="28" t="s">
        <v>2498</v>
      </c>
      <c r="H19" s="11" t="s">
        <v>2499</v>
      </c>
      <c r="I19" s="13">
        <v>41281</v>
      </c>
      <c r="J19" s="11">
        <v>7</v>
      </c>
      <c r="K19" s="11">
        <v>1</v>
      </c>
      <c r="L19" s="11">
        <v>2013</v>
      </c>
      <c r="M19" s="11" t="s">
        <v>2456</v>
      </c>
      <c r="N19" s="28" t="s">
        <v>12</v>
      </c>
      <c r="O19" s="11" t="s">
        <v>36</v>
      </c>
      <c r="P19" s="11">
        <v>-38.393681000000001</v>
      </c>
      <c r="Q19" s="11">
        <v>145.34489400000001</v>
      </c>
      <c r="R19" s="33" t="s">
        <v>588</v>
      </c>
      <c r="S19" s="33" t="s">
        <v>588</v>
      </c>
      <c r="T19" s="28">
        <v>1</v>
      </c>
      <c r="U19" s="28">
        <v>3</v>
      </c>
      <c r="V19" s="29" t="s">
        <v>588</v>
      </c>
      <c r="W19" s="28" t="s">
        <v>588</v>
      </c>
      <c r="X19" s="28">
        <v>3</v>
      </c>
      <c r="Y19" s="28">
        <v>3</v>
      </c>
      <c r="Z19" s="28" t="s">
        <v>41</v>
      </c>
      <c r="AA19" s="13">
        <v>41292</v>
      </c>
      <c r="AB19" s="11">
        <v>18</v>
      </c>
      <c r="AC19" s="11">
        <v>1</v>
      </c>
      <c r="AD19" s="11">
        <v>2013</v>
      </c>
      <c r="AE19" s="13" t="s">
        <v>2470</v>
      </c>
      <c r="AF19" s="28" t="s">
        <v>12</v>
      </c>
      <c r="AG19" s="13">
        <v>41303</v>
      </c>
      <c r="AH19" s="11">
        <v>29</v>
      </c>
      <c r="AI19" s="11">
        <v>1</v>
      </c>
      <c r="AJ19" s="11">
        <v>2013</v>
      </c>
      <c r="AK19" s="13" t="s">
        <v>2441</v>
      </c>
      <c r="AL19" s="28" t="s">
        <v>12</v>
      </c>
      <c r="AM19" s="29" t="s">
        <v>41</v>
      </c>
      <c r="AN19" s="29" t="s">
        <v>41</v>
      </c>
      <c r="AO19" s="29" t="s">
        <v>20</v>
      </c>
      <c r="AP19" s="29" t="s">
        <v>588</v>
      </c>
      <c r="AQ19" s="29" t="s">
        <v>588</v>
      </c>
      <c r="AR19" s="33" t="s">
        <v>588</v>
      </c>
      <c r="AS19" s="28" t="s">
        <v>588</v>
      </c>
      <c r="AT19" s="28" t="s">
        <v>588</v>
      </c>
      <c r="AU19" s="29" t="s">
        <v>588</v>
      </c>
      <c r="AV19" s="29" t="s">
        <v>588</v>
      </c>
      <c r="AW19" s="29" t="s">
        <v>588</v>
      </c>
      <c r="AX19" s="29" t="s">
        <v>588</v>
      </c>
      <c r="AY19" s="29" t="s">
        <v>588</v>
      </c>
      <c r="AZ19" s="29" t="s">
        <v>588</v>
      </c>
      <c r="BA19" s="29" t="s">
        <v>588</v>
      </c>
      <c r="BB19" s="29" t="s">
        <v>588</v>
      </c>
      <c r="BC19" s="29" t="s">
        <v>588</v>
      </c>
      <c r="BD19" s="29" t="s">
        <v>588</v>
      </c>
      <c r="BE19" s="29" t="s">
        <v>588</v>
      </c>
      <c r="BF19" s="29" t="s">
        <v>588</v>
      </c>
      <c r="BG19" s="29" t="s">
        <v>588</v>
      </c>
      <c r="BH19" s="29" t="s">
        <v>588</v>
      </c>
      <c r="BI19" s="29" t="s">
        <v>588</v>
      </c>
      <c r="BJ19" s="29" t="s">
        <v>588</v>
      </c>
      <c r="BK19" s="29" t="s">
        <v>588</v>
      </c>
      <c r="BL19" s="29" t="s">
        <v>588</v>
      </c>
      <c r="BM19" s="28" t="s">
        <v>588</v>
      </c>
      <c r="BN19" s="28" t="s">
        <v>588</v>
      </c>
      <c r="BO19" s="29" t="s">
        <v>588</v>
      </c>
      <c r="BP19" s="28" t="s">
        <v>588</v>
      </c>
      <c r="BQ19" s="29" t="s">
        <v>588</v>
      </c>
      <c r="BR19" s="29" t="s">
        <v>588</v>
      </c>
      <c r="BS19" s="28" t="s">
        <v>41</v>
      </c>
      <c r="BT19" s="11" t="s">
        <v>42</v>
      </c>
      <c r="BU19" s="29" t="s">
        <v>588</v>
      </c>
      <c r="BV19" s="33" t="s">
        <v>588</v>
      </c>
      <c r="BW19" s="29" t="s">
        <v>588</v>
      </c>
      <c r="BX19" s="29" t="s">
        <v>588</v>
      </c>
    </row>
    <row r="20" spans="1:76" s="28" customFormat="1" x14ac:dyDescent="0.25">
      <c r="A20" s="28">
        <v>201213</v>
      </c>
      <c r="B20" s="11" t="s">
        <v>131</v>
      </c>
      <c r="C20" t="s">
        <v>37</v>
      </c>
      <c r="D20" s="28" t="s">
        <v>38</v>
      </c>
      <c r="E20" s="28" t="s">
        <v>1844</v>
      </c>
      <c r="F20" s="28">
        <v>2</v>
      </c>
      <c r="G20" s="28" t="s">
        <v>2500</v>
      </c>
      <c r="H20" s="11" t="s">
        <v>2501</v>
      </c>
      <c r="I20" s="13">
        <v>41317</v>
      </c>
      <c r="J20" s="11">
        <v>12</v>
      </c>
      <c r="K20" s="11">
        <v>2</v>
      </c>
      <c r="L20" s="11">
        <v>2013</v>
      </c>
      <c r="M20" s="11" t="s">
        <v>2502</v>
      </c>
      <c r="N20" s="28" t="s">
        <v>21</v>
      </c>
      <c r="O20" s="33" t="s">
        <v>10</v>
      </c>
      <c r="P20" s="11">
        <v>-38.393940000000001</v>
      </c>
      <c r="Q20" s="11">
        <v>145.34489400000001</v>
      </c>
      <c r="R20" s="33" t="s">
        <v>588</v>
      </c>
      <c r="S20" s="33" t="s">
        <v>588</v>
      </c>
      <c r="T20" s="28">
        <v>2</v>
      </c>
      <c r="U20" s="28">
        <v>2</v>
      </c>
      <c r="V20" s="29" t="s">
        <v>588</v>
      </c>
      <c r="W20" s="28" t="s">
        <v>588</v>
      </c>
      <c r="X20" s="28">
        <v>3</v>
      </c>
      <c r="Y20" s="28">
        <v>3</v>
      </c>
      <c r="Z20" s="28" t="s">
        <v>8</v>
      </c>
      <c r="AA20" s="13">
        <v>41336</v>
      </c>
      <c r="AB20" s="11">
        <v>3</v>
      </c>
      <c r="AC20" s="11">
        <v>3</v>
      </c>
      <c r="AD20" s="11">
        <v>2013</v>
      </c>
      <c r="AE20" s="13" t="s">
        <v>2479</v>
      </c>
      <c r="AF20" s="28" t="s">
        <v>22</v>
      </c>
      <c r="AG20" s="34" t="s">
        <v>588</v>
      </c>
      <c r="AH20" s="11" t="s">
        <v>588</v>
      </c>
      <c r="AI20" s="11" t="s">
        <v>588</v>
      </c>
      <c r="AJ20" s="11" t="s">
        <v>588</v>
      </c>
      <c r="AK20" s="13" t="s">
        <v>588</v>
      </c>
      <c r="AL20" s="28" t="s">
        <v>588</v>
      </c>
      <c r="AM20" s="29" t="s">
        <v>588</v>
      </c>
      <c r="AN20" s="29" t="s">
        <v>588</v>
      </c>
      <c r="AO20" s="29" t="s">
        <v>588</v>
      </c>
      <c r="AP20" s="13">
        <v>41341</v>
      </c>
      <c r="AQ20" s="29" t="s">
        <v>22</v>
      </c>
      <c r="AR20" s="11" t="s">
        <v>195</v>
      </c>
      <c r="AS20" s="33">
        <v>1</v>
      </c>
      <c r="AT20" s="33">
        <v>2</v>
      </c>
      <c r="AU20" s="29" t="s">
        <v>588</v>
      </c>
      <c r="AV20" s="29" t="s">
        <v>588</v>
      </c>
      <c r="AW20" s="29" t="s">
        <v>588</v>
      </c>
      <c r="AX20" s="29" t="s">
        <v>588</v>
      </c>
      <c r="AY20" s="29" t="s">
        <v>588</v>
      </c>
      <c r="AZ20" s="29" t="s">
        <v>588</v>
      </c>
      <c r="BA20" s="29" t="s">
        <v>588</v>
      </c>
      <c r="BB20" s="29" t="s">
        <v>588</v>
      </c>
      <c r="BC20" s="29" t="s">
        <v>588</v>
      </c>
      <c r="BD20" s="29" t="s">
        <v>588</v>
      </c>
      <c r="BE20" s="29" t="s">
        <v>588</v>
      </c>
      <c r="BF20" s="29" t="s">
        <v>588</v>
      </c>
      <c r="BG20" s="29" t="s">
        <v>588</v>
      </c>
      <c r="BH20" s="29" t="s">
        <v>588</v>
      </c>
      <c r="BI20" s="29" t="s">
        <v>588</v>
      </c>
      <c r="BJ20" s="29" t="s">
        <v>588</v>
      </c>
      <c r="BK20" s="29" t="s">
        <v>588</v>
      </c>
      <c r="BL20" s="29" t="s">
        <v>588</v>
      </c>
      <c r="BM20" s="28">
        <v>6</v>
      </c>
      <c r="BN20" s="28">
        <v>6</v>
      </c>
      <c r="BO20" s="29" t="s">
        <v>8</v>
      </c>
      <c r="BP20" s="28">
        <v>1</v>
      </c>
      <c r="BQ20" s="13">
        <v>41380</v>
      </c>
      <c r="BR20" s="29" t="s">
        <v>72</v>
      </c>
      <c r="BS20" s="28" t="s">
        <v>8</v>
      </c>
      <c r="BT20" s="11" t="s">
        <v>120</v>
      </c>
      <c r="BU20" s="28" t="s">
        <v>8</v>
      </c>
      <c r="BV20" s="11" t="s">
        <v>120</v>
      </c>
      <c r="BW20" s="29" t="s">
        <v>588</v>
      </c>
      <c r="BX20" s="29" t="s">
        <v>588</v>
      </c>
    </row>
    <row r="21" spans="1:76" s="28" customFormat="1" x14ac:dyDescent="0.25">
      <c r="A21" s="28">
        <v>201213</v>
      </c>
      <c r="B21" s="11" t="s">
        <v>2425</v>
      </c>
      <c r="C21" t="s">
        <v>563</v>
      </c>
      <c r="D21" s="28" t="s">
        <v>2426</v>
      </c>
      <c r="E21" s="28" t="s">
        <v>360</v>
      </c>
      <c r="F21" s="28">
        <v>1</v>
      </c>
      <c r="G21" s="28" t="s">
        <v>2503</v>
      </c>
      <c r="H21" s="11" t="s">
        <v>2504</v>
      </c>
      <c r="I21" s="13">
        <v>41223</v>
      </c>
      <c r="J21" s="11">
        <v>10</v>
      </c>
      <c r="K21" s="11">
        <v>11</v>
      </c>
      <c r="L21" s="11">
        <v>2012</v>
      </c>
      <c r="M21" s="11" t="s">
        <v>2505</v>
      </c>
      <c r="N21" s="28" t="s">
        <v>17</v>
      </c>
      <c r="O21" s="33" t="s">
        <v>10</v>
      </c>
      <c r="P21" s="32" t="s">
        <v>588</v>
      </c>
      <c r="Q21" s="32" t="s">
        <v>588</v>
      </c>
      <c r="R21" s="28" t="s">
        <v>588</v>
      </c>
      <c r="S21" s="28" t="s">
        <v>588</v>
      </c>
      <c r="T21" s="28">
        <v>1</v>
      </c>
      <c r="U21" s="28">
        <v>3</v>
      </c>
      <c r="V21" s="29" t="s">
        <v>588</v>
      </c>
      <c r="W21" s="28" t="s">
        <v>588</v>
      </c>
      <c r="X21" s="28">
        <v>2</v>
      </c>
      <c r="Y21" s="28">
        <v>2</v>
      </c>
      <c r="Z21" s="28" t="s">
        <v>647</v>
      </c>
      <c r="AA21" s="13">
        <v>41223</v>
      </c>
      <c r="AB21" s="11">
        <v>10</v>
      </c>
      <c r="AC21" s="11">
        <v>11</v>
      </c>
      <c r="AD21" s="11">
        <v>2012</v>
      </c>
      <c r="AE21" s="13" t="s">
        <v>2505</v>
      </c>
      <c r="AF21" s="28" t="s">
        <v>17</v>
      </c>
      <c r="AG21" s="13">
        <v>41264</v>
      </c>
      <c r="AH21" s="11">
        <v>21</v>
      </c>
      <c r="AI21" s="11">
        <v>12</v>
      </c>
      <c r="AJ21" s="11">
        <v>2012</v>
      </c>
      <c r="AK21" s="13" t="s">
        <v>2442</v>
      </c>
      <c r="AL21" s="28" t="s">
        <v>7</v>
      </c>
      <c r="AM21" s="29" t="s">
        <v>41</v>
      </c>
      <c r="AN21" s="29" t="s">
        <v>41</v>
      </c>
      <c r="AO21" s="29" t="s">
        <v>20</v>
      </c>
      <c r="AP21" s="28" t="s">
        <v>588</v>
      </c>
      <c r="AQ21" s="29" t="s">
        <v>588</v>
      </c>
      <c r="AR21" s="28" t="s">
        <v>588</v>
      </c>
      <c r="AS21" s="28" t="s">
        <v>588</v>
      </c>
      <c r="AT21" s="28" t="s">
        <v>588</v>
      </c>
      <c r="AU21" s="29" t="s">
        <v>588</v>
      </c>
      <c r="AV21" s="28" t="s">
        <v>588</v>
      </c>
      <c r="AW21" s="29" t="s">
        <v>588</v>
      </c>
      <c r="AX21" s="28" t="s">
        <v>588</v>
      </c>
      <c r="AY21" s="29" t="s">
        <v>588</v>
      </c>
      <c r="AZ21" s="28" t="s">
        <v>588</v>
      </c>
      <c r="BA21" s="29" t="s">
        <v>588</v>
      </c>
      <c r="BB21" s="28" t="s">
        <v>588</v>
      </c>
      <c r="BC21" s="29" t="s">
        <v>588</v>
      </c>
      <c r="BD21" s="28" t="s">
        <v>588</v>
      </c>
      <c r="BE21" s="29" t="s">
        <v>588</v>
      </c>
      <c r="BF21" s="28" t="s">
        <v>588</v>
      </c>
      <c r="BG21" s="29" t="s">
        <v>588</v>
      </c>
      <c r="BH21" s="29" t="s">
        <v>588</v>
      </c>
      <c r="BI21" s="29" t="s">
        <v>588</v>
      </c>
      <c r="BJ21" s="29" t="s">
        <v>588</v>
      </c>
      <c r="BK21" s="29" t="s">
        <v>588</v>
      </c>
      <c r="BL21" s="29" t="s">
        <v>588</v>
      </c>
      <c r="BM21" s="28" t="s">
        <v>588</v>
      </c>
      <c r="BN21" s="28" t="s">
        <v>588</v>
      </c>
      <c r="BO21" s="29" t="s">
        <v>588</v>
      </c>
      <c r="BP21" s="28" t="s">
        <v>588</v>
      </c>
      <c r="BQ21" s="29" t="s">
        <v>588</v>
      </c>
      <c r="BR21" s="29" t="s">
        <v>588</v>
      </c>
      <c r="BS21" s="28" t="s">
        <v>41</v>
      </c>
      <c r="BT21" s="11" t="s">
        <v>42</v>
      </c>
      <c r="BU21" s="29" t="s">
        <v>588</v>
      </c>
      <c r="BV21" s="29" t="s">
        <v>588</v>
      </c>
      <c r="BW21" s="29" t="s">
        <v>588</v>
      </c>
      <c r="BX21" s="29" t="s">
        <v>588</v>
      </c>
    </row>
    <row r="22" spans="1:76" s="28" customFormat="1" x14ac:dyDescent="0.25">
      <c r="A22" s="28">
        <v>201213</v>
      </c>
      <c r="B22" s="11" t="s">
        <v>2425</v>
      </c>
      <c r="C22" t="s">
        <v>563</v>
      </c>
      <c r="D22" s="28" t="s">
        <v>2426</v>
      </c>
      <c r="E22" s="28" t="s">
        <v>360</v>
      </c>
      <c r="F22" s="28">
        <v>2</v>
      </c>
      <c r="G22" s="28" t="s">
        <v>2506</v>
      </c>
      <c r="H22" s="11" t="s">
        <v>2507</v>
      </c>
      <c r="I22" s="13">
        <v>41274</v>
      </c>
      <c r="J22" s="11">
        <v>31</v>
      </c>
      <c r="K22" s="11">
        <v>12</v>
      </c>
      <c r="L22" s="11">
        <v>2012</v>
      </c>
      <c r="M22" s="11" t="s">
        <v>2483</v>
      </c>
      <c r="N22" s="28" t="s">
        <v>7</v>
      </c>
      <c r="O22" s="33" t="s">
        <v>36</v>
      </c>
      <c r="P22" s="37" t="s">
        <v>588</v>
      </c>
      <c r="Q22" s="37" t="s">
        <v>588</v>
      </c>
      <c r="R22" s="33" t="s">
        <v>588</v>
      </c>
      <c r="S22" s="33" t="s">
        <v>588</v>
      </c>
      <c r="T22" s="28">
        <v>3</v>
      </c>
      <c r="U22" s="28">
        <v>3</v>
      </c>
      <c r="V22" s="29" t="s">
        <v>588</v>
      </c>
      <c r="W22" s="28" t="s">
        <v>588</v>
      </c>
      <c r="X22" s="28">
        <v>2</v>
      </c>
      <c r="Y22" s="28">
        <v>2</v>
      </c>
      <c r="Z22" s="28" t="s">
        <v>647</v>
      </c>
      <c r="AA22" s="13">
        <v>41274</v>
      </c>
      <c r="AB22" s="11">
        <v>31</v>
      </c>
      <c r="AC22" s="11">
        <v>12</v>
      </c>
      <c r="AD22" s="11">
        <v>2012</v>
      </c>
      <c r="AE22" s="13" t="s">
        <v>2483</v>
      </c>
      <c r="AF22" s="28" t="s">
        <v>7</v>
      </c>
      <c r="AG22" s="13">
        <v>41328</v>
      </c>
      <c r="AH22" s="11">
        <v>23</v>
      </c>
      <c r="AI22" s="11">
        <v>2</v>
      </c>
      <c r="AJ22" s="11">
        <v>2013</v>
      </c>
      <c r="AK22" s="13" t="s">
        <v>2443</v>
      </c>
      <c r="AL22" s="28" t="s">
        <v>21</v>
      </c>
      <c r="AM22" s="29" t="s">
        <v>41</v>
      </c>
      <c r="AN22" s="29" t="s">
        <v>41</v>
      </c>
      <c r="AO22" s="29" t="s">
        <v>20</v>
      </c>
      <c r="AP22" s="29" t="s">
        <v>588</v>
      </c>
      <c r="AQ22" s="29" t="s">
        <v>588</v>
      </c>
      <c r="AR22" s="29" t="s">
        <v>588</v>
      </c>
      <c r="AS22" s="28" t="s">
        <v>588</v>
      </c>
      <c r="AT22" s="28" t="s">
        <v>588</v>
      </c>
      <c r="AU22" s="29" t="s">
        <v>588</v>
      </c>
      <c r="AV22" s="29" t="s">
        <v>588</v>
      </c>
      <c r="AW22" s="29" t="s">
        <v>588</v>
      </c>
      <c r="AX22" s="29" t="s">
        <v>588</v>
      </c>
      <c r="AY22" s="29" t="s">
        <v>588</v>
      </c>
      <c r="AZ22" s="29" t="s">
        <v>588</v>
      </c>
      <c r="BA22" s="29" t="s">
        <v>588</v>
      </c>
      <c r="BB22" s="29" t="s">
        <v>588</v>
      </c>
      <c r="BC22" s="29" t="s">
        <v>588</v>
      </c>
      <c r="BD22" s="29" t="s">
        <v>588</v>
      </c>
      <c r="BE22" s="29" t="s">
        <v>588</v>
      </c>
      <c r="BF22" s="29" t="s">
        <v>588</v>
      </c>
      <c r="BG22" s="29" t="s">
        <v>588</v>
      </c>
      <c r="BH22" s="29" t="s">
        <v>588</v>
      </c>
      <c r="BI22" s="29" t="s">
        <v>588</v>
      </c>
      <c r="BJ22" s="29" t="s">
        <v>588</v>
      </c>
      <c r="BK22" s="29" t="s">
        <v>588</v>
      </c>
      <c r="BL22" s="29" t="s">
        <v>588</v>
      </c>
      <c r="BM22" s="28" t="s">
        <v>588</v>
      </c>
      <c r="BN22" s="28" t="s">
        <v>588</v>
      </c>
      <c r="BO22" s="29" t="s">
        <v>588</v>
      </c>
      <c r="BP22" s="28" t="s">
        <v>588</v>
      </c>
      <c r="BQ22" s="29" t="s">
        <v>588</v>
      </c>
      <c r="BR22" s="29" t="s">
        <v>588</v>
      </c>
      <c r="BS22" s="28" t="s">
        <v>41</v>
      </c>
      <c r="BT22" s="11" t="s">
        <v>42</v>
      </c>
      <c r="BU22" s="29" t="s">
        <v>588</v>
      </c>
      <c r="BV22" s="29" t="s">
        <v>588</v>
      </c>
      <c r="BW22" s="29" t="s">
        <v>588</v>
      </c>
      <c r="BX22" s="29" t="s">
        <v>588</v>
      </c>
    </row>
    <row r="23" spans="1:76" s="28" customFormat="1" x14ac:dyDescent="0.25">
      <c r="A23" s="28">
        <v>201213</v>
      </c>
      <c r="B23" s="11" t="s">
        <v>2272</v>
      </c>
      <c r="C23" t="s">
        <v>365</v>
      </c>
      <c r="D23" s="28" t="s">
        <v>1623</v>
      </c>
      <c r="E23" s="33" t="s">
        <v>588</v>
      </c>
      <c r="F23" s="28">
        <v>1</v>
      </c>
      <c r="G23" s="28" t="s">
        <v>2508</v>
      </c>
      <c r="H23" s="11" t="s">
        <v>2509</v>
      </c>
      <c r="I23" s="13">
        <v>41324</v>
      </c>
      <c r="J23" s="11">
        <v>19</v>
      </c>
      <c r="K23" s="11">
        <v>2</v>
      </c>
      <c r="L23" s="11">
        <v>2013</v>
      </c>
      <c r="M23" s="11" t="s">
        <v>2432</v>
      </c>
      <c r="N23" s="28" t="s">
        <v>21</v>
      </c>
      <c r="O23" s="28" t="s">
        <v>10</v>
      </c>
      <c r="P23" s="11">
        <v>-38.595149999999997</v>
      </c>
      <c r="Q23" s="11">
        <v>145.52299500000001</v>
      </c>
      <c r="R23" s="28" t="s">
        <v>588</v>
      </c>
      <c r="S23" s="28" t="s">
        <v>588</v>
      </c>
      <c r="T23" s="28">
        <v>3</v>
      </c>
      <c r="U23" s="28">
        <v>3</v>
      </c>
      <c r="V23" s="28" t="s">
        <v>588</v>
      </c>
      <c r="W23" s="28" t="s">
        <v>588</v>
      </c>
      <c r="X23" s="28">
        <v>4</v>
      </c>
      <c r="Y23" s="28">
        <v>4</v>
      </c>
      <c r="Z23" s="28" t="s">
        <v>8</v>
      </c>
      <c r="AA23" s="13">
        <v>41344</v>
      </c>
      <c r="AB23" s="11">
        <v>11</v>
      </c>
      <c r="AC23" s="11">
        <v>3</v>
      </c>
      <c r="AD23" s="11">
        <v>2013</v>
      </c>
      <c r="AE23" s="13" t="s">
        <v>2510</v>
      </c>
      <c r="AF23" s="28" t="s">
        <v>22</v>
      </c>
      <c r="AG23" s="34" t="s">
        <v>588</v>
      </c>
      <c r="AH23" s="11" t="s">
        <v>588</v>
      </c>
      <c r="AI23" s="11" t="s">
        <v>588</v>
      </c>
      <c r="AJ23" s="11" t="s">
        <v>588</v>
      </c>
      <c r="AK23" s="13" t="s">
        <v>588</v>
      </c>
      <c r="AL23" s="28" t="s">
        <v>588</v>
      </c>
      <c r="AM23" s="29" t="s">
        <v>588</v>
      </c>
      <c r="AN23" s="28" t="s">
        <v>588</v>
      </c>
      <c r="AO23" s="29" t="s">
        <v>588</v>
      </c>
      <c r="AP23" s="13">
        <v>41351</v>
      </c>
      <c r="AQ23" s="29" t="s">
        <v>22</v>
      </c>
      <c r="AR23" s="11" t="s">
        <v>195</v>
      </c>
      <c r="AS23" s="28">
        <v>2</v>
      </c>
      <c r="AT23" s="28">
        <v>3</v>
      </c>
      <c r="AU23" s="29" t="s">
        <v>588</v>
      </c>
      <c r="AV23" s="28" t="s">
        <v>588</v>
      </c>
      <c r="AW23" s="29" t="s">
        <v>588</v>
      </c>
      <c r="AX23" s="28" t="s">
        <v>588</v>
      </c>
      <c r="AY23" s="29" t="s">
        <v>588</v>
      </c>
      <c r="AZ23" s="28" t="s">
        <v>588</v>
      </c>
      <c r="BA23" s="29" t="s">
        <v>588</v>
      </c>
      <c r="BB23" s="28" t="s">
        <v>588</v>
      </c>
      <c r="BC23" s="29" t="s">
        <v>588</v>
      </c>
      <c r="BD23" s="28" t="s">
        <v>588</v>
      </c>
      <c r="BE23" s="29" t="s">
        <v>588</v>
      </c>
      <c r="BF23" s="28" t="s">
        <v>588</v>
      </c>
      <c r="BG23" s="29" t="s">
        <v>588</v>
      </c>
      <c r="BH23" s="29" t="s">
        <v>588</v>
      </c>
      <c r="BI23" s="29" t="s">
        <v>588</v>
      </c>
      <c r="BJ23" s="29" t="s">
        <v>588</v>
      </c>
      <c r="BK23" s="29" t="s">
        <v>588</v>
      </c>
      <c r="BL23" s="29" t="s">
        <v>588</v>
      </c>
      <c r="BM23" s="28">
        <v>4</v>
      </c>
      <c r="BN23" s="28">
        <v>4</v>
      </c>
      <c r="BO23" s="29" t="s">
        <v>8</v>
      </c>
      <c r="BP23" s="28">
        <v>2</v>
      </c>
      <c r="BQ23" s="13">
        <v>41394</v>
      </c>
      <c r="BR23" s="29" t="s">
        <v>72</v>
      </c>
      <c r="BS23" s="29" t="s">
        <v>8</v>
      </c>
      <c r="BT23" s="11" t="s">
        <v>120</v>
      </c>
      <c r="BU23" s="29" t="s">
        <v>8</v>
      </c>
      <c r="BV23" s="11" t="s">
        <v>120</v>
      </c>
      <c r="BW23" s="29" t="s">
        <v>588</v>
      </c>
      <c r="BX23" s="29" t="s">
        <v>588</v>
      </c>
    </row>
    <row r="24" spans="1:76" s="28" customFormat="1" x14ac:dyDescent="0.25">
      <c r="A24" s="28">
        <v>201213</v>
      </c>
      <c r="B24" s="11" t="s">
        <v>132</v>
      </c>
      <c r="C24" t="s">
        <v>39</v>
      </c>
      <c r="D24" s="28" t="s">
        <v>1844</v>
      </c>
      <c r="E24" s="28" t="s">
        <v>1844</v>
      </c>
      <c r="F24" s="28">
        <v>1</v>
      </c>
      <c r="G24" s="28" t="s">
        <v>2511</v>
      </c>
      <c r="H24" s="11" t="s">
        <v>2512</v>
      </c>
      <c r="I24" s="13">
        <v>41223</v>
      </c>
      <c r="J24" s="11">
        <v>10</v>
      </c>
      <c r="K24" s="11">
        <v>11</v>
      </c>
      <c r="L24" s="11">
        <v>2012</v>
      </c>
      <c r="M24" s="11" t="s">
        <v>2505</v>
      </c>
      <c r="N24" s="28" t="s">
        <v>17</v>
      </c>
      <c r="O24" s="33" t="s">
        <v>36</v>
      </c>
      <c r="P24" s="32" t="s">
        <v>588</v>
      </c>
      <c r="Q24" s="32" t="s">
        <v>588</v>
      </c>
      <c r="R24" s="28" t="s">
        <v>588</v>
      </c>
      <c r="S24" s="28" t="s">
        <v>588</v>
      </c>
      <c r="T24" s="28">
        <v>3</v>
      </c>
      <c r="U24" s="28">
        <v>3</v>
      </c>
      <c r="V24" s="28" t="s">
        <v>588</v>
      </c>
      <c r="W24" s="28" t="s">
        <v>588</v>
      </c>
      <c r="X24" s="28">
        <v>2</v>
      </c>
      <c r="Y24" s="28">
        <v>2</v>
      </c>
      <c r="Z24" s="28" t="s">
        <v>647</v>
      </c>
      <c r="AA24" s="13">
        <v>41223</v>
      </c>
      <c r="AB24" s="11">
        <v>10</v>
      </c>
      <c r="AC24" s="11">
        <v>11</v>
      </c>
      <c r="AD24" s="11">
        <v>2012</v>
      </c>
      <c r="AE24" s="13" t="s">
        <v>2505</v>
      </c>
      <c r="AF24" s="28" t="s">
        <v>17</v>
      </c>
      <c r="AG24" s="13">
        <v>41253</v>
      </c>
      <c r="AH24" s="11">
        <v>10</v>
      </c>
      <c r="AI24" s="11">
        <v>12</v>
      </c>
      <c r="AJ24" s="11">
        <v>2012</v>
      </c>
      <c r="AK24" s="13" t="s">
        <v>2444</v>
      </c>
      <c r="AL24" s="28" t="s">
        <v>7</v>
      </c>
      <c r="AM24" s="29" t="s">
        <v>41</v>
      </c>
      <c r="AN24" s="28" t="s">
        <v>41</v>
      </c>
      <c r="AO24" s="29" t="s">
        <v>20</v>
      </c>
      <c r="AP24" s="28" t="s">
        <v>588</v>
      </c>
      <c r="AQ24" s="29" t="s">
        <v>588</v>
      </c>
      <c r="AR24" s="28" t="s">
        <v>588</v>
      </c>
      <c r="AS24" s="28" t="s">
        <v>588</v>
      </c>
      <c r="AT24" s="28" t="s">
        <v>588</v>
      </c>
      <c r="AU24" s="29" t="s">
        <v>588</v>
      </c>
      <c r="AV24" s="28" t="s">
        <v>588</v>
      </c>
      <c r="AW24" s="29" t="s">
        <v>588</v>
      </c>
      <c r="AX24" s="28" t="s">
        <v>588</v>
      </c>
      <c r="AY24" s="29" t="s">
        <v>588</v>
      </c>
      <c r="AZ24" s="28" t="s">
        <v>588</v>
      </c>
      <c r="BA24" s="29" t="s">
        <v>588</v>
      </c>
      <c r="BB24" s="28" t="s">
        <v>588</v>
      </c>
      <c r="BC24" s="29" t="s">
        <v>588</v>
      </c>
      <c r="BD24" s="28" t="s">
        <v>588</v>
      </c>
      <c r="BE24" s="29" t="s">
        <v>588</v>
      </c>
      <c r="BF24" s="28" t="s">
        <v>588</v>
      </c>
      <c r="BG24" s="29" t="s">
        <v>588</v>
      </c>
      <c r="BH24" s="29" t="s">
        <v>588</v>
      </c>
      <c r="BI24" s="29" t="s">
        <v>588</v>
      </c>
      <c r="BJ24" s="29" t="s">
        <v>588</v>
      </c>
      <c r="BK24" s="29" t="s">
        <v>588</v>
      </c>
      <c r="BL24" s="29" t="s">
        <v>588</v>
      </c>
      <c r="BM24" s="28" t="s">
        <v>588</v>
      </c>
      <c r="BN24" s="28" t="s">
        <v>588</v>
      </c>
      <c r="BO24" s="29" t="s">
        <v>588</v>
      </c>
      <c r="BP24" s="28" t="s">
        <v>588</v>
      </c>
      <c r="BQ24" s="29" t="s">
        <v>588</v>
      </c>
      <c r="BR24" s="29" t="s">
        <v>588</v>
      </c>
      <c r="BS24" s="29" t="s">
        <v>8</v>
      </c>
      <c r="BT24" s="11" t="s">
        <v>120</v>
      </c>
      <c r="BU24" s="29" t="s">
        <v>588</v>
      </c>
      <c r="BV24" s="29" t="s">
        <v>588</v>
      </c>
      <c r="BW24" s="29" t="s">
        <v>588</v>
      </c>
      <c r="BX24" s="29" t="s">
        <v>588</v>
      </c>
    </row>
    <row r="25" spans="1:76" s="28" customFormat="1" x14ac:dyDescent="0.25">
      <c r="A25" s="28">
        <v>201213</v>
      </c>
      <c r="B25" s="11" t="s">
        <v>132</v>
      </c>
      <c r="C25" t="s">
        <v>39</v>
      </c>
      <c r="D25" s="28" t="s">
        <v>1844</v>
      </c>
      <c r="E25" s="28" t="s">
        <v>1844</v>
      </c>
      <c r="F25" s="28">
        <v>2</v>
      </c>
      <c r="G25" s="28" t="s">
        <v>2513</v>
      </c>
      <c r="H25" s="11" t="s">
        <v>2514</v>
      </c>
      <c r="I25" s="13">
        <v>41254</v>
      </c>
      <c r="J25" s="11">
        <v>11</v>
      </c>
      <c r="K25" s="11">
        <v>12</v>
      </c>
      <c r="L25" s="11">
        <v>2012</v>
      </c>
      <c r="M25" s="11" t="s">
        <v>2515</v>
      </c>
      <c r="N25" s="28" t="s">
        <v>7</v>
      </c>
      <c r="O25" s="33" t="s">
        <v>36</v>
      </c>
      <c r="P25" s="32" t="s">
        <v>588</v>
      </c>
      <c r="Q25" s="32" t="s">
        <v>588</v>
      </c>
      <c r="R25" s="28" t="s">
        <v>588</v>
      </c>
      <c r="S25" s="28" t="s">
        <v>588</v>
      </c>
      <c r="T25" s="28">
        <v>1</v>
      </c>
      <c r="U25" s="28">
        <v>3</v>
      </c>
      <c r="V25" s="28" t="s">
        <v>588</v>
      </c>
      <c r="W25" s="28" t="s">
        <v>588</v>
      </c>
      <c r="X25" s="28">
        <v>3</v>
      </c>
      <c r="Y25" s="28">
        <v>3</v>
      </c>
      <c r="Z25" s="28" t="s">
        <v>8</v>
      </c>
      <c r="AA25" s="13">
        <v>41278</v>
      </c>
      <c r="AB25" s="11">
        <v>4</v>
      </c>
      <c r="AC25" s="11">
        <v>1</v>
      </c>
      <c r="AD25" s="11">
        <v>2013</v>
      </c>
      <c r="AE25" s="13" t="s">
        <v>2516</v>
      </c>
      <c r="AF25" s="28" t="s">
        <v>12</v>
      </c>
      <c r="AG25" s="34" t="s">
        <v>588</v>
      </c>
      <c r="AH25" s="11" t="s">
        <v>588</v>
      </c>
      <c r="AI25" s="11" t="s">
        <v>588</v>
      </c>
      <c r="AJ25" s="11" t="s">
        <v>588</v>
      </c>
      <c r="AK25" s="13" t="s">
        <v>588</v>
      </c>
      <c r="AL25" s="28" t="s">
        <v>588</v>
      </c>
      <c r="AM25" s="29" t="s">
        <v>588</v>
      </c>
      <c r="AN25" s="29" t="s">
        <v>588</v>
      </c>
      <c r="AO25" s="29" t="s">
        <v>588</v>
      </c>
      <c r="AP25" s="13">
        <v>41284</v>
      </c>
      <c r="AQ25" s="29" t="s">
        <v>12</v>
      </c>
      <c r="AR25" s="11" t="s">
        <v>195</v>
      </c>
      <c r="AS25" s="28">
        <v>1</v>
      </c>
      <c r="AT25" s="28">
        <v>1</v>
      </c>
      <c r="AU25" s="13">
        <v>41287</v>
      </c>
      <c r="AV25" s="13">
        <v>41302</v>
      </c>
      <c r="AW25" s="29" t="s">
        <v>12</v>
      </c>
      <c r="AX25" s="29" t="s">
        <v>41</v>
      </c>
      <c r="AY25" s="29" t="s">
        <v>41</v>
      </c>
      <c r="AZ25" s="29" t="s">
        <v>20</v>
      </c>
      <c r="BA25" s="29" t="s">
        <v>588</v>
      </c>
      <c r="BB25" s="29" t="s">
        <v>588</v>
      </c>
      <c r="BC25" s="29" t="s">
        <v>588</v>
      </c>
      <c r="BD25" s="29" t="s">
        <v>588</v>
      </c>
      <c r="BE25" s="29" t="s">
        <v>588</v>
      </c>
      <c r="BF25" s="29" t="s">
        <v>588</v>
      </c>
      <c r="BG25" s="29" t="s">
        <v>588</v>
      </c>
      <c r="BH25" s="29" t="s">
        <v>588</v>
      </c>
      <c r="BI25" s="29" t="s">
        <v>588</v>
      </c>
      <c r="BJ25" s="29" t="s">
        <v>588</v>
      </c>
      <c r="BK25" s="29" t="s">
        <v>588</v>
      </c>
      <c r="BL25" s="29" t="s">
        <v>588</v>
      </c>
      <c r="BM25" s="28">
        <v>3</v>
      </c>
      <c r="BN25" s="28">
        <v>3</v>
      </c>
      <c r="BO25" s="29" t="s">
        <v>41</v>
      </c>
      <c r="BP25" s="28" t="s">
        <v>588</v>
      </c>
      <c r="BQ25" s="29" t="s">
        <v>588</v>
      </c>
      <c r="BR25" s="29" t="s">
        <v>588</v>
      </c>
      <c r="BS25" s="29" t="s">
        <v>8</v>
      </c>
      <c r="BT25" s="11" t="s">
        <v>120</v>
      </c>
      <c r="BU25" s="29" t="s">
        <v>8</v>
      </c>
      <c r="BV25" s="28" t="s">
        <v>123</v>
      </c>
      <c r="BW25" s="29" t="s">
        <v>588</v>
      </c>
      <c r="BX25" s="29" t="s">
        <v>588</v>
      </c>
    </row>
    <row r="26" spans="1:76" s="28" customFormat="1" x14ac:dyDescent="0.25">
      <c r="A26" s="28">
        <v>201213</v>
      </c>
      <c r="B26" s="11" t="s">
        <v>45</v>
      </c>
      <c r="C26" t="s">
        <v>45</v>
      </c>
      <c r="D26" s="28" t="s">
        <v>2003</v>
      </c>
      <c r="E26" s="28" t="s">
        <v>1844</v>
      </c>
      <c r="F26" s="28">
        <v>1</v>
      </c>
      <c r="G26" s="28" t="s">
        <v>2517</v>
      </c>
      <c r="H26" s="11" t="s">
        <v>2517</v>
      </c>
      <c r="I26" s="13">
        <v>41283</v>
      </c>
      <c r="J26" s="11">
        <v>9</v>
      </c>
      <c r="K26" s="11">
        <v>1</v>
      </c>
      <c r="L26" s="11">
        <v>2013</v>
      </c>
      <c r="M26" s="11" t="s">
        <v>2518</v>
      </c>
      <c r="N26" s="28" t="s">
        <v>12</v>
      </c>
      <c r="O26" s="33" t="s">
        <v>10</v>
      </c>
      <c r="P26" s="32" t="s">
        <v>588</v>
      </c>
      <c r="Q26" s="32" t="s">
        <v>588</v>
      </c>
      <c r="R26" s="28" t="s">
        <v>588</v>
      </c>
      <c r="S26" s="28" t="s">
        <v>588</v>
      </c>
      <c r="T26" s="28">
        <v>3</v>
      </c>
      <c r="U26" s="28">
        <v>3</v>
      </c>
      <c r="V26" s="28" t="s">
        <v>588</v>
      </c>
      <c r="W26" s="28" t="s">
        <v>588</v>
      </c>
      <c r="X26" s="28">
        <v>2</v>
      </c>
      <c r="Y26" s="28">
        <v>2</v>
      </c>
      <c r="Z26" s="28" t="s">
        <v>8</v>
      </c>
      <c r="AA26" s="13">
        <v>41284</v>
      </c>
      <c r="AB26" s="11">
        <v>10</v>
      </c>
      <c r="AC26" s="11">
        <v>1</v>
      </c>
      <c r="AD26" s="11">
        <v>2013</v>
      </c>
      <c r="AE26" s="13" t="s">
        <v>2489</v>
      </c>
      <c r="AF26" s="28" t="s">
        <v>12</v>
      </c>
      <c r="AG26" s="34" t="s">
        <v>588</v>
      </c>
      <c r="AH26" s="11" t="s">
        <v>588</v>
      </c>
      <c r="AI26" s="11" t="s">
        <v>588</v>
      </c>
      <c r="AJ26" s="11" t="s">
        <v>588</v>
      </c>
      <c r="AK26" s="13" t="s">
        <v>588</v>
      </c>
      <c r="AL26" s="28" t="s">
        <v>588</v>
      </c>
      <c r="AM26" s="29" t="s">
        <v>588</v>
      </c>
      <c r="AN26" s="29" t="s">
        <v>588</v>
      </c>
      <c r="AO26" s="29" t="s">
        <v>588</v>
      </c>
      <c r="AP26" s="13">
        <v>41317</v>
      </c>
      <c r="AQ26" s="29" t="s">
        <v>21</v>
      </c>
      <c r="AR26" s="11" t="s">
        <v>199</v>
      </c>
      <c r="AS26" s="28">
        <v>1</v>
      </c>
      <c r="AT26" s="28">
        <v>2</v>
      </c>
      <c r="AU26" s="29" t="s">
        <v>588</v>
      </c>
      <c r="AV26" s="29" t="s">
        <v>588</v>
      </c>
      <c r="AW26" s="29" t="s">
        <v>588</v>
      </c>
      <c r="AX26" s="29" t="s">
        <v>588</v>
      </c>
      <c r="AY26" s="29" t="s">
        <v>588</v>
      </c>
      <c r="AZ26" s="29" t="s">
        <v>588</v>
      </c>
      <c r="BA26" s="29" t="s">
        <v>588</v>
      </c>
      <c r="BB26" s="29" t="s">
        <v>588</v>
      </c>
      <c r="BC26" s="29" t="s">
        <v>588</v>
      </c>
      <c r="BD26" s="29" t="s">
        <v>588</v>
      </c>
      <c r="BE26" s="29" t="s">
        <v>588</v>
      </c>
      <c r="BF26" s="29" t="s">
        <v>588</v>
      </c>
      <c r="BG26" s="29" t="s">
        <v>588</v>
      </c>
      <c r="BH26" s="29" t="s">
        <v>588</v>
      </c>
      <c r="BI26" s="29" t="s">
        <v>588</v>
      </c>
      <c r="BJ26" s="29" t="s">
        <v>588</v>
      </c>
      <c r="BK26" s="29" t="s">
        <v>588</v>
      </c>
      <c r="BL26" s="29" t="s">
        <v>588</v>
      </c>
      <c r="BM26" s="28">
        <v>4</v>
      </c>
      <c r="BN26" s="28">
        <v>4</v>
      </c>
      <c r="BO26" s="29" t="s">
        <v>8</v>
      </c>
      <c r="BP26" s="28">
        <v>1</v>
      </c>
      <c r="BQ26" s="13">
        <v>41349</v>
      </c>
      <c r="BR26" s="29" t="s">
        <v>22</v>
      </c>
      <c r="BS26" s="29" t="s">
        <v>8</v>
      </c>
      <c r="BT26" s="11" t="s">
        <v>120</v>
      </c>
      <c r="BU26" s="28" t="s">
        <v>41</v>
      </c>
      <c r="BV26" s="11" t="s">
        <v>42</v>
      </c>
      <c r="BW26" s="29" t="s">
        <v>588</v>
      </c>
      <c r="BX26" s="29" t="s">
        <v>588</v>
      </c>
    </row>
    <row r="27" spans="1:76" s="28" customFormat="1" x14ac:dyDescent="0.25">
      <c r="A27" s="28">
        <v>201213</v>
      </c>
      <c r="B27" s="11" t="s">
        <v>138</v>
      </c>
      <c r="C27" t="s">
        <v>56</v>
      </c>
      <c r="D27" s="28" t="s">
        <v>5</v>
      </c>
      <c r="E27" s="28" t="s">
        <v>2427</v>
      </c>
      <c r="F27" s="28">
        <v>1</v>
      </c>
      <c r="G27" s="28" t="s">
        <v>2519</v>
      </c>
      <c r="H27" s="11" t="s">
        <v>2520</v>
      </c>
      <c r="I27" s="13">
        <v>41221</v>
      </c>
      <c r="J27" s="11">
        <v>8</v>
      </c>
      <c r="K27" s="11">
        <v>11</v>
      </c>
      <c r="L27" s="11">
        <v>2012</v>
      </c>
      <c r="M27" s="11" t="s">
        <v>2452</v>
      </c>
      <c r="N27" s="28" t="s">
        <v>17</v>
      </c>
      <c r="O27" s="33" t="s">
        <v>51</v>
      </c>
      <c r="P27" s="32" t="s">
        <v>588</v>
      </c>
      <c r="Q27" s="32" t="s">
        <v>588</v>
      </c>
      <c r="R27" s="28" t="s">
        <v>588</v>
      </c>
      <c r="S27" s="28" t="s">
        <v>588</v>
      </c>
      <c r="T27" s="28">
        <v>3</v>
      </c>
      <c r="U27" s="28">
        <v>3</v>
      </c>
      <c r="V27" s="29" t="s">
        <v>588</v>
      </c>
      <c r="W27" s="28" t="s">
        <v>588</v>
      </c>
      <c r="X27" s="28">
        <v>2</v>
      </c>
      <c r="Y27" s="28">
        <v>2</v>
      </c>
      <c r="Z27" s="28" t="s">
        <v>41</v>
      </c>
      <c r="AA27" s="13">
        <v>41221</v>
      </c>
      <c r="AB27" s="11">
        <v>8</v>
      </c>
      <c r="AC27" s="11">
        <v>11</v>
      </c>
      <c r="AD27" s="11">
        <v>2012</v>
      </c>
      <c r="AE27" s="13" t="s">
        <v>2452</v>
      </c>
      <c r="AF27" s="28" t="s">
        <v>17</v>
      </c>
      <c r="AG27" s="13">
        <v>41222</v>
      </c>
      <c r="AH27" s="11">
        <v>9</v>
      </c>
      <c r="AI27" s="11">
        <v>11</v>
      </c>
      <c r="AJ27" s="11">
        <v>2012</v>
      </c>
      <c r="AK27" s="13" t="s">
        <v>2445</v>
      </c>
      <c r="AL27" s="28" t="s">
        <v>17</v>
      </c>
      <c r="AM27" s="29" t="s">
        <v>11</v>
      </c>
      <c r="AN27" s="29" t="s">
        <v>8</v>
      </c>
      <c r="AO27" s="29" t="s">
        <v>11</v>
      </c>
      <c r="AP27" s="29" t="s">
        <v>588</v>
      </c>
      <c r="AQ27" s="29" t="s">
        <v>588</v>
      </c>
      <c r="AR27" s="29" t="s">
        <v>588</v>
      </c>
      <c r="AS27" s="28" t="s">
        <v>588</v>
      </c>
      <c r="AT27" s="28" t="s">
        <v>588</v>
      </c>
      <c r="AU27" s="29" t="s">
        <v>588</v>
      </c>
      <c r="AV27" s="29" t="s">
        <v>588</v>
      </c>
      <c r="AW27" s="29" t="s">
        <v>588</v>
      </c>
      <c r="AX27" s="29" t="s">
        <v>588</v>
      </c>
      <c r="AY27" s="29" t="s">
        <v>588</v>
      </c>
      <c r="AZ27" s="29" t="s">
        <v>588</v>
      </c>
      <c r="BA27" s="29" t="s">
        <v>588</v>
      </c>
      <c r="BB27" s="29" t="s">
        <v>588</v>
      </c>
      <c r="BC27" s="29" t="s">
        <v>588</v>
      </c>
      <c r="BD27" s="29" t="s">
        <v>588</v>
      </c>
      <c r="BE27" s="29" t="s">
        <v>588</v>
      </c>
      <c r="BF27" s="29" t="s">
        <v>588</v>
      </c>
      <c r="BG27" s="29" t="s">
        <v>588</v>
      </c>
      <c r="BH27" s="29" t="s">
        <v>588</v>
      </c>
      <c r="BI27" s="29" t="s">
        <v>588</v>
      </c>
      <c r="BJ27" s="29" t="s">
        <v>588</v>
      </c>
      <c r="BK27" s="29" t="s">
        <v>588</v>
      </c>
      <c r="BL27" s="29" t="s">
        <v>588</v>
      </c>
      <c r="BM27" s="28" t="s">
        <v>588</v>
      </c>
      <c r="BN27" s="28" t="s">
        <v>588</v>
      </c>
      <c r="BO27" s="29" t="s">
        <v>588</v>
      </c>
      <c r="BP27" s="28" t="s">
        <v>588</v>
      </c>
      <c r="BQ27" s="29" t="s">
        <v>588</v>
      </c>
      <c r="BR27" s="29" t="s">
        <v>588</v>
      </c>
      <c r="BS27" s="29" t="s">
        <v>8</v>
      </c>
      <c r="BT27" s="11" t="s">
        <v>120</v>
      </c>
      <c r="BU27" s="29" t="s">
        <v>588</v>
      </c>
      <c r="BV27" s="29" t="s">
        <v>588</v>
      </c>
      <c r="BW27" s="29" t="s">
        <v>588</v>
      </c>
      <c r="BX27" s="29" t="s">
        <v>588</v>
      </c>
    </row>
    <row r="28" spans="1:76" s="28" customFormat="1" x14ac:dyDescent="0.25">
      <c r="A28" s="28">
        <v>201213</v>
      </c>
      <c r="B28" s="11" t="s">
        <v>138</v>
      </c>
      <c r="C28" t="s">
        <v>56</v>
      </c>
      <c r="D28" s="28" t="s">
        <v>5</v>
      </c>
      <c r="E28" s="28" t="s">
        <v>2427</v>
      </c>
      <c r="F28" s="28">
        <v>2</v>
      </c>
      <c r="G28" s="28" t="s">
        <v>2521</v>
      </c>
      <c r="H28" s="11" t="s">
        <v>2522</v>
      </c>
      <c r="I28" s="13">
        <v>41287</v>
      </c>
      <c r="J28" s="11">
        <v>13</v>
      </c>
      <c r="K28" s="11">
        <v>1</v>
      </c>
      <c r="L28" s="11">
        <v>2013</v>
      </c>
      <c r="M28" s="11" t="s">
        <v>2497</v>
      </c>
      <c r="N28" s="28" t="s">
        <v>12</v>
      </c>
      <c r="O28" s="33" t="s">
        <v>51</v>
      </c>
      <c r="P28" s="32" t="s">
        <v>588</v>
      </c>
      <c r="Q28" s="32" t="s">
        <v>588</v>
      </c>
      <c r="R28" s="28" t="s">
        <v>588</v>
      </c>
      <c r="S28" s="28" t="s">
        <v>588</v>
      </c>
      <c r="T28" s="28">
        <v>3</v>
      </c>
      <c r="U28" s="28">
        <v>3</v>
      </c>
      <c r="V28" s="29">
        <v>41289</v>
      </c>
      <c r="W28" s="28" t="s">
        <v>223</v>
      </c>
      <c r="X28" s="28">
        <v>3</v>
      </c>
      <c r="Y28" s="28">
        <v>3</v>
      </c>
      <c r="Z28" s="28" t="s">
        <v>8</v>
      </c>
      <c r="AA28" s="13">
        <v>41292</v>
      </c>
      <c r="AB28" s="11">
        <v>18</v>
      </c>
      <c r="AC28" s="11">
        <v>1</v>
      </c>
      <c r="AD28" s="11">
        <v>2013</v>
      </c>
      <c r="AE28" s="13" t="s">
        <v>2470</v>
      </c>
      <c r="AF28" s="28" t="s">
        <v>12</v>
      </c>
      <c r="AG28" s="34" t="s">
        <v>588</v>
      </c>
      <c r="AH28" s="11" t="s">
        <v>588</v>
      </c>
      <c r="AI28" s="11" t="s">
        <v>588</v>
      </c>
      <c r="AJ28" s="11" t="s">
        <v>588</v>
      </c>
      <c r="AK28" s="13" t="s">
        <v>588</v>
      </c>
      <c r="AL28" s="28" t="s">
        <v>588</v>
      </c>
      <c r="AM28" s="29" t="s">
        <v>588</v>
      </c>
      <c r="AN28" s="29" t="s">
        <v>588</v>
      </c>
      <c r="AO28" s="29" t="s">
        <v>588</v>
      </c>
      <c r="AP28" s="13">
        <v>41317</v>
      </c>
      <c r="AQ28" s="29" t="s">
        <v>21</v>
      </c>
      <c r="AR28" s="11" t="s">
        <v>195</v>
      </c>
      <c r="AS28" s="28">
        <v>3</v>
      </c>
      <c r="AT28" s="28">
        <v>3</v>
      </c>
      <c r="AU28" s="13">
        <v>41317</v>
      </c>
      <c r="AV28" s="13">
        <v>41323</v>
      </c>
      <c r="AW28" s="29" t="s">
        <v>21</v>
      </c>
      <c r="AX28" s="29" t="s">
        <v>41</v>
      </c>
      <c r="AY28" s="29" t="s">
        <v>41</v>
      </c>
      <c r="AZ28" s="29" t="s">
        <v>20</v>
      </c>
      <c r="BA28" s="13">
        <v>41317</v>
      </c>
      <c r="BB28" s="13">
        <v>41323</v>
      </c>
      <c r="BC28" s="29" t="s">
        <v>21</v>
      </c>
      <c r="BD28" s="29" t="s">
        <v>41</v>
      </c>
      <c r="BE28" s="29" t="s">
        <v>41</v>
      </c>
      <c r="BF28" s="29" t="s">
        <v>20</v>
      </c>
      <c r="BG28" s="13">
        <v>41323</v>
      </c>
      <c r="BH28" s="13">
        <v>41325</v>
      </c>
      <c r="BI28" s="29" t="s">
        <v>21</v>
      </c>
      <c r="BJ28" s="29" t="s">
        <v>41</v>
      </c>
      <c r="BK28" s="29" t="s">
        <v>8</v>
      </c>
      <c r="BL28" s="29" t="s">
        <v>2428</v>
      </c>
      <c r="BM28" s="28" t="s">
        <v>588</v>
      </c>
      <c r="BN28" s="28" t="s">
        <v>588</v>
      </c>
      <c r="BO28" s="29" t="s">
        <v>588</v>
      </c>
      <c r="BP28" s="28" t="s">
        <v>588</v>
      </c>
      <c r="BQ28" s="29" t="s">
        <v>588</v>
      </c>
      <c r="BR28" s="29" t="s">
        <v>588</v>
      </c>
      <c r="BS28" s="29" t="s">
        <v>8</v>
      </c>
      <c r="BT28" s="11" t="s">
        <v>120</v>
      </c>
      <c r="BU28" s="29" t="s">
        <v>8</v>
      </c>
      <c r="BV28" s="11" t="s">
        <v>120</v>
      </c>
      <c r="BW28" s="29" t="s">
        <v>2429</v>
      </c>
      <c r="BX28" s="29" t="s">
        <v>588</v>
      </c>
    </row>
  </sheetData>
  <autoFilter ref="A1:BX28" xr:uid="{C23235A7-67F5-4776-B0F4-E456FB7DEAC0}">
    <sortState xmlns:xlrd2="http://schemas.microsoft.com/office/spreadsheetml/2017/richdata2" ref="A2:BX28">
      <sortCondition ref="C1:C28"/>
    </sortState>
  </autoFilter>
  <phoneticPr fontId="2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3F87-AE3B-4CA8-A05F-76DD64A616B6}">
  <dimension ref="A1:BX38"/>
  <sheetViews>
    <sheetView zoomScale="80" zoomScaleNormal="80" workbookViewId="0">
      <pane xSplit="8" ySplit="1" topLeftCell="I26" activePane="bottomRight" state="frozen"/>
      <selection pane="topRight" activeCell="I1" sqref="I1"/>
      <selection pane="bottomLeft" activeCell="A2" sqref="A2"/>
      <selection pane="bottomRight" activeCell="M29" sqref="M29"/>
    </sheetView>
  </sheetViews>
  <sheetFormatPr defaultRowHeight="15" x14ac:dyDescent="0.25"/>
  <cols>
    <col min="1" max="1" width="9.140625" style="11"/>
    <col min="2" max="2" width="29.5703125" style="11" customWidth="1"/>
    <col min="3" max="3" width="46.28515625" style="11" bestFit="1" customWidth="1"/>
    <col min="4" max="7" width="9.140625" style="11"/>
    <col min="8" max="8" width="28.5703125" style="11" customWidth="1"/>
    <col min="9" max="9" width="15.5703125" style="11" bestFit="1" customWidth="1"/>
    <col min="10" max="10" width="8.42578125" style="11" bestFit="1" customWidth="1"/>
    <col min="11" max="11" width="9.5703125" style="11" bestFit="1" customWidth="1"/>
    <col min="12" max="12" width="8.42578125" style="11" bestFit="1" customWidth="1"/>
    <col min="13" max="13" width="23.5703125" style="11" bestFit="1" customWidth="1"/>
    <col min="14" max="15" width="9.140625" style="11"/>
    <col min="16" max="16" width="12.7109375" style="11" customWidth="1"/>
    <col min="17" max="17" width="15.42578125" style="11" customWidth="1"/>
    <col min="18" max="21" width="9.140625" style="11"/>
    <col min="22" max="22" width="11.28515625" style="11" customWidth="1"/>
    <col min="23" max="26" width="9.140625" style="11"/>
    <col min="27" max="27" width="12" style="11" customWidth="1"/>
    <col min="28" max="28" width="8.42578125" style="11" bestFit="1" customWidth="1"/>
    <col min="29" max="29" width="9.5703125" style="11" bestFit="1" customWidth="1"/>
    <col min="30" max="30" width="8.42578125" style="11" bestFit="1" customWidth="1"/>
    <col min="31" max="31" width="27" style="11" bestFit="1" customWidth="1"/>
    <col min="32" max="32" width="9.140625" style="11"/>
    <col min="33" max="33" width="13.28515625" style="11" customWidth="1"/>
    <col min="34" max="34" width="8.42578125" style="11" bestFit="1" customWidth="1"/>
    <col min="35" max="35" width="9.5703125" style="11" bestFit="1" customWidth="1"/>
    <col min="36" max="36" width="8.42578125" style="11" bestFit="1" customWidth="1"/>
    <col min="37" max="37" width="25.5703125" style="11" bestFit="1" customWidth="1"/>
    <col min="38" max="41" width="9.140625" style="11"/>
    <col min="42" max="42" width="14" style="11" customWidth="1"/>
    <col min="43" max="46" width="9.140625" style="11"/>
    <col min="47" max="47" width="13.140625" style="11" customWidth="1"/>
    <col min="48" max="48" width="14" style="11" customWidth="1"/>
    <col min="49" max="71" width="9.140625" style="11"/>
    <col min="72" max="72" width="56.42578125" style="11" bestFit="1" customWidth="1"/>
    <col min="73" max="73" width="9.140625" style="11"/>
    <col min="74" max="74" width="48.85546875" style="11" bestFit="1" customWidth="1"/>
    <col min="75" max="16384" width="9.140625" style="11"/>
  </cols>
  <sheetData>
    <row r="1" spans="1:76" s="15" customFormat="1" x14ac:dyDescent="0.25">
      <c r="A1" s="12" t="s">
        <v>0</v>
      </c>
      <c r="B1" s="12" t="s">
        <v>139</v>
      </c>
      <c r="C1" s="9" t="s">
        <v>231</v>
      </c>
      <c r="D1" s="12" t="s">
        <v>1</v>
      </c>
      <c r="E1" s="12" t="s">
        <v>2</v>
      </c>
      <c r="F1" s="12" t="s">
        <v>140</v>
      </c>
      <c r="G1" s="12" t="s">
        <v>141</v>
      </c>
      <c r="H1" s="9" t="s">
        <v>593</v>
      </c>
      <c r="I1" s="12" t="s">
        <v>142</v>
      </c>
      <c r="J1" s="12" t="s">
        <v>589</v>
      </c>
      <c r="K1" s="12" t="s">
        <v>590</v>
      </c>
      <c r="L1" s="12" t="s">
        <v>591</v>
      </c>
      <c r="M1" s="9" t="s">
        <v>592</v>
      </c>
      <c r="N1" s="12" t="s">
        <v>143</v>
      </c>
      <c r="O1" s="12" t="s">
        <v>3</v>
      </c>
      <c r="P1" s="12" t="s">
        <v>212</v>
      </c>
      <c r="Q1" s="12" t="s">
        <v>213</v>
      </c>
      <c r="R1" s="12" t="s">
        <v>144</v>
      </c>
      <c r="S1" s="12" t="s">
        <v>145</v>
      </c>
      <c r="T1" s="12" t="s">
        <v>146</v>
      </c>
      <c r="U1" s="12" t="s">
        <v>147</v>
      </c>
      <c r="V1" s="12" t="s">
        <v>148</v>
      </c>
      <c r="W1" s="12" t="s">
        <v>149</v>
      </c>
      <c r="X1" s="12" t="s">
        <v>150</v>
      </c>
      <c r="Y1" s="12" t="s">
        <v>151</v>
      </c>
      <c r="Z1" s="12" t="s">
        <v>152</v>
      </c>
      <c r="AA1" s="12" t="s">
        <v>153</v>
      </c>
      <c r="AB1" s="12" t="s">
        <v>589</v>
      </c>
      <c r="AC1" s="12" t="s">
        <v>590</v>
      </c>
      <c r="AD1" s="12" t="s">
        <v>591</v>
      </c>
      <c r="AE1" s="9" t="s">
        <v>594</v>
      </c>
      <c r="AF1" s="12" t="s">
        <v>154</v>
      </c>
      <c r="AG1" s="12" t="s">
        <v>155</v>
      </c>
      <c r="AH1" s="12" t="s">
        <v>589</v>
      </c>
      <c r="AI1" s="12" t="s">
        <v>590</v>
      </c>
      <c r="AJ1" s="12" t="s">
        <v>591</v>
      </c>
      <c r="AK1" s="9" t="s">
        <v>595</v>
      </c>
      <c r="AL1" s="12" t="s">
        <v>156</v>
      </c>
      <c r="AM1" s="12" t="s">
        <v>157</v>
      </c>
      <c r="AN1" s="12" t="s">
        <v>158</v>
      </c>
      <c r="AO1" s="12" t="s">
        <v>159</v>
      </c>
      <c r="AP1" s="12" t="s">
        <v>160</v>
      </c>
      <c r="AQ1" s="12" t="s">
        <v>161</v>
      </c>
      <c r="AR1" s="12" t="s">
        <v>162</v>
      </c>
      <c r="AS1" s="12" t="s">
        <v>163</v>
      </c>
      <c r="AT1" s="12" t="s">
        <v>164</v>
      </c>
      <c r="AU1" s="6" t="s">
        <v>165</v>
      </c>
      <c r="AV1" s="12" t="s">
        <v>166</v>
      </c>
      <c r="AW1" s="12" t="s">
        <v>167</v>
      </c>
      <c r="AX1" s="12" t="s">
        <v>168</v>
      </c>
      <c r="AY1" s="12" t="s">
        <v>169</v>
      </c>
      <c r="AZ1" s="12" t="s">
        <v>170</v>
      </c>
      <c r="BA1" s="6" t="s">
        <v>171</v>
      </c>
      <c r="BB1" s="12" t="s">
        <v>172</v>
      </c>
      <c r="BC1" s="12" t="s">
        <v>173</v>
      </c>
      <c r="BD1" s="12" t="s">
        <v>174</v>
      </c>
      <c r="BE1" s="12" t="s">
        <v>175</v>
      </c>
      <c r="BF1" s="12" t="s">
        <v>176</v>
      </c>
      <c r="BG1" s="6" t="s">
        <v>177</v>
      </c>
      <c r="BH1" s="12" t="s">
        <v>178</v>
      </c>
      <c r="BI1" s="12" t="s">
        <v>179</v>
      </c>
      <c r="BJ1" s="12" t="s">
        <v>180</v>
      </c>
      <c r="BK1" s="12" t="s">
        <v>181</v>
      </c>
      <c r="BL1" s="12" t="s">
        <v>182</v>
      </c>
      <c r="BM1" s="12" t="s">
        <v>183</v>
      </c>
      <c r="BN1" s="12" t="s">
        <v>184</v>
      </c>
      <c r="BO1" s="12" t="s">
        <v>185</v>
      </c>
      <c r="BP1" s="12" t="s">
        <v>4</v>
      </c>
      <c r="BQ1" s="12" t="s">
        <v>186</v>
      </c>
      <c r="BR1" s="12" t="s">
        <v>187</v>
      </c>
      <c r="BS1" s="12" t="s">
        <v>188</v>
      </c>
      <c r="BT1" s="12" t="s">
        <v>596</v>
      </c>
      <c r="BU1" s="12" t="s">
        <v>190</v>
      </c>
      <c r="BV1" s="12" t="s">
        <v>597</v>
      </c>
      <c r="BW1" s="12" t="s">
        <v>192</v>
      </c>
      <c r="BX1" s="12" t="s">
        <v>193</v>
      </c>
    </row>
    <row r="2" spans="1:76" s="28" customFormat="1" x14ac:dyDescent="0.25">
      <c r="A2" s="28">
        <v>201112</v>
      </c>
      <c r="B2" s="38" t="s">
        <v>2200</v>
      </c>
      <c r="C2" s="11" t="s">
        <v>380</v>
      </c>
      <c r="D2" s="11" t="s">
        <v>2201</v>
      </c>
      <c r="E2" s="28" t="s">
        <v>2202</v>
      </c>
      <c r="F2" s="28">
        <v>1</v>
      </c>
      <c r="G2" s="28" t="s">
        <v>2203</v>
      </c>
      <c r="H2" s="11" t="s">
        <v>2523</v>
      </c>
      <c r="I2" s="13">
        <v>40858</v>
      </c>
      <c r="J2" s="11">
        <v>11</v>
      </c>
      <c r="K2" s="11">
        <v>11</v>
      </c>
      <c r="L2" s="11">
        <v>2011</v>
      </c>
      <c r="M2" s="11" t="s">
        <v>2524</v>
      </c>
      <c r="N2" s="28" t="s">
        <v>17</v>
      </c>
      <c r="O2" s="33" t="s">
        <v>51</v>
      </c>
      <c r="P2" s="39">
        <v>-38.62135</v>
      </c>
      <c r="Q2" s="11">
        <v>145.54543000000001</v>
      </c>
      <c r="R2" s="28" t="s">
        <v>588</v>
      </c>
      <c r="S2" s="28" t="s">
        <v>588</v>
      </c>
      <c r="T2" s="28">
        <v>3</v>
      </c>
      <c r="U2" s="28">
        <v>3</v>
      </c>
      <c r="V2" s="29">
        <v>40855</v>
      </c>
      <c r="W2" s="28" t="s">
        <v>2204</v>
      </c>
      <c r="X2" s="28">
        <v>2</v>
      </c>
      <c r="Y2" s="28">
        <v>2</v>
      </c>
      <c r="Z2" s="28" t="s">
        <v>8</v>
      </c>
      <c r="AA2" s="13">
        <v>40863</v>
      </c>
      <c r="AB2" s="11">
        <v>16</v>
      </c>
      <c r="AC2" s="11">
        <v>11</v>
      </c>
      <c r="AD2" s="11">
        <v>2011</v>
      </c>
      <c r="AE2" s="13" t="s">
        <v>2525</v>
      </c>
      <c r="AF2" s="28" t="s">
        <v>17</v>
      </c>
      <c r="AG2" s="28" t="s">
        <v>588</v>
      </c>
      <c r="AH2" s="11" t="s">
        <v>588</v>
      </c>
      <c r="AI2" s="11" t="s">
        <v>588</v>
      </c>
      <c r="AJ2" s="11" t="s">
        <v>588</v>
      </c>
      <c r="AK2" s="13" t="s">
        <v>588</v>
      </c>
      <c r="AL2" s="28" t="s">
        <v>588</v>
      </c>
      <c r="AM2" s="29" t="s">
        <v>588</v>
      </c>
      <c r="AN2" s="29" t="s">
        <v>588</v>
      </c>
      <c r="AO2" s="29" t="s">
        <v>588</v>
      </c>
      <c r="AP2" s="13">
        <v>40895</v>
      </c>
      <c r="AQ2" s="29" t="s">
        <v>7</v>
      </c>
      <c r="AR2" s="29" t="s">
        <v>2126</v>
      </c>
      <c r="AS2" s="28">
        <v>1</v>
      </c>
      <c r="AT2" s="28">
        <v>3</v>
      </c>
      <c r="AU2" s="13">
        <v>40901</v>
      </c>
      <c r="AV2" s="29" t="s">
        <v>1996</v>
      </c>
      <c r="AW2" s="29" t="s">
        <v>1996</v>
      </c>
      <c r="AX2" s="29" t="s">
        <v>588</v>
      </c>
      <c r="AY2" s="29" t="s">
        <v>588</v>
      </c>
      <c r="AZ2" s="29" t="s">
        <v>588</v>
      </c>
      <c r="BA2" s="29" t="s">
        <v>588</v>
      </c>
      <c r="BB2" s="29" t="s">
        <v>588</v>
      </c>
      <c r="BC2" s="29" t="s">
        <v>588</v>
      </c>
      <c r="BD2" s="29" t="s">
        <v>588</v>
      </c>
      <c r="BE2" s="29" t="s">
        <v>588</v>
      </c>
      <c r="BF2" s="29" t="s">
        <v>588</v>
      </c>
      <c r="BG2" s="29" t="s">
        <v>588</v>
      </c>
      <c r="BH2" s="29" t="s">
        <v>588</v>
      </c>
      <c r="BI2" s="29" t="s">
        <v>588</v>
      </c>
      <c r="BJ2" s="29" t="s">
        <v>588</v>
      </c>
      <c r="BK2" s="29" t="s">
        <v>588</v>
      </c>
      <c r="BL2" s="29" t="s">
        <v>588</v>
      </c>
      <c r="BM2" s="28">
        <v>3</v>
      </c>
      <c r="BN2" s="28">
        <v>3</v>
      </c>
      <c r="BO2" s="29" t="s">
        <v>647</v>
      </c>
      <c r="BP2" s="29" t="s">
        <v>588</v>
      </c>
      <c r="BQ2" s="29" t="s">
        <v>588</v>
      </c>
      <c r="BR2" s="29" t="s">
        <v>588</v>
      </c>
      <c r="BS2" s="28" t="s">
        <v>41</v>
      </c>
      <c r="BT2" s="28" t="s">
        <v>42</v>
      </c>
      <c r="BU2" s="28" t="s">
        <v>41</v>
      </c>
      <c r="BV2" s="28" t="s">
        <v>42</v>
      </c>
      <c r="BW2" s="29" t="s">
        <v>588</v>
      </c>
      <c r="BX2" s="29" t="s">
        <v>2122</v>
      </c>
    </row>
    <row r="3" spans="1:76" s="28" customFormat="1" x14ac:dyDescent="0.25">
      <c r="A3" s="28">
        <v>201112</v>
      </c>
      <c r="B3" s="38" t="s">
        <v>2200</v>
      </c>
      <c r="C3" s="11" t="s">
        <v>380</v>
      </c>
      <c r="D3" s="11" t="s">
        <v>2201</v>
      </c>
      <c r="E3" s="28" t="s">
        <v>2202</v>
      </c>
      <c r="F3" s="28">
        <v>2</v>
      </c>
      <c r="G3" s="28" t="s">
        <v>2205</v>
      </c>
      <c r="H3" s="11" t="s">
        <v>2526</v>
      </c>
      <c r="I3" s="13">
        <v>40944</v>
      </c>
      <c r="J3" s="11">
        <v>5</v>
      </c>
      <c r="K3" s="11">
        <v>2</v>
      </c>
      <c r="L3" s="11">
        <v>2012</v>
      </c>
      <c r="M3" s="11" t="s">
        <v>2527</v>
      </c>
      <c r="N3" s="28" t="s">
        <v>21</v>
      </c>
      <c r="O3" s="28" t="s">
        <v>36</v>
      </c>
      <c r="P3" s="32" t="s">
        <v>588</v>
      </c>
      <c r="Q3" s="32" t="s">
        <v>588</v>
      </c>
      <c r="R3" s="28" t="s">
        <v>588</v>
      </c>
      <c r="S3" s="28" t="s">
        <v>588</v>
      </c>
      <c r="T3" s="28">
        <v>1</v>
      </c>
      <c r="U3" s="28">
        <v>3</v>
      </c>
      <c r="V3" s="28" t="s">
        <v>588</v>
      </c>
      <c r="W3" s="28" t="s">
        <v>588</v>
      </c>
      <c r="X3" s="28">
        <v>2</v>
      </c>
      <c r="Y3" s="28">
        <v>2</v>
      </c>
      <c r="Z3" s="28" t="s">
        <v>41</v>
      </c>
      <c r="AA3" s="13">
        <v>40944</v>
      </c>
      <c r="AB3" s="11">
        <v>5</v>
      </c>
      <c r="AC3" s="11">
        <v>2</v>
      </c>
      <c r="AD3" s="11">
        <v>2012</v>
      </c>
      <c r="AE3" s="13" t="s">
        <v>2527</v>
      </c>
      <c r="AF3" s="28" t="s">
        <v>21</v>
      </c>
      <c r="AG3" s="13">
        <v>40956</v>
      </c>
      <c r="AH3" s="11">
        <v>17</v>
      </c>
      <c r="AI3" s="11">
        <v>2</v>
      </c>
      <c r="AJ3" s="11">
        <v>2012</v>
      </c>
      <c r="AK3" s="13" t="s">
        <v>2227</v>
      </c>
      <c r="AL3" s="28" t="s">
        <v>21</v>
      </c>
      <c r="AM3" s="29" t="s">
        <v>41</v>
      </c>
      <c r="AN3" s="28" t="s">
        <v>41</v>
      </c>
      <c r="AO3" s="28" t="s">
        <v>20</v>
      </c>
      <c r="AP3" s="29" t="s">
        <v>588</v>
      </c>
      <c r="AQ3" s="29" t="s">
        <v>588</v>
      </c>
      <c r="AR3" s="29" t="s">
        <v>588</v>
      </c>
      <c r="AS3" s="28" t="s">
        <v>588</v>
      </c>
      <c r="AT3" s="28" t="s">
        <v>588</v>
      </c>
      <c r="AU3" s="29" t="s">
        <v>588</v>
      </c>
      <c r="AV3" s="29" t="s">
        <v>588</v>
      </c>
      <c r="AW3" s="29" t="s">
        <v>588</v>
      </c>
      <c r="AX3" s="29" t="s">
        <v>588</v>
      </c>
      <c r="AY3" s="29" t="s">
        <v>588</v>
      </c>
      <c r="AZ3" s="29" t="s">
        <v>588</v>
      </c>
      <c r="BA3" s="29" t="s">
        <v>588</v>
      </c>
      <c r="BB3" s="29" t="s">
        <v>588</v>
      </c>
      <c r="BC3" s="29" t="s">
        <v>588</v>
      </c>
      <c r="BD3" s="29" t="s">
        <v>588</v>
      </c>
      <c r="BE3" s="29" t="s">
        <v>588</v>
      </c>
      <c r="BF3" s="29" t="s">
        <v>588</v>
      </c>
      <c r="BG3" s="29" t="s">
        <v>588</v>
      </c>
      <c r="BH3" s="29" t="s">
        <v>588</v>
      </c>
      <c r="BI3" s="29" t="s">
        <v>588</v>
      </c>
      <c r="BJ3" s="29" t="s">
        <v>588</v>
      </c>
      <c r="BK3" s="29" t="s">
        <v>588</v>
      </c>
      <c r="BL3" s="29" t="s">
        <v>588</v>
      </c>
      <c r="BM3" s="28" t="s">
        <v>588</v>
      </c>
      <c r="BN3" s="28" t="s">
        <v>588</v>
      </c>
      <c r="BO3" s="29" t="s">
        <v>588</v>
      </c>
      <c r="BP3" s="28" t="s">
        <v>588</v>
      </c>
      <c r="BQ3" s="29" t="s">
        <v>588</v>
      </c>
      <c r="BR3" s="29" t="s">
        <v>588</v>
      </c>
      <c r="BS3" s="28" t="s">
        <v>41</v>
      </c>
      <c r="BT3" s="28" t="s">
        <v>42</v>
      </c>
      <c r="BU3" s="29" t="s">
        <v>588</v>
      </c>
      <c r="BV3" s="29" t="s">
        <v>588</v>
      </c>
      <c r="BW3" s="29" t="s">
        <v>588</v>
      </c>
      <c r="BX3" s="29" t="s">
        <v>588</v>
      </c>
    </row>
    <row r="4" spans="1:76" s="28" customFormat="1" x14ac:dyDescent="0.25">
      <c r="A4" s="28">
        <v>201112</v>
      </c>
      <c r="B4" s="38" t="s">
        <v>2197</v>
      </c>
      <c r="C4" s="11" t="s">
        <v>239</v>
      </c>
      <c r="D4" s="28" t="s">
        <v>2198</v>
      </c>
      <c r="E4" s="31" t="s">
        <v>1844</v>
      </c>
      <c r="F4" s="28">
        <v>1</v>
      </c>
      <c r="G4" s="28" t="s">
        <v>2199</v>
      </c>
      <c r="H4" s="11" t="s">
        <v>2528</v>
      </c>
      <c r="I4" s="29">
        <v>40898</v>
      </c>
      <c r="J4" s="11">
        <v>21</v>
      </c>
      <c r="K4" s="11">
        <v>12</v>
      </c>
      <c r="L4" s="11">
        <v>2011</v>
      </c>
      <c r="M4" s="11" t="s">
        <v>2529</v>
      </c>
      <c r="N4" s="28" t="s">
        <v>7</v>
      </c>
      <c r="O4" s="28" t="s">
        <v>36</v>
      </c>
      <c r="P4" s="32">
        <v>-38.625079999999997</v>
      </c>
      <c r="Q4" s="32">
        <v>145.54514</v>
      </c>
      <c r="R4" s="28" t="s">
        <v>588</v>
      </c>
      <c r="S4" s="28" t="s">
        <v>588</v>
      </c>
      <c r="T4" s="28">
        <v>2</v>
      </c>
      <c r="U4" s="28">
        <v>3</v>
      </c>
      <c r="V4" s="29">
        <v>40899</v>
      </c>
      <c r="W4" s="28" t="s">
        <v>219</v>
      </c>
      <c r="X4" s="28">
        <v>4</v>
      </c>
      <c r="Y4" s="28">
        <v>4</v>
      </c>
      <c r="Z4" s="28" t="s">
        <v>8</v>
      </c>
      <c r="AA4" s="29">
        <v>40923</v>
      </c>
      <c r="AB4" s="11">
        <v>15</v>
      </c>
      <c r="AC4" s="11">
        <v>1</v>
      </c>
      <c r="AD4" s="11">
        <v>2012</v>
      </c>
      <c r="AE4" s="13" t="s">
        <v>2234</v>
      </c>
      <c r="AF4" s="28" t="s">
        <v>12</v>
      </c>
      <c r="AG4" s="34" t="s">
        <v>588</v>
      </c>
      <c r="AH4" s="11" t="s">
        <v>588</v>
      </c>
      <c r="AI4" s="11" t="s">
        <v>588</v>
      </c>
      <c r="AJ4" s="11" t="s">
        <v>588</v>
      </c>
      <c r="AK4" s="13" t="s">
        <v>588</v>
      </c>
      <c r="AL4" s="28" t="s">
        <v>588</v>
      </c>
      <c r="AM4" s="29" t="s">
        <v>588</v>
      </c>
      <c r="AN4" s="29" t="s">
        <v>588</v>
      </c>
      <c r="AO4" s="29" t="s">
        <v>588</v>
      </c>
      <c r="AP4" s="29">
        <v>40927</v>
      </c>
      <c r="AQ4" s="29" t="s">
        <v>12</v>
      </c>
      <c r="AR4" s="28" t="s">
        <v>195</v>
      </c>
      <c r="AS4" s="28">
        <v>1</v>
      </c>
      <c r="AT4" s="28">
        <v>2</v>
      </c>
      <c r="AU4" s="29">
        <v>40941</v>
      </c>
      <c r="AV4" s="29">
        <v>40956</v>
      </c>
      <c r="AW4" s="29" t="s">
        <v>21</v>
      </c>
      <c r="AX4" s="29" t="s">
        <v>41</v>
      </c>
      <c r="AY4" s="29" t="s">
        <v>41</v>
      </c>
      <c r="AZ4" s="29" t="s">
        <v>20</v>
      </c>
      <c r="BA4" s="29" t="s">
        <v>588</v>
      </c>
      <c r="BB4" s="29" t="s">
        <v>588</v>
      </c>
      <c r="BC4" s="29" t="s">
        <v>588</v>
      </c>
      <c r="BD4" s="29" t="s">
        <v>588</v>
      </c>
      <c r="BE4" s="29" t="s">
        <v>588</v>
      </c>
      <c r="BF4" s="29" t="s">
        <v>588</v>
      </c>
      <c r="BG4" s="29" t="s">
        <v>588</v>
      </c>
      <c r="BH4" s="29" t="s">
        <v>588</v>
      </c>
      <c r="BI4" s="29" t="s">
        <v>588</v>
      </c>
      <c r="BJ4" s="29" t="s">
        <v>588</v>
      </c>
      <c r="BK4" s="29" t="s">
        <v>588</v>
      </c>
      <c r="BL4" s="29" t="s">
        <v>588</v>
      </c>
      <c r="BM4" s="28">
        <v>3</v>
      </c>
      <c r="BN4" s="28">
        <v>3</v>
      </c>
      <c r="BO4" s="29" t="s">
        <v>41</v>
      </c>
      <c r="BP4" s="29" t="s">
        <v>588</v>
      </c>
      <c r="BQ4" s="29" t="s">
        <v>588</v>
      </c>
      <c r="BR4" s="29" t="s">
        <v>588</v>
      </c>
      <c r="BS4" s="28" t="s">
        <v>41</v>
      </c>
      <c r="BT4" s="28" t="s">
        <v>42</v>
      </c>
      <c r="BU4" s="28" t="s">
        <v>41</v>
      </c>
      <c r="BV4" s="28" t="s">
        <v>42</v>
      </c>
      <c r="BW4" s="29" t="s">
        <v>588</v>
      </c>
      <c r="BX4" s="29" t="s">
        <v>2122</v>
      </c>
    </row>
    <row r="5" spans="1:76" s="28" customFormat="1" x14ac:dyDescent="0.25">
      <c r="A5" s="28">
        <v>201112</v>
      </c>
      <c r="B5" s="11" t="s">
        <v>2141</v>
      </c>
      <c r="C5" s="11" t="s">
        <v>23</v>
      </c>
      <c r="D5" s="31" t="s">
        <v>2142</v>
      </c>
      <c r="E5" s="31" t="s">
        <v>1844</v>
      </c>
      <c r="F5" s="28">
        <v>1</v>
      </c>
      <c r="G5" s="28" t="s">
        <v>2143</v>
      </c>
      <c r="H5" s="11" t="s">
        <v>2530</v>
      </c>
      <c r="I5" s="13">
        <v>40838</v>
      </c>
      <c r="J5" s="11">
        <v>22</v>
      </c>
      <c r="K5" s="11">
        <v>10</v>
      </c>
      <c r="L5" s="11">
        <v>2011</v>
      </c>
      <c r="M5" s="11" t="s">
        <v>2238</v>
      </c>
      <c r="N5" s="28" t="s">
        <v>29</v>
      </c>
      <c r="O5" s="28" t="s">
        <v>10</v>
      </c>
      <c r="P5" s="11">
        <v>-38.674140000000001</v>
      </c>
      <c r="Q5" s="11">
        <v>145.62110999999999</v>
      </c>
      <c r="R5" s="33" t="s">
        <v>588</v>
      </c>
      <c r="S5" s="33" t="s">
        <v>588</v>
      </c>
      <c r="T5" s="28">
        <v>3</v>
      </c>
      <c r="U5" s="28">
        <v>3</v>
      </c>
      <c r="V5" s="29" t="s">
        <v>588</v>
      </c>
      <c r="W5" s="28" t="s">
        <v>588</v>
      </c>
      <c r="X5" s="28">
        <v>4</v>
      </c>
      <c r="Y5" s="28">
        <v>4</v>
      </c>
      <c r="Z5" s="28" t="s">
        <v>41</v>
      </c>
      <c r="AA5" s="13">
        <v>40847</v>
      </c>
      <c r="AB5" s="11">
        <v>31</v>
      </c>
      <c r="AC5" s="11">
        <v>10</v>
      </c>
      <c r="AD5" s="11">
        <v>2011</v>
      </c>
      <c r="AE5" s="13" t="s">
        <v>2531</v>
      </c>
      <c r="AF5" s="28" t="s">
        <v>29</v>
      </c>
      <c r="AG5" s="13">
        <v>40850</v>
      </c>
      <c r="AH5" s="11">
        <v>3</v>
      </c>
      <c r="AI5" s="11">
        <v>11</v>
      </c>
      <c r="AJ5" s="11">
        <v>2011</v>
      </c>
      <c r="AK5" s="13" t="s">
        <v>2228</v>
      </c>
      <c r="AL5" s="28" t="s">
        <v>29</v>
      </c>
      <c r="AM5" s="29" t="s">
        <v>32</v>
      </c>
      <c r="AN5" s="28" t="s">
        <v>2144</v>
      </c>
      <c r="AO5" s="29" t="s">
        <v>588</v>
      </c>
      <c r="AP5" s="34" t="s">
        <v>588</v>
      </c>
      <c r="AQ5" s="29" t="s">
        <v>588</v>
      </c>
      <c r="AR5" s="33" t="s">
        <v>588</v>
      </c>
      <c r="AS5" s="28" t="s">
        <v>588</v>
      </c>
      <c r="AT5" s="28" t="s">
        <v>588</v>
      </c>
      <c r="AU5" s="34" t="s">
        <v>588</v>
      </c>
      <c r="AV5" s="29" t="s">
        <v>588</v>
      </c>
      <c r="AW5" s="29" t="s">
        <v>588</v>
      </c>
      <c r="AX5" s="29" t="s">
        <v>588</v>
      </c>
      <c r="AY5" s="29" t="s">
        <v>588</v>
      </c>
      <c r="AZ5" s="29" t="s">
        <v>588</v>
      </c>
      <c r="BA5" s="29" t="s">
        <v>588</v>
      </c>
      <c r="BB5" s="29" t="s">
        <v>588</v>
      </c>
      <c r="BC5" s="29" t="s">
        <v>588</v>
      </c>
      <c r="BD5" s="29" t="s">
        <v>588</v>
      </c>
      <c r="BE5" s="29" t="s">
        <v>588</v>
      </c>
      <c r="BF5" s="29" t="s">
        <v>588</v>
      </c>
      <c r="BG5" s="29" t="s">
        <v>588</v>
      </c>
      <c r="BH5" s="29" t="s">
        <v>588</v>
      </c>
      <c r="BI5" s="29" t="s">
        <v>588</v>
      </c>
      <c r="BJ5" s="29" t="s">
        <v>588</v>
      </c>
      <c r="BK5" s="29" t="s">
        <v>588</v>
      </c>
      <c r="BL5" s="29" t="s">
        <v>588</v>
      </c>
      <c r="BM5" s="28" t="s">
        <v>588</v>
      </c>
      <c r="BN5" s="28" t="s">
        <v>588</v>
      </c>
      <c r="BO5" s="29" t="s">
        <v>588</v>
      </c>
      <c r="BP5" s="28" t="s">
        <v>588</v>
      </c>
      <c r="BQ5" s="29" t="s">
        <v>588</v>
      </c>
      <c r="BR5" s="29" t="s">
        <v>588</v>
      </c>
      <c r="BS5" s="29" t="s">
        <v>8</v>
      </c>
      <c r="BT5" s="11" t="s">
        <v>9</v>
      </c>
      <c r="BU5" s="28" t="s">
        <v>588</v>
      </c>
      <c r="BV5" s="33" t="s">
        <v>588</v>
      </c>
      <c r="BW5" s="29" t="s">
        <v>588</v>
      </c>
      <c r="BX5" s="29" t="s">
        <v>2122</v>
      </c>
    </row>
    <row r="6" spans="1:76" s="28" customFormat="1" x14ac:dyDescent="0.25">
      <c r="A6" s="28">
        <v>201112</v>
      </c>
      <c r="B6" s="11" t="s">
        <v>2141</v>
      </c>
      <c r="C6" s="11" t="s">
        <v>23</v>
      </c>
      <c r="D6" s="31" t="s">
        <v>2142</v>
      </c>
      <c r="E6" s="31" t="s">
        <v>1844</v>
      </c>
      <c r="F6" s="28">
        <v>2</v>
      </c>
      <c r="G6" s="28" t="s">
        <v>2145</v>
      </c>
      <c r="H6" s="11" t="s">
        <v>2532</v>
      </c>
      <c r="I6" s="13">
        <v>40860</v>
      </c>
      <c r="J6" s="11">
        <v>13</v>
      </c>
      <c r="K6" s="11">
        <v>11</v>
      </c>
      <c r="L6" s="11">
        <v>2011</v>
      </c>
      <c r="M6" s="11" t="s">
        <v>2533</v>
      </c>
      <c r="N6" s="28" t="s">
        <v>17</v>
      </c>
      <c r="O6" s="28" t="s">
        <v>10</v>
      </c>
      <c r="P6" s="11" t="s">
        <v>588</v>
      </c>
      <c r="Q6" s="28" t="s">
        <v>588</v>
      </c>
      <c r="R6" s="33" t="s">
        <v>588</v>
      </c>
      <c r="S6" s="33" t="s">
        <v>588</v>
      </c>
      <c r="T6" s="28">
        <v>3</v>
      </c>
      <c r="U6" s="28">
        <v>3</v>
      </c>
      <c r="V6" s="29">
        <v>40862</v>
      </c>
      <c r="W6" s="28" t="s">
        <v>223</v>
      </c>
      <c r="X6" s="28">
        <v>4</v>
      </c>
      <c r="Y6" s="28">
        <v>4</v>
      </c>
      <c r="Z6" s="28" t="s">
        <v>41</v>
      </c>
      <c r="AA6" s="13">
        <v>40874</v>
      </c>
      <c r="AB6" s="11">
        <v>27</v>
      </c>
      <c r="AC6" s="11">
        <v>11</v>
      </c>
      <c r="AD6" s="11">
        <v>2011</v>
      </c>
      <c r="AE6" s="13" t="s">
        <v>2534</v>
      </c>
      <c r="AF6" s="28" t="s">
        <v>17</v>
      </c>
      <c r="AG6" s="36">
        <v>40878</v>
      </c>
      <c r="AH6" s="11">
        <v>1</v>
      </c>
      <c r="AI6" s="11">
        <v>12</v>
      </c>
      <c r="AJ6" s="11">
        <v>2011</v>
      </c>
      <c r="AK6" s="13" t="s">
        <v>2229</v>
      </c>
      <c r="AL6" s="28" t="s">
        <v>7</v>
      </c>
      <c r="AM6" s="33" t="s">
        <v>11</v>
      </c>
      <c r="AN6" s="33" t="s">
        <v>8</v>
      </c>
      <c r="AO6" s="33" t="s">
        <v>588</v>
      </c>
      <c r="AP6" s="29" t="s">
        <v>588</v>
      </c>
      <c r="AQ6" s="29" t="s">
        <v>588</v>
      </c>
      <c r="AR6" s="28" t="s">
        <v>588</v>
      </c>
      <c r="AS6" s="28" t="s">
        <v>588</v>
      </c>
      <c r="AT6" s="28" t="s">
        <v>588</v>
      </c>
      <c r="AU6" s="29" t="s">
        <v>588</v>
      </c>
      <c r="AV6" s="29" t="s">
        <v>588</v>
      </c>
      <c r="AW6" s="29" t="s">
        <v>588</v>
      </c>
      <c r="AX6" s="29" t="s">
        <v>588</v>
      </c>
      <c r="AY6" s="29" t="s">
        <v>588</v>
      </c>
      <c r="AZ6" s="29" t="s">
        <v>588</v>
      </c>
      <c r="BA6" s="29" t="s">
        <v>588</v>
      </c>
      <c r="BB6" s="29" t="s">
        <v>588</v>
      </c>
      <c r="BC6" s="29" t="s">
        <v>588</v>
      </c>
      <c r="BD6" s="29" t="s">
        <v>588</v>
      </c>
      <c r="BE6" s="29" t="s">
        <v>588</v>
      </c>
      <c r="BF6" s="29" t="s">
        <v>588</v>
      </c>
      <c r="BG6" s="29" t="s">
        <v>588</v>
      </c>
      <c r="BH6" s="29" t="s">
        <v>588</v>
      </c>
      <c r="BI6" s="29" t="s">
        <v>588</v>
      </c>
      <c r="BJ6" s="29" t="s">
        <v>588</v>
      </c>
      <c r="BK6" s="29" t="s">
        <v>588</v>
      </c>
      <c r="BL6" s="29" t="s">
        <v>588</v>
      </c>
      <c r="BM6" s="28" t="s">
        <v>588</v>
      </c>
      <c r="BN6" s="28" t="s">
        <v>588</v>
      </c>
      <c r="BO6" s="29" t="s">
        <v>588</v>
      </c>
      <c r="BP6" s="28" t="s">
        <v>588</v>
      </c>
      <c r="BQ6" s="29" t="s">
        <v>588</v>
      </c>
      <c r="BR6" s="29" t="s">
        <v>588</v>
      </c>
      <c r="BS6" s="29" t="s">
        <v>8</v>
      </c>
      <c r="BT6" s="11" t="s">
        <v>9</v>
      </c>
      <c r="BU6" s="29" t="s">
        <v>588</v>
      </c>
      <c r="BV6" s="28" t="s">
        <v>588</v>
      </c>
      <c r="BW6" s="29" t="s">
        <v>588</v>
      </c>
      <c r="BX6" s="29" t="s">
        <v>588</v>
      </c>
    </row>
    <row r="7" spans="1:76" s="28" customFormat="1" x14ac:dyDescent="0.25">
      <c r="A7" s="28">
        <v>201112</v>
      </c>
      <c r="B7" s="11" t="s">
        <v>2141</v>
      </c>
      <c r="C7" s="11" t="s">
        <v>23</v>
      </c>
      <c r="D7" s="11" t="s">
        <v>2149</v>
      </c>
      <c r="E7" s="31" t="s">
        <v>1844</v>
      </c>
      <c r="F7" s="28">
        <v>3</v>
      </c>
      <c r="G7" s="28" t="s">
        <v>2150</v>
      </c>
      <c r="H7" s="11" t="s">
        <v>2535</v>
      </c>
      <c r="I7" s="13">
        <v>40879</v>
      </c>
      <c r="J7" s="11">
        <v>2</v>
      </c>
      <c r="K7" s="11">
        <v>12</v>
      </c>
      <c r="L7" s="11">
        <v>2011</v>
      </c>
      <c r="M7" s="11" t="s">
        <v>2245</v>
      </c>
      <c r="N7" s="28" t="s">
        <v>7</v>
      </c>
      <c r="O7" s="28" t="s">
        <v>36</v>
      </c>
      <c r="P7" s="11">
        <v>-38.672449999999998</v>
      </c>
      <c r="Q7" s="11">
        <v>145.62431000000001</v>
      </c>
      <c r="R7" s="33" t="s">
        <v>588</v>
      </c>
      <c r="S7" s="33" t="s">
        <v>588</v>
      </c>
      <c r="T7" s="28">
        <v>2</v>
      </c>
      <c r="U7" s="28">
        <v>2</v>
      </c>
      <c r="V7" s="13">
        <v>40879</v>
      </c>
      <c r="W7" s="28" t="s">
        <v>219</v>
      </c>
      <c r="X7" s="28">
        <v>4</v>
      </c>
      <c r="Y7" s="28">
        <v>4</v>
      </c>
      <c r="Z7" s="28" t="s">
        <v>8</v>
      </c>
      <c r="AA7" s="13">
        <v>40906</v>
      </c>
      <c r="AB7" s="11">
        <v>29</v>
      </c>
      <c r="AC7" s="11">
        <v>12</v>
      </c>
      <c r="AD7" s="11">
        <v>2011</v>
      </c>
      <c r="AE7" s="13" t="s">
        <v>2230</v>
      </c>
      <c r="AF7" s="28" t="s">
        <v>7</v>
      </c>
      <c r="AG7" s="34" t="s">
        <v>588</v>
      </c>
      <c r="AH7" s="11" t="s">
        <v>588</v>
      </c>
      <c r="AI7" s="11" t="s">
        <v>588</v>
      </c>
      <c r="AJ7" s="11" t="s">
        <v>588</v>
      </c>
      <c r="AK7" s="13" t="s">
        <v>588</v>
      </c>
      <c r="AL7" s="28" t="s">
        <v>588</v>
      </c>
      <c r="AM7" s="29" t="s">
        <v>588</v>
      </c>
      <c r="AN7" s="33" t="s">
        <v>588</v>
      </c>
      <c r="AO7" s="33" t="s">
        <v>588</v>
      </c>
      <c r="AP7" s="13">
        <v>40908</v>
      </c>
      <c r="AQ7" s="29" t="s">
        <v>7</v>
      </c>
      <c r="AR7" s="11" t="s">
        <v>195</v>
      </c>
      <c r="AS7" s="28">
        <v>2</v>
      </c>
      <c r="AT7" s="28">
        <v>2</v>
      </c>
      <c r="AU7" s="13">
        <v>40917</v>
      </c>
      <c r="AV7" s="13">
        <v>40921</v>
      </c>
      <c r="AW7" s="13" t="s">
        <v>12</v>
      </c>
      <c r="AX7" s="29" t="s">
        <v>41</v>
      </c>
      <c r="AY7" s="29" t="s">
        <v>41</v>
      </c>
      <c r="AZ7" s="29" t="s">
        <v>20</v>
      </c>
      <c r="BA7" s="13">
        <v>40917</v>
      </c>
      <c r="BB7" s="13">
        <v>40921</v>
      </c>
      <c r="BC7" s="13" t="s">
        <v>12</v>
      </c>
      <c r="BD7" s="29" t="s">
        <v>41</v>
      </c>
      <c r="BE7" s="29" t="s">
        <v>41</v>
      </c>
      <c r="BF7" s="29" t="s">
        <v>20</v>
      </c>
      <c r="BG7" s="29" t="s">
        <v>588</v>
      </c>
      <c r="BH7" s="29" t="s">
        <v>588</v>
      </c>
      <c r="BI7" s="29" t="s">
        <v>588</v>
      </c>
      <c r="BJ7" s="29" t="s">
        <v>588</v>
      </c>
      <c r="BK7" s="29" t="s">
        <v>588</v>
      </c>
      <c r="BL7" s="29" t="s">
        <v>588</v>
      </c>
      <c r="BM7" s="28">
        <v>8</v>
      </c>
      <c r="BN7" s="28">
        <v>7</v>
      </c>
      <c r="BO7" s="29" t="s">
        <v>41</v>
      </c>
      <c r="BP7" s="28" t="s">
        <v>588</v>
      </c>
      <c r="BQ7" s="29" t="s">
        <v>588</v>
      </c>
      <c r="BR7" s="29" t="s">
        <v>588</v>
      </c>
      <c r="BS7" s="29" t="s">
        <v>8</v>
      </c>
      <c r="BT7" s="11" t="s">
        <v>9</v>
      </c>
      <c r="BU7" s="29" t="s">
        <v>8</v>
      </c>
      <c r="BV7" s="11" t="s">
        <v>96</v>
      </c>
      <c r="BW7" s="29" t="s">
        <v>588</v>
      </c>
      <c r="BX7" s="29" t="s">
        <v>2122</v>
      </c>
    </row>
    <row r="8" spans="1:76" s="28" customFormat="1" x14ac:dyDescent="0.25">
      <c r="A8" s="28">
        <v>201112</v>
      </c>
      <c r="B8" s="11" t="s">
        <v>2141</v>
      </c>
      <c r="C8" s="11" t="s">
        <v>23</v>
      </c>
      <c r="D8" s="31" t="s">
        <v>2142</v>
      </c>
      <c r="E8" s="31" t="s">
        <v>1844</v>
      </c>
      <c r="F8" s="28">
        <v>4</v>
      </c>
      <c r="G8" s="28" t="s">
        <v>2146</v>
      </c>
      <c r="H8" s="11" t="s">
        <v>2536</v>
      </c>
      <c r="I8" s="13">
        <v>40885</v>
      </c>
      <c r="J8" s="11">
        <v>8</v>
      </c>
      <c r="K8" s="11">
        <v>12</v>
      </c>
      <c r="L8" s="11">
        <v>2011</v>
      </c>
      <c r="M8" s="11" t="s">
        <v>2537</v>
      </c>
      <c r="N8" s="28" t="s">
        <v>7</v>
      </c>
      <c r="O8" s="28" t="s">
        <v>51</v>
      </c>
      <c r="P8" s="32" t="s">
        <v>588</v>
      </c>
      <c r="Q8" s="32" t="s">
        <v>588</v>
      </c>
      <c r="R8" s="33" t="s">
        <v>588</v>
      </c>
      <c r="S8" s="33" t="s">
        <v>588</v>
      </c>
      <c r="T8" s="28">
        <v>1</v>
      </c>
      <c r="U8" s="28">
        <v>3</v>
      </c>
      <c r="V8" s="29" t="s">
        <v>588</v>
      </c>
      <c r="W8" s="28" t="s">
        <v>588</v>
      </c>
      <c r="X8" s="28">
        <v>3</v>
      </c>
      <c r="Y8" s="28">
        <v>3</v>
      </c>
      <c r="Z8" s="28" t="s">
        <v>41</v>
      </c>
      <c r="AA8" s="13">
        <v>40887</v>
      </c>
      <c r="AB8" s="11">
        <v>10</v>
      </c>
      <c r="AC8" s="11">
        <v>12</v>
      </c>
      <c r="AD8" s="11">
        <v>2011</v>
      </c>
      <c r="AE8" s="13" t="s">
        <v>2538</v>
      </c>
      <c r="AF8" s="28" t="s">
        <v>7</v>
      </c>
      <c r="AG8" s="13">
        <v>40906</v>
      </c>
      <c r="AH8" s="11">
        <v>29</v>
      </c>
      <c r="AI8" s="11">
        <v>12</v>
      </c>
      <c r="AJ8" s="11">
        <v>2011</v>
      </c>
      <c r="AK8" s="13" t="s">
        <v>2230</v>
      </c>
      <c r="AL8" s="28" t="s">
        <v>7</v>
      </c>
      <c r="AM8" s="29" t="s">
        <v>11</v>
      </c>
      <c r="AN8" s="33" t="s">
        <v>8</v>
      </c>
      <c r="AO8" s="33" t="s">
        <v>588</v>
      </c>
      <c r="AP8" s="29" t="s">
        <v>588</v>
      </c>
      <c r="AQ8" s="29" t="s">
        <v>588</v>
      </c>
      <c r="AR8" s="29" t="s">
        <v>588</v>
      </c>
      <c r="AS8" s="28" t="s">
        <v>588</v>
      </c>
      <c r="AT8" s="28" t="s">
        <v>588</v>
      </c>
      <c r="AU8" s="29" t="s">
        <v>588</v>
      </c>
      <c r="AV8" s="29" t="s">
        <v>588</v>
      </c>
      <c r="AW8" s="29" t="s">
        <v>588</v>
      </c>
      <c r="AX8" s="29" t="s">
        <v>588</v>
      </c>
      <c r="AY8" s="29" t="s">
        <v>588</v>
      </c>
      <c r="AZ8" s="29" t="s">
        <v>588</v>
      </c>
      <c r="BA8" s="29" t="s">
        <v>588</v>
      </c>
      <c r="BB8" s="29" t="s">
        <v>588</v>
      </c>
      <c r="BC8" s="29" t="s">
        <v>588</v>
      </c>
      <c r="BD8" s="29" t="s">
        <v>588</v>
      </c>
      <c r="BE8" s="29" t="s">
        <v>588</v>
      </c>
      <c r="BF8" s="29" t="s">
        <v>588</v>
      </c>
      <c r="BG8" s="29" t="s">
        <v>588</v>
      </c>
      <c r="BH8" s="29" t="s">
        <v>588</v>
      </c>
      <c r="BI8" s="29" t="s">
        <v>588</v>
      </c>
      <c r="BJ8" s="29" t="s">
        <v>588</v>
      </c>
      <c r="BK8" s="29" t="s">
        <v>588</v>
      </c>
      <c r="BL8" s="29" t="s">
        <v>588</v>
      </c>
      <c r="BM8" s="28" t="s">
        <v>588</v>
      </c>
      <c r="BN8" s="28" t="s">
        <v>588</v>
      </c>
      <c r="BO8" s="29" t="s">
        <v>588</v>
      </c>
      <c r="BP8" s="28" t="s">
        <v>588</v>
      </c>
      <c r="BQ8" s="29" t="s">
        <v>588</v>
      </c>
      <c r="BR8" s="29" t="s">
        <v>588</v>
      </c>
      <c r="BS8" s="29" t="s">
        <v>8</v>
      </c>
      <c r="BT8" s="11" t="s">
        <v>9</v>
      </c>
      <c r="BU8" s="29" t="s">
        <v>588</v>
      </c>
      <c r="BV8" s="29" t="s">
        <v>588</v>
      </c>
      <c r="BW8" s="29" t="s">
        <v>588</v>
      </c>
      <c r="BX8" s="29" t="s">
        <v>588</v>
      </c>
    </row>
    <row r="9" spans="1:76" s="28" customFormat="1" x14ac:dyDescent="0.25">
      <c r="A9" s="28">
        <v>201112</v>
      </c>
      <c r="B9" s="11" t="s">
        <v>2141</v>
      </c>
      <c r="C9" s="11" t="s">
        <v>23</v>
      </c>
      <c r="D9" s="31" t="s">
        <v>2142</v>
      </c>
      <c r="E9" s="31" t="s">
        <v>1844</v>
      </c>
      <c r="F9" s="28">
        <v>5</v>
      </c>
      <c r="G9" s="28" t="s">
        <v>2147</v>
      </c>
      <c r="H9" s="11" t="s">
        <v>2539</v>
      </c>
      <c r="I9" s="13">
        <v>40915</v>
      </c>
      <c r="J9" s="11">
        <v>7</v>
      </c>
      <c r="K9" s="11">
        <v>1</v>
      </c>
      <c r="L9" s="11">
        <v>2012</v>
      </c>
      <c r="M9" s="11" t="s">
        <v>2540</v>
      </c>
      <c r="N9" s="28" t="s">
        <v>12</v>
      </c>
      <c r="O9" s="28" t="s">
        <v>36</v>
      </c>
      <c r="P9" s="37" t="s">
        <v>588</v>
      </c>
      <c r="Q9" s="37" t="s">
        <v>588</v>
      </c>
      <c r="R9" s="33" t="s">
        <v>588</v>
      </c>
      <c r="S9" s="33" t="s">
        <v>588</v>
      </c>
      <c r="T9" s="28">
        <v>3</v>
      </c>
      <c r="U9" s="28">
        <v>3</v>
      </c>
      <c r="V9" s="13">
        <v>40917</v>
      </c>
      <c r="W9" s="28" t="s">
        <v>223</v>
      </c>
      <c r="X9" s="28">
        <v>4</v>
      </c>
      <c r="Y9" s="28">
        <v>4</v>
      </c>
      <c r="Z9" s="28" t="s">
        <v>41</v>
      </c>
      <c r="AA9" s="13">
        <v>40930</v>
      </c>
      <c r="AB9" s="11">
        <v>22</v>
      </c>
      <c r="AC9" s="11">
        <v>1</v>
      </c>
      <c r="AD9" s="11">
        <v>2012</v>
      </c>
      <c r="AE9" s="13" t="s">
        <v>2541</v>
      </c>
      <c r="AF9" s="28" t="s">
        <v>12</v>
      </c>
      <c r="AG9" s="13">
        <v>40941</v>
      </c>
      <c r="AH9" s="11">
        <v>2</v>
      </c>
      <c r="AI9" s="11">
        <v>2</v>
      </c>
      <c r="AJ9" s="11">
        <v>2012</v>
      </c>
      <c r="AK9" s="13" t="s">
        <v>2231</v>
      </c>
      <c r="AL9" s="28" t="s">
        <v>21</v>
      </c>
      <c r="AM9" s="29" t="s">
        <v>41</v>
      </c>
      <c r="AN9" s="33" t="s">
        <v>8</v>
      </c>
      <c r="AO9" s="33" t="s">
        <v>2148</v>
      </c>
      <c r="AP9" s="29" t="s">
        <v>588</v>
      </c>
      <c r="AQ9" s="29" t="s">
        <v>588</v>
      </c>
      <c r="AR9" s="28" t="s">
        <v>588</v>
      </c>
      <c r="AS9" s="28" t="s">
        <v>588</v>
      </c>
      <c r="AT9" s="28" t="s">
        <v>588</v>
      </c>
      <c r="AU9" s="29" t="s">
        <v>588</v>
      </c>
      <c r="AV9" s="29" t="s">
        <v>588</v>
      </c>
      <c r="AW9" s="29" t="s">
        <v>588</v>
      </c>
      <c r="AX9" s="29" t="s">
        <v>588</v>
      </c>
      <c r="AY9" s="29" t="s">
        <v>588</v>
      </c>
      <c r="AZ9" s="29" t="s">
        <v>588</v>
      </c>
      <c r="BA9" s="29" t="s">
        <v>588</v>
      </c>
      <c r="BB9" s="29" t="s">
        <v>588</v>
      </c>
      <c r="BC9" s="29" t="s">
        <v>588</v>
      </c>
      <c r="BD9" s="29" t="s">
        <v>588</v>
      </c>
      <c r="BE9" s="29" t="s">
        <v>588</v>
      </c>
      <c r="BF9" s="29" t="s">
        <v>588</v>
      </c>
      <c r="BG9" s="29" t="s">
        <v>588</v>
      </c>
      <c r="BH9" s="29" t="s">
        <v>588</v>
      </c>
      <c r="BI9" s="29" t="s">
        <v>588</v>
      </c>
      <c r="BJ9" s="29" t="s">
        <v>588</v>
      </c>
      <c r="BK9" s="29" t="s">
        <v>588</v>
      </c>
      <c r="BL9" s="29" t="s">
        <v>588</v>
      </c>
      <c r="BM9" s="28" t="s">
        <v>588</v>
      </c>
      <c r="BN9" s="28" t="s">
        <v>588</v>
      </c>
      <c r="BO9" s="29" t="s">
        <v>588</v>
      </c>
      <c r="BP9" s="28" t="s">
        <v>588</v>
      </c>
      <c r="BQ9" s="29" t="s">
        <v>588</v>
      </c>
      <c r="BR9" s="29" t="s">
        <v>588</v>
      </c>
      <c r="BS9" s="29" t="s">
        <v>8</v>
      </c>
      <c r="BT9" s="11" t="s">
        <v>9</v>
      </c>
      <c r="BU9" s="28" t="s">
        <v>588</v>
      </c>
      <c r="BV9" s="28" t="s">
        <v>588</v>
      </c>
      <c r="BW9" s="29" t="s">
        <v>588</v>
      </c>
      <c r="BX9" s="29" t="s">
        <v>588</v>
      </c>
    </row>
    <row r="10" spans="1:76" s="28" customFormat="1" x14ac:dyDescent="0.25">
      <c r="A10" s="28">
        <v>201112</v>
      </c>
      <c r="B10" s="11" t="s">
        <v>2157</v>
      </c>
      <c r="C10" s="11" t="s">
        <v>14</v>
      </c>
      <c r="D10" s="31" t="s">
        <v>1844</v>
      </c>
      <c r="E10" s="31" t="s">
        <v>1844</v>
      </c>
      <c r="F10" s="28">
        <v>1</v>
      </c>
      <c r="G10" s="28" t="s">
        <v>2158</v>
      </c>
      <c r="H10" s="11" t="s">
        <v>2542</v>
      </c>
      <c r="I10" s="13">
        <v>40879</v>
      </c>
      <c r="J10" s="11">
        <v>2</v>
      </c>
      <c r="K10" s="11">
        <v>12</v>
      </c>
      <c r="L10" s="11">
        <v>2011</v>
      </c>
      <c r="M10" s="11" t="s">
        <v>2245</v>
      </c>
      <c r="N10" s="28" t="s">
        <v>7</v>
      </c>
      <c r="O10" s="28" t="s">
        <v>36</v>
      </c>
      <c r="P10" s="37">
        <v>-38.658070000000002</v>
      </c>
      <c r="Q10" s="37">
        <v>145.57901000000001</v>
      </c>
      <c r="R10" s="33" t="s">
        <v>588</v>
      </c>
      <c r="S10" s="33" t="s">
        <v>588</v>
      </c>
      <c r="T10" s="28">
        <v>1</v>
      </c>
      <c r="U10" s="28">
        <v>3</v>
      </c>
      <c r="V10" s="29" t="s">
        <v>588</v>
      </c>
      <c r="W10" s="28" t="s">
        <v>588</v>
      </c>
      <c r="X10" s="28">
        <v>2</v>
      </c>
      <c r="Y10" s="28">
        <v>2</v>
      </c>
      <c r="Z10" s="28" t="s">
        <v>41</v>
      </c>
      <c r="AA10" s="13">
        <v>40879</v>
      </c>
      <c r="AB10" s="11">
        <v>2</v>
      </c>
      <c r="AC10" s="11">
        <v>12</v>
      </c>
      <c r="AD10" s="11">
        <v>2011</v>
      </c>
      <c r="AE10" s="13" t="s">
        <v>2245</v>
      </c>
      <c r="AF10" s="28" t="s">
        <v>7</v>
      </c>
      <c r="AG10" s="13">
        <v>40881</v>
      </c>
      <c r="AH10" s="11">
        <v>4</v>
      </c>
      <c r="AI10" s="11">
        <v>12</v>
      </c>
      <c r="AJ10" s="11">
        <v>2011</v>
      </c>
      <c r="AK10" s="13" t="s">
        <v>2232</v>
      </c>
      <c r="AL10" s="28" t="s">
        <v>7</v>
      </c>
      <c r="AM10" s="29" t="s">
        <v>41</v>
      </c>
      <c r="AN10" s="28" t="s">
        <v>41</v>
      </c>
      <c r="AO10" s="29" t="s">
        <v>20</v>
      </c>
      <c r="AP10" s="29" t="s">
        <v>588</v>
      </c>
      <c r="AQ10" s="29" t="s">
        <v>588</v>
      </c>
      <c r="AR10" s="28" t="s">
        <v>588</v>
      </c>
      <c r="AS10" s="33" t="s">
        <v>588</v>
      </c>
      <c r="AT10" s="33" t="s">
        <v>588</v>
      </c>
      <c r="AU10" s="29" t="s">
        <v>588</v>
      </c>
      <c r="AV10" s="29" t="s">
        <v>588</v>
      </c>
      <c r="AW10" s="29" t="s">
        <v>588</v>
      </c>
      <c r="AX10" s="29" t="s">
        <v>588</v>
      </c>
      <c r="AY10" s="29" t="s">
        <v>588</v>
      </c>
      <c r="AZ10" s="29" t="s">
        <v>588</v>
      </c>
      <c r="BA10" s="29" t="s">
        <v>588</v>
      </c>
      <c r="BB10" s="29" t="s">
        <v>588</v>
      </c>
      <c r="BC10" s="29" t="s">
        <v>588</v>
      </c>
      <c r="BD10" s="29" t="s">
        <v>588</v>
      </c>
      <c r="BE10" s="29" t="s">
        <v>588</v>
      </c>
      <c r="BF10" s="29" t="s">
        <v>588</v>
      </c>
      <c r="BG10" s="29" t="s">
        <v>588</v>
      </c>
      <c r="BH10" s="29" t="s">
        <v>588</v>
      </c>
      <c r="BI10" s="29" t="s">
        <v>588</v>
      </c>
      <c r="BJ10" s="29" t="s">
        <v>588</v>
      </c>
      <c r="BK10" s="29" t="s">
        <v>588</v>
      </c>
      <c r="BL10" s="29" t="s">
        <v>588</v>
      </c>
      <c r="BM10" s="28" t="s">
        <v>588</v>
      </c>
      <c r="BN10" s="28" t="s">
        <v>588</v>
      </c>
      <c r="BO10" s="29" t="s">
        <v>588</v>
      </c>
      <c r="BP10" s="28" t="s">
        <v>588</v>
      </c>
      <c r="BQ10" s="29" t="s">
        <v>588</v>
      </c>
      <c r="BR10" s="29" t="s">
        <v>588</v>
      </c>
      <c r="BS10" s="28" t="s">
        <v>41</v>
      </c>
      <c r="BT10" s="28" t="s">
        <v>42</v>
      </c>
      <c r="BU10" s="29" t="s">
        <v>588</v>
      </c>
      <c r="BV10" s="28" t="s">
        <v>588</v>
      </c>
      <c r="BW10" s="29" t="s">
        <v>588</v>
      </c>
      <c r="BX10" s="29" t="s">
        <v>588</v>
      </c>
    </row>
    <row r="11" spans="1:76" s="28" customFormat="1" x14ac:dyDescent="0.25">
      <c r="A11" s="28">
        <v>201112</v>
      </c>
      <c r="B11" s="11" t="s">
        <v>2157</v>
      </c>
      <c r="C11" s="11" t="s">
        <v>14</v>
      </c>
      <c r="D11" s="31" t="s">
        <v>1844</v>
      </c>
      <c r="E11" s="31" t="s">
        <v>1844</v>
      </c>
      <c r="F11" s="28">
        <v>2</v>
      </c>
      <c r="G11" s="28" t="s">
        <v>2159</v>
      </c>
      <c r="H11" s="11" t="s">
        <v>2543</v>
      </c>
      <c r="I11" s="13">
        <v>40900</v>
      </c>
      <c r="J11" s="11">
        <v>23</v>
      </c>
      <c r="K11" s="11">
        <v>12</v>
      </c>
      <c r="L11" s="11">
        <v>2011</v>
      </c>
      <c r="M11" s="11" t="s">
        <v>2544</v>
      </c>
      <c r="N11" s="28" t="s">
        <v>7</v>
      </c>
      <c r="O11" s="11" t="s">
        <v>19</v>
      </c>
      <c r="P11" s="39">
        <v>-38.659649999999999</v>
      </c>
      <c r="Q11" s="11">
        <v>145.58065999999999</v>
      </c>
      <c r="R11" s="33" t="s">
        <v>588</v>
      </c>
      <c r="S11" s="33" t="s">
        <v>588</v>
      </c>
      <c r="T11" s="28">
        <v>3</v>
      </c>
      <c r="U11" s="28">
        <v>3</v>
      </c>
      <c r="V11" s="29" t="s">
        <v>588</v>
      </c>
      <c r="W11" s="28" t="s">
        <v>588</v>
      </c>
      <c r="X11" s="28">
        <v>7</v>
      </c>
      <c r="Y11" s="28">
        <v>7</v>
      </c>
      <c r="Z11" s="28" t="s">
        <v>41</v>
      </c>
      <c r="AA11" s="13">
        <v>40921</v>
      </c>
      <c r="AB11" s="11">
        <v>13</v>
      </c>
      <c r="AC11" s="11">
        <v>1</v>
      </c>
      <c r="AD11" s="11">
        <v>2012</v>
      </c>
      <c r="AE11" s="13" t="s">
        <v>2545</v>
      </c>
      <c r="AF11" s="28" t="s">
        <v>12</v>
      </c>
      <c r="AG11" s="13">
        <v>40925</v>
      </c>
      <c r="AH11" s="11">
        <v>17</v>
      </c>
      <c r="AI11" s="11">
        <v>1</v>
      </c>
      <c r="AJ11" s="11">
        <v>2012</v>
      </c>
      <c r="AK11" s="13" t="s">
        <v>2233</v>
      </c>
      <c r="AL11" s="28" t="s">
        <v>12</v>
      </c>
      <c r="AM11" s="29" t="s">
        <v>41</v>
      </c>
      <c r="AN11" s="28" t="s">
        <v>41</v>
      </c>
      <c r="AO11" s="29" t="s">
        <v>2160</v>
      </c>
      <c r="AP11" s="29" t="s">
        <v>588</v>
      </c>
      <c r="AQ11" s="29" t="s">
        <v>588</v>
      </c>
      <c r="AR11" s="33" t="s">
        <v>588</v>
      </c>
      <c r="AS11" s="28" t="s">
        <v>588</v>
      </c>
      <c r="AT11" s="28" t="s">
        <v>588</v>
      </c>
      <c r="AU11" s="29" t="s">
        <v>588</v>
      </c>
      <c r="AV11" s="29" t="s">
        <v>588</v>
      </c>
      <c r="AW11" s="29" t="s">
        <v>588</v>
      </c>
      <c r="AX11" s="29" t="s">
        <v>588</v>
      </c>
      <c r="AY11" s="29" t="s">
        <v>588</v>
      </c>
      <c r="AZ11" s="29" t="s">
        <v>588</v>
      </c>
      <c r="BA11" s="29" t="s">
        <v>588</v>
      </c>
      <c r="BB11" s="29" t="s">
        <v>588</v>
      </c>
      <c r="BC11" s="29" t="s">
        <v>588</v>
      </c>
      <c r="BD11" s="29" t="s">
        <v>588</v>
      </c>
      <c r="BE11" s="29" t="s">
        <v>588</v>
      </c>
      <c r="BF11" s="29" t="s">
        <v>588</v>
      </c>
      <c r="BG11" s="29" t="s">
        <v>588</v>
      </c>
      <c r="BH11" s="29" t="s">
        <v>588</v>
      </c>
      <c r="BI11" s="29" t="s">
        <v>588</v>
      </c>
      <c r="BJ11" s="29" t="s">
        <v>588</v>
      </c>
      <c r="BK11" s="29" t="s">
        <v>588</v>
      </c>
      <c r="BL11" s="29" t="s">
        <v>588</v>
      </c>
      <c r="BM11" s="28" t="s">
        <v>588</v>
      </c>
      <c r="BN11" s="28" t="s">
        <v>588</v>
      </c>
      <c r="BO11" s="29" t="s">
        <v>588</v>
      </c>
      <c r="BP11" s="28" t="s">
        <v>588</v>
      </c>
      <c r="BQ11" s="29" t="s">
        <v>588</v>
      </c>
      <c r="BR11" s="29" t="s">
        <v>588</v>
      </c>
      <c r="BS11" s="29" t="s">
        <v>8</v>
      </c>
      <c r="BT11" s="11" t="s">
        <v>9</v>
      </c>
      <c r="BU11" s="29" t="s">
        <v>588</v>
      </c>
      <c r="BV11" s="28" t="s">
        <v>588</v>
      </c>
      <c r="BX11" s="29" t="s">
        <v>2122</v>
      </c>
    </row>
    <row r="12" spans="1:76" s="28" customFormat="1" x14ac:dyDescent="0.25">
      <c r="A12" s="28">
        <v>201112</v>
      </c>
      <c r="B12" s="11" t="s">
        <v>2157</v>
      </c>
      <c r="C12" s="11" t="s">
        <v>14</v>
      </c>
      <c r="D12" s="31" t="s">
        <v>2161</v>
      </c>
      <c r="E12" s="31" t="s">
        <v>1844</v>
      </c>
      <c r="F12" s="28">
        <v>3</v>
      </c>
      <c r="G12" s="28" t="s">
        <v>2162</v>
      </c>
      <c r="H12" s="11" t="s">
        <v>2546</v>
      </c>
      <c r="I12" s="13">
        <v>40937</v>
      </c>
      <c r="J12" s="11">
        <v>29</v>
      </c>
      <c r="K12" s="11">
        <v>1</v>
      </c>
      <c r="L12" s="11">
        <v>2012</v>
      </c>
      <c r="M12" s="11" t="s">
        <v>2547</v>
      </c>
      <c r="N12" s="28" t="s">
        <v>12</v>
      </c>
      <c r="O12" s="11" t="s">
        <v>19</v>
      </c>
      <c r="P12" s="28" t="s">
        <v>588</v>
      </c>
      <c r="Q12" s="28" t="s">
        <v>588</v>
      </c>
      <c r="R12" s="33" t="s">
        <v>588</v>
      </c>
      <c r="S12" s="33" t="s">
        <v>588</v>
      </c>
      <c r="T12" s="28">
        <v>3</v>
      </c>
      <c r="U12" s="28">
        <v>3</v>
      </c>
      <c r="V12" s="29">
        <v>40933</v>
      </c>
      <c r="W12" s="28" t="s">
        <v>219</v>
      </c>
      <c r="X12" s="28">
        <v>5</v>
      </c>
      <c r="Y12" s="28">
        <v>5</v>
      </c>
      <c r="Z12" s="28" t="s">
        <v>8</v>
      </c>
      <c r="AA12" s="13">
        <v>40960</v>
      </c>
      <c r="AB12" s="11">
        <v>21</v>
      </c>
      <c r="AC12" s="11">
        <v>2</v>
      </c>
      <c r="AD12" s="11">
        <v>2012</v>
      </c>
      <c r="AE12" s="13" t="s">
        <v>2548</v>
      </c>
      <c r="AF12" s="28" t="s">
        <v>21</v>
      </c>
      <c r="AG12" s="29" t="s">
        <v>588</v>
      </c>
      <c r="AH12" s="11" t="s">
        <v>588</v>
      </c>
      <c r="AI12" s="11" t="s">
        <v>588</v>
      </c>
      <c r="AJ12" s="11" t="s">
        <v>588</v>
      </c>
      <c r="AK12" s="13" t="s">
        <v>588</v>
      </c>
      <c r="AL12" s="28" t="s">
        <v>588</v>
      </c>
      <c r="AM12" s="29" t="s">
        <v>588</v>
      </c>
      <c r="AN12" s="29" t="s">
        <v>588</v>
      </c>
      <c r="AO12" s="29" t="s">
        <v>588</v>
      </c>
      <c r="AP12" s="13">
        <v>40961</v>
      </c>
      <c r="AQ12" s="29" t="s">
        <v>21</v>
      </c>
      <c r="AR12" s="11" t="s">
        <v>195</v>
      </c>
      <c r="AS12" s="28">
        <v>2</v>
      </c>
      <c r="AT12" s="28">
        <v>2</v>
      </c>
      <c r="AU12" s="13">
        <v>40967</v>
      </c>
      <c r="AV12" s="13">
        <v>40975</v>
      </c>
      <c r="AW12" s="29" t="s">
        <v>22</v>
      </c>
      <c r="AX12" s="29" t="s">
        <v>41</v>
      </c>
      <c r="AY12" s="29" t="s">
        <v>41</v>
      </c>
      <c r="AZ12" s="29" t="s">
        <v>20</v>
      </c>
      <c r="BA12" s="13">
        <v>40983</v>
      </c>
      <c r="BB12" s="13">
        <v>40997</v>
      </c>
      <c r="BC12" s="29" t="s">
        <v>2163</v>
      </c>
      <c r="BD12" s="29" t="s">
        <v>588</v>
      </c>
      <c r="BE12" s="29" t="s">
        <v>588</v>
      </c>
      <c r="BF12" s="29" t="s">
        <v>588</v>
      </c>
      <c r="BG12" s="29" t="s">
        <v>588</v>
      </c>
      <c r="BH12" s="29" t="s">
        <v>588</v>
      </c>
      <c r="BI12" s="29" t="s">
        <v>588</v>
      </c>
      <c r="BJ12" s="29" t="s">
        <v>588</v>
      </c>
      <c r="BK12" s="29" t="s">
        <v>588</v>
      </c>
      <c r="BL12" s="29" t="s">
        <v>588</v>
      </c>
      <c r="BM12" s="28">
        <v>6</v>
      </c>
      <c r="BN12" s="28">
        <v>5</v>
      </c>
      <c r="BO12" s="29" t="s">
        <v>647</v>
      </c>
      <c r="BP12" s="28" t="s">
        <v>588</v>
      </c>
      <c r="BQ12" s="29" t="s">
        <v>588</v>
      </c>
      <c r="BR12" s="29" t="s">
        <v>588</v>
      </c>
      <c r="BS12" s="29" t="s">
        <v>8</v>
      </c>
      <c r="BT12" s="11" t="s">
        <v>9</v>
      </c>
      <c r="BU12" s="29" t="s">
        <v>8</v>
      </c>
      <c r="BV12" s="11" t="s">
        <v>9</v>
      </c>
      <c r="BW12" s="29" t="s">
        <v>2164</v>
      </c>
      <c r="BX12" s="29" t="s">
        <v>588</v>
      </c>
    </row>
    <row r="13" spans="1:76" s="28" customFormat="1" x14ac:dyDescent="0.25">
      <c r="A13" s="28">
        <v>201112</v>
      </c>
      <c r="B13" s="38" t="s">
        <v>2189</v>
      </c>
      <c r="C13" s="11" t="s">
        <v>580</v>
      </c>
      <c r="D13" s="31" t="s">
        <v>1844</v>
      </c>
      <c r="E13" s="31" t="s">
        <v>1844</v>
      </c>
      <c r="F13" s="28">
        <v>1</v>
      </c>
      <c r="G13" s="28" t="s">
        <v>2190</v>
      </c>
      <c r="H13" s="11" t="s">
        <v>2549</v>
      </c>
      <c r="I13" s="13">
        <v>40898</v>
      </c>
      <c r="J13" s="11">
        <v>21</v>
      </c>
      <c r="K13" s="11">
        <v>12</v>
      </c>
      <c r="L13" s="11">
        <v>2011</v>
      </c>
      <c r="M13" s="11" t="s">
        <v>2529</v>
      </c>
      <c r="N13" s="28" t="s">
        <v>7</v>
      </c>
      <c r="O13" s="28" t="s">
        <v>10</v>
      </c>
      <c r="P13" s="11">
        <v>-38.63252</v>
      </c>
      <c r="Q13" s="11">
        <v>145.55113</v>
      </c>
      <c r="R13" s="28" t="s">
        <v>588</v>
      </c>
      <c r="S13" s="28" t="s">
        <v>588</v>
      </c>
      <c r="T13" s="28">
        <v>3</v>
      </c>
      <c r="U13" s="28">
        <v>3</v>
      </c>
      <c r="V13" s="29" t="s">
        <v>588</v>
      </c>
      <c r="W13" s="28" t="s">
        <v>588</v>
      </c>
      <c r="X13" s="28">
        <v>4</v>
      </c>
      <c r="Y13" s="28">
        <v>4</v>
      </c>
      <c r="Z13" s="28" t="s">
        <v>41</v>
      </c>
      <c r="AA13" s="13">
        <v>40916</v>
      </c>
      <c r="AB13" s="11">
        <v>8</v>
      </c>
      <c r="AC13" s="11">
        <v>1</v>
      </c>
      <c r="AD13" s="11">
        <v>2012</v>
      </c>
      <c r="AE13" s="13" t="s">
        <v>2550</v>
      </c>
      <c r="AF13" s="28" t="s">
        <v>12</v>
      </c>
      <c r="AG13" s="13">
        <v>40923</v>
      </c>
      <c r="AH13" s="11">
        <v>15</v>
      </c>
      <c r="AI13" s="11">
        <v>1</v>
      </c>
      <c r="AJ13" s="11">
        <v>2012</v>
      </c>
      <c r="AK13" s="13" t="s">
        <v>2234</v>
      </c>
      <c r="AL13" s="28" t="s">
        <v>12</v>
      </c>
      <c r="AM13" s="29" t="s">
        <v>11</v>
      </c>
      <c r="AN13" s="29" t="s">
        <v>588</v>
      </c>
      <c r="AO13" s="29" t="s">
        <v>2191</v>
      </c>
      <c r="AP13" s="34" t="s">
        <v>588</v>
      </c>
      <c r="AQ13" s="28" t="s">
        <v>588</v>
      </c>
      <c r="AR13" s="33" t="s">
        <v>588</v>
      </c>
      <c r="AS13" s="28" t="s">
        <v>588</v>
      </c>
      <c r="AT13" s="28" t="s">
        <v>588</v>
      </c>
      <c r="AU13" s="34" t="s">
        <v>588</v>
      </c>
      <c r="AV13" s="34" t="s">
        <v>588</v>
      </c>
      <c r="AW13" s="29" t="s">
        <v>588</v>
      </c>
      <c r="AX13" s="29" t="s">
        <v>588</v>
      </c>
      <c r="AY13" s="29" t="s">
        <v>588</v>
      </c>
      <c r="AZ13" s="29" t="s">
        <v>588</v>
      </c>
      <c r="BA13" s="34" t="s">
        <v>588</v>
      </c>
      <c r="BB13" s="34" t="s">
        <v>588</v>
      </c>
      <c r="BC13" s="29" t="s">
        <v>588</v>
      </c>
      <c r="BD13" s="29" t="s">
        <v>588</v>
      </c>
      <c r="BE13" s="29" t="s">
        <v>588</v>
      </c>
      <c r="BF13" s="29" t="s">
        <v>588</v>
      </c>
      <c r="BG13" s="29" t="s">
        <v>588</v>
      </c>
      <c r="BH13" s="29" t="s">
        <v>588</v>
      </c>
      <c r="BI13" s="29" t="s">
        <v>588</v>
      </c>
      <c r="BJ13" s="29" t="s">
        <v>588</v>
      </c>
      <c r="BK13" s="29" t="s">
        <v>588</v>
      </c>
      <c r="BL13" s="29" t="s">
        <v>588</v>
      </c>
      <c r="BM13" s="28" t="s">
        <v>588</v>
      </c>
      <c r="BN13" s="28" t="s">
        <v>588</v>
      </c>
      <c r="BO13" s="29" t="s">
        <v>588</v>
      </c>
      <c r="BP13" s="28" t="s">
        <v>588</v>
      </c>
      <c r="BQ13" s="29" t="s">
        <v>588</v>
      </c>
      <c r="BR13" s="29" t="s">
        <v>588</v>
      </c>
      <c r="BS13" s="28" t="s">
        <v>41</v>
      </c>
      <c r="BT13" s="28" t="s">
        <v>42</v>
      </c>
      <c r="BU13" s="28" t="s">
        <v>588</v>
      </c>
      <c r="BV13" s="33" t="s">
        <v>588</v>
      </c>
      <c r="BW13" s="29" t="s">
        <v>588</v>
      </c>
      <c r="BX13" s="29" t="s">
        <v>2122</v>
      </c>
    </row>
    <row r="14" spans="1:76" s="28" customFormat="1" x14ac:dyDescent="0.25">
      <c r="A14" s="28">
        <v>201112</v>
      </c>
      <c r="B14" s="38" t="s">
        <v>2189</v>
      </c>
      <c r="C14" s="11" t="s">
        <v>580</v>
      </c>
      <c r="D14" s="31" t="s">
        <v>1844</v>
      </c>
      <c r="E14" s="31" t="s">
        <v>1844</v>
      </c>
      <c r="F14" s="28">
        <v>2</v>
      </c>
      <c r="G14" s="28" t="s">
        <v>2192</v>
      </c>
      <c r="H14" s="11" t="s">
        <v>2551</v>
      </c>
      <c r="I14" s="13">
        <v>40927</v>
      </c>
      <c r="J14" s="11">
        <v>19</v>
      </c>
      <c r="K14" s="11">
        <v>1</v>
      </c>
      <c r="L14" s="11">
        <v>2012</v>
      </c>
      <c r="M14" s="11" t="s">
        <v>2552</v>
      </c>
      <c r="N14" s="28" t="s">
        <v>12</v>
      </c>
      <c r="O14" s="28" t="s">
        <v>10</v>
      </c>
      <c r="P14" s="11">
        <v>-38.632559999999998</v>
      </c>
      <c r="Q14" s="11">
        <v>145.55116000000001</v>
      </c>
      <c r="R14" s="28" t="s">
        <v>588</v>
      </c>
      <c r="S14" s="28" t="s">
        <v>588</v>
      </c>
      <c r="T14" s="28">
        <v>1</v>
      </c>
      <c r="U14" s="28">
        <v>3</v>
      </c>
      <c r="V14" s="29" t="s">
        <v>588</v>
      </c>
      <c r="W14" s="28" t="s">
        <v>588</v>
      </c>
      <c r="X14" s="28">
        <v>2</v>
      </c>
      <c r="Y14" s="28">
        <v>2</v>
      </c>
      <c r="Z14" s="28" t="s">
        <v>41</v>
      </c>
      <c r="AA14" s="13">
        <v>40927</v>
      </c>
      <c r="AB14" s="11">
        <v>19</v>
      </c>
      <c r="AC14" s="11">
        <v>1</v>
      </c>
      <c r="AD14" s="11">
        <v>2012</v>
      </c>
      <c r="AE14" s="13" t="s">
        <v>2552</v>
      </c>
      <c r="AF14" s="28" t="s">
        <v>7</v>
      </c>
      <c r="AG14" s="13">
        <v>40945</v>
      </c>
      <c r="AH14" s="11">
        <v>6</v>
      </c>
      <c r="AI14" s="11">
        <v>2</v>
      </c>
      <c r="AJ14" s="11">
        <v>2012</v>
      </c>
      <c r="AK14" s="13" t="s">
        <v>2235</v>
      </c>
      <c r="AL14" s="28" t="s">
        <v>12</v>
      </c>
      <c r="AM14" s="29" t="s">
        <v>11</v>
      </c>
      <c r="AN14" s="29" t="s">
        <v>588</v>
      </c>
      <c r="AO14" s="29" t="s">
        <v>588</v>
      </c>
      <c r="AP14" s="29" t="s">
        <v>588</v>
      </c>
      <c r="AQ14" s="29" t="s">
        <v>588</v>
      </c>
      <c r="AR14" s="29" t="s">
        <v>588</v>
      </c>
      <c r="AS14" s="28" t="s">
        <v>588</v>
      </c>
      <c r="AT14" s="28" t="s">
        <v>588</v>
      </c>
      <c r="AU14" s="29" t="s">
        <v>588</v>
      </c>
      <c r="AV14" s="29" t="s">
        <v>588</v>
      </c>
      <c r="AW14" s="29" t="s">
        <v>588</v>
      </c>
      <c r="AX14" s="29" t="s">
        <v>588</v>
      </c>
      <c r="AY14" s="29" t="s">
        <v>588</v>
      </c>
      <c r="AZ14" s="29" t="s">
        <v>588</v>
      </c>
      <c r="BA14" s="29" t="s">
        <v>588</v>
      </c>
      <c r="BB14" s="29" t="s">
        <v>588</v>
      </c>
      <c r="BC14" s="29" t="s">
        <v>588</v>
      </c>
      <c r="BD14" s="29" t="s">
        <v>588</v>
      </c>
      <c r="BE14" s="29" t="s">
        <v>588</v>
      </c>
      <c r="BF14" s="29" t="s">
        <v>588</v>
      </c>
      <c r="BG14" s="29" t="s">
        <v>588</v>
      </c>
      <c r="BH14" s="29" t="s">
        <v>588</v>
      </c>
      <c r="BI14" s="29" t="s">
        <v>588</v>
      </c>
      <c r="BJ14" s="29" t="s">
        <v>588</v>
      </c>
      <c r="BK14" s="29" t="s">
        <v>588</v>
      </c>
      <c r="BL14" s="29" t="s">
        <v>588</v>
      </c>
      <c r="BM14" s="28" t="s">
        <v>588</v>
      </c>
      <c r="BN14" s="28" t="s">
        <v>588</v>
      </c>
      <c r="BO14" s="29" t="s">
        <v>588</v>
      </c>
      <c r="BP14" s="29" t="s">
        <v>588</v>
      </c>
      <c r="BQ14" s="29" t="s">
        <v>588</v>
      </c>
      <c r="BR14" s="29" t="s">
        <v>588</v>
      </c>
      <c r="BS14" s="28" t="s">
        <v>41</v>
      </c>
      <c r="BT14" s="28" t="s">
        <v>42</v>
      </c>
      <c r="BU14" s="29" t="s">
        <v>588</v>
      </c>
      <c r="BV14" s="29" t="s">
        <v>588</v>
      </c>
      <c r="BW14" s="29" t="s">
        <v>588</v>
      </c>
      <c r="BX14" s="29" t="s">
        <v>588</v>
      </c>
    </row>
    <row r="15" spans="1:76" s="28" customFormat="1" x14ac:dyDescent="0.25">
      <c r="A15" s="28">
        <v>201112</v>
      </c>
      <c r="B15" s="38" t="s">
        <v>2185</v>
      </c>
      <c r="C15" s="11" t="s">
        <v>274</v>
      </c>
      <c r="D15" s="31" t="s">
        <v>2186</v>
      </c>
      <c r="E15" s="33" t="s">
        <v>1844</v>
      </c>
      <c r="F15" s="28">
        <v>1</v>
      </c>
      <c r="G15" s="28" t="s">
        <v>2187</v>
      </c>
      <c r="H15" s="11" t="s">
        <v>2553</v>
      </c>
      <c r="I15" s="13">
        <v>40927</v>
      </c>
      <c r="J15" s="11">
        <v>19</v>
      </c>
      <c r="K15" s="11">
        <v>1</v>
      </c>
      <c r="L15" s="11">
        <v>2012</v>
      </c>
      <c r="M15" s="11" t="s">
        <v>2552</v>
      </c>
      <c r="N15" s="28" t="s">
        <v>12</v>
      </c>
      <c r="O15" s="28" t="s">
        <v>10</v>
      </c>
      <c r="P15" s="11">
        <v>-38.641860000000001</v>
      </c>
      <c r="Q15" s="11">
        <v>145.55644000000001</v>
      </c>
      <c r="R15" s="28" t="s">
        <v>588</v>
      </c>
      <c r="S15" s="28" t="s">
        <v>588</v>
      </c>
      <c r="T15" s="28">
        <v>2</v>
      </c>
      <c r="U15" s="28">
        <v>3</v>
      </c>
      <c r="V15" s="29" t="s">
        <v>588</v>
      </c>
      <c r="W15" s="28" t="s">
        <v>588</v>
      </c>
      <c r="X15" s="28">
        <v>6</v>
      </c>
      <c r="Y15" s="28">
        <v>6</v>
      </c>
      <c r="Z15" s="28" t="s">
        <v>41</v>
      </c>
      <c r="AA15" s="13">
        <v>40954</v>
      </c>
      <c r="AB15" s="11">
        <v>15</v>
      </c>
      <c r="AC15" s="11">
        <v>2</v>
      </c>
      <c r="AD15" s="11">
        <v>2012</v>
      </c>
      <c r="AE15" s="13" t="s">
        <v>2554</v>
      </c>
      <c r="AF15" s="28" t="s">
        <v>21</v>
      </c>
      <c r="AG15" s="13">
        <v>40961</v>
      </c>
      <c r="AH15" s="11">
        <v>22</v>
      </c>
      <c r="AI15" s="11">
        <v>2</v>
      </c>
      <c r="AJ15" s="11">
        <v>2012</v>
      </c>
      <c r="AK15" s="13" t="s">
        <v>2236</v>
      </c>
      <c r="AL15" s="28" t="s">
        <v>21</v>
      </c>
      <c r="AM15" s="33" t="s">
        <v>41</v>
      </c>
      <c r="AN15" s="29" t="s">
        <v>8</v>
      </c>
      <c r="AO15" s="29" t="s">
        <v>2188</v>
      </c>
      <c r="AP15" s="29" t="s">
        <v>588</v>
      </c>
      <c r="AQ15" s="29" t="s">
        <v>588</v>
      </c>
      <c r="AR15" s="29" t="s">
        <v>588</v>
      </c>
      <c r="AS15" s="28" t="s">
        <v>588</v>
      </c>
      <c r="AT15" s="28" t="s">
        <v>588</v>
      </c>
      <c r="AU15" s="29" t="s">
        <v>588</v>
      </c>
      <c r="AV15" s="29" t="s">
        <v>588</v>
      </c>
      <c r="AW15" s="29" t="s">
        <v>588</v>
      </c>
      <c r="AX15" s="29" t="s">
        <v>588</v>
      </c>
      <c r="AY15" s="29" t="s">
        <v>588</v>
      </c>
      <c r="AZ15" s="29" t="s">
        <v>588</v>
      </c>
      <c r="BA15" s="29" t="s">
        <v>588</v>
      </c>
      <c r="BB15" s="29" t="s">
        <v>588</v>
      </c>
      <c r="BC15" s="29" t="s">
        <v>588</v>
      </c>
      <c r="BD15" s="29" t="s">
        <v>588</v>
      </c>
      <c r="BE15" s="29" t="s">
        <v>588</v>
      </c>
      <c r="BF15" s="29" t="s">
        <v>588</v>
      </c>
      <c r="BG15" s="29" t="s">
        <v>588</v>
      </c>
      <c r="BH15" s="29" t="s">
        <v>588</v>
      </c>
      <c r="BI15" s="29" t="s">
        <v>588</v>
      </c>
      <c r="BJ15" s="29" t="s">
        <v>588</v>
      </c>
      <c r="BK15" s="29" t="s">
        <v>588</v>
      </c>
      <c r="BL15" s="29" t="s">
        <v>588</v>
      </c>
      <c r="BM15" s="28" t="s">
        <v>588</v>
      </c>
      <c r="BN15" s="28" t="s">
        <v>588</v>
      </c>
      <c r="BO15" s="29" t="s">
        <v>588</v>
      </c>
      <c r="BP15" s="28" t="s">
        <v>588</v>
      </c>
      <c r="BQ15" s="29" t="s">
        <v>588</v>
      </c>
      <c r="BR15" s="29" t="s">
        <v>588</v>
      </c>
      <c r="BS15" s="28" t="s">
        <v>41</v>
      </c>
      <c r="BT15" s="28" t="s">
        <v>42</v>
      </c>
      <c r="BU15" s="29" t="s">
        <v>588</v>
      </c>
      <c r="BV15" s="29" t="s">
        <v>588</v>
      </c>
      <c r="BW15" s="29" t="s">
        <v>588</v>
      </c>
      <c r="BX15" s="29" t="s">
        <v>2122</v>
      </c>
    </row>
    <row r="16" spans="1:76" s="28" customFormat="1" x14ac:dyDescent="0.25">
      <c r="A16" s="28">
        <v>201112</v>
      </c>
      <c r="B16" s="38" t="s">
        <v>2193</v>
      </c>
      <c r="C16" s="11" t="s">
        <v>2226</v>
      </c>
      <c r="D16" s="33" t="s">
        <v>2194</v>
      </c>
      <c r="E16" s="33" t="s">
        <v>1844</v>
      </c>
      <c r="F16" s="28">
        <v>1</v>
      </c>
      <c r="G16" s="28" t="s">
        <v>2195</v>
      </c>
      <c r="H16" s="11" t="s">
        <v>2555</v>
      </c>
      <c r="I16" s="34" t="s">
        <v>71</v>
      </c>
      <c r="J16" s="34" t="s">
        <v>71</v>
      </c>
      <c r="K16" s="34" t="s">
        <v>71</v>
      </c>
      <c r="L16" s="34" t="s">
        <v>71</v>
      </c>
      <c r="M16" s="34" t="s">
        <v>71</v>
      </c>
      <c r="N16" s="34" t="s">
        <v>71</v>
      </c>
      <c r="O16" s="34" t="s">
        <v>71</v>
      </c>
      <c r="P16" s="32" t="s">
        <v>588</v>
      </c>
      <c r="Q16" s="32" t="s">
        <v>588</v>
      </c>
      <c r="R16" s="28" t="s">
        <v>588</v>
      </c>
      <c r="S16" s="28" t="s">
        <v>588</v>
      </c>
      <c r="T16" s="28">
        <v>0</v>
      </c>
      <c r="U16" s="28">
        <v>3</v>
      </c>
      <c r="V16" s="29" t="s">
        <v>588</v>
      </c>
      <c r="W16" s="28" t="s">
        <v>588</v>
      </c>
      <c r="X16" s="28">
        <v>0</v>
      </c>
      <c r="Y16" s="28">
        <v>0</v>
      </c>
      <c r="Z16" s="28" t="s">
        <v>8</v>
      </c>
      <c r="AA16" s="34" t="s">
        <v>71</v>
      </c>
      <c r="AB16" s="34" t="s">
        <v>71</v>
      </c>
      <c r="AC16" s="34" t="s">
        <v>71</v>
      </c>
      <c r="AD16" s="34" t="s">
        <v>71</v>
      </c>
      <c r="AE16" s="34" t="s">
        <v>71</v>
      </c>
      <c r="AF16" s="28" t="s">
        <v>588</v>
      </c>
      <c r="AG16" s="34" t="s">
        <v>71</v>
      </c>
      <c r="AH16" s="11" t="s">
        <v>588</v>
      </c>
      <c r="AI16" s="11" t="s">
        <v>588</v>
      </c>
      <c r="AJ16" s="11" t="s">
        <v>588</v>
      </c>
      <c r="AK16" s="13" t="s">
        <v>588</v>
      </c>
      <c r="AL16" s="28" t="s">
        <v>588</v>
      </c>
      <c r="AM16" s="29" t="s">
        <v>588</v>
      </c>
      <c r="AN16" s="29" t="s">
        <v>588</v>
      </c>
      <c r="AO16" s="29" t="s">
        <v>588</v>
      </c>
      <c r="AP16" s="29">
        <v>40901</v>
      </c>
      <c r="AQ16" s="29" t="s">
        <v>7</v>
      </c>
      <c r="AR16" s="28" t="s">
        <v>194</v>
      </c>
      <c r="AS16" s="28">
        <v>3</v>
      </c>
      <c r="AT16" s="28">
        <v>3</v>
      </c>
      <c r="AU16" s="29">
        <v>40901</v>
      </c>
      <c r="AV16" s="29">
        <v>40916</v>
      </c>
      <c r="AW16" s="29" t="s">
        <v>41</v>
      </c>
      <c r="AX16" s="29" t="s">
        <v>41</v>
      </c>
      <c r="AY16" s="29" t="s">
        <v>20</v>
      </c>
      <c r="AZ16" s="29" t="s">
        <v>588</v>
      </c>
      <c r="BA16" s="29" t="s">
        <v>588</v>
      </c>
      <c r="BB16" s="29" t="s">
        <v>588</v>
      </c>
      <c r="BC16" s="29" t="s">
        <v>588</v>
      </c>
      <c r="BD16" s="29" t="s">
        <v>588</v>
      </c>
      <c r="BE16" s="29" t="s">
        <v>588</v>
      </c>
      <c r="BF16" s="29" t="s">
        <v>588</v>
      </c>
      <c r="BG16" s="29" t="s">
        <v>588</v>
      </c>
      <c r="BH16" s="29" t="s">
        <v>588</v>
      </c>
      <c r="BI16" s="29" t="s">
        <v>588</v>
      </c>
      <c r="BJ16" s="29" t="s">
        <v>588</v>
      </c>
      <c r="BK16" s="29" t="s">
        <v>588</v>
      </c>
      <c r="BL16" s="29" t="s">
        <v>588</v>
      </c>
      <c r="BM16" s="28">
        <v>6</v>
      </c>
      <c r="BN16" s="28">
        <v>6</v>
      </c>
      <c r="BO16" s="29" t="s">
        <v>8</v>
      </c>
      <c r="BP16" s="28">
        <v>2</v>
      </c>
      <c r="BQ16" s="29">
        <v>40956</v>
      </c>
      <c r="BR16" s="29" t="s">
        <v>21</v>
      </c>
      <c r="BS16" s="28" t="s">
        <v>41</v>
      </c>
      <c r="BT16" s="28" t="s">
        <v>42</v>
      </c>
      <c r="BU16" s="28" t="s">
        <v>41</v>
      </c>
      <c r="BV16" s="28" t="s">
        <v>42</v>
      </c>
      <c r="BW16" s="29" t="s">
        <v>2196</v>
      </c>
      <c r="BX16" s="29" t="s">
        <v>588</v>
      </c>
    </row>
    <row r="17" spans="1:76" s="28" customFormat="1" x14ac:dyDescent="0.25">
      <c r="A17" s="28">
        <v>201112</v>
      </c>
      <c r="B17" s="38" t="s">
        <v>2221</v>
      </c>
      <c r="C17" s="11" t="s">
        <v>284</v>
      </c>
      <c r="D17" s="11" t="s">
        <v>2222</v>
      </c>
      <c r="E17" s="28" t="s">
        <v>2223</v>
      </c>
      <c r="F17" s="28">
        <v>1</v>
      </c>
      <c r="G17" s="28" t="s">
        <v>2224</v>
      </c>
      <c r="H17" s="11" t="s">
        <v>2556</v>
      </c>
      <c r="I17" s="13">
        <v>40881</v>
      </c>
      <c r="J17" s="11">
        <v>4</v>
      </c>
      <c r="K17" s="11">
        <v>12</v>
      </c>
      <c r="L17" s="11">
        <v>2011</v>
      </c>
      <c r="M17" s="11" t="s">
        <v>2232</v>
      </c>
      <c r="N17" s="28" t="s">
        <v>7</v>
      </c>
      <c r="O17" s="28" t="s">
        <v>10</v>
      </c>
      <c r="P17" s="32" t="s">
        <v>588</v>
      </c>
      <c r="Q17" s="32" t="s">
        <v>588</v>
      </c>
      <c r="R17" s="28" t="s">
        <v>588</v>
      </c>
      <c r="S17" s="28" t="s">
        <v>588</v>
      </c>
      <c r="T17" s="28">
        <v>1</v>
      </c>
      <c r="U17" s="28">
        <v>3</v>
      </c>
      <c r="V17" s="28" t="s">
        <v>588</v>
      </c>
      <c r="W17" s="28" t="s">
        <v>588</v>
      </c>
      <c r="X17" s="28">
        <v>2</v>
      </c>
      <c r="Y17" s="28">
        <v>2</v>
      </c>
      <c r="Z17" s="28" t="s">
        <v>8</v>
      </c>
      <c r="AA17" s="13">
        <v>40889</v>
      </c>
      <c r="AB17" s="11">
        <v>12</v>
      </c>
      <c r="AC17" s="11">
        <v>12</v>
      </c>
      <c r="AD17" s="11">
        <v>2011</v>
      </c>
      <c r="AE17" s="13" t="s">
        <v>2249</v>
      </c>
      <c r="AF17" s="28" t="s">
        <v>7</v>
      </c>
      <c r="AG17" s="29" t="s">
        <v>588</v>
      </c>
      <c r="AH17" s="11" t="s">
        <v>588</v>
      </c>
      <c r="AI17" s="11" t="s">
        <v>588</v>
      </c>
      <c r="AJ17" s="11" t="s">
        <v>588</v>
      </c>
      <c r="AK17" s="13" t="s">
        <v>588</v>
      </c>
      <c r="AL17" s="28" t="s">
        <v>588</v>
      </c>
      <c r="AM17" s="29" t="s">
        <v>588</v>
      </c>
      <c r="AN17" s="28" t="s">
        <v>588</v>
      </c>
      <c r="AO17" s="28" t="s">
        <v>588</v>
      </c>
      <c r="AP17" s="13">
        <v>40896</v>
      </c>
      <c r="AQ17" s="29" t="s">
        <v>7</v>
      </c>
      <c r="AR17" s="28" t="s">
        <v>195</v>
      </c>
      <c r="AS17" s="28">
        <v>1</v>
      </c>
      <c r="AT17" s="28">
        <v>3</v>
      </c>
      <c r="AU17" s="29" t="s">
        <v>588</v>
      </c>
      <c r="AV17" s="29" t="s">
        <v>588</v>
      </c>
      <c r="AW17" s="29" t="s">
        <v>588</v>
      </c>
      <c r="AX17" s="29" t="s">
        <v>588</v>
      </c>
      <c r="AY17" s="29" t="s">
        <v>588</v>
      </c>
      <c r="AZ17" s="29" t="s">
        <v>588</v>
      </c>
      <c r="BA17" s="29" t="s">
        <v>588</v>
      </c>
      <c r="BB17" s="29" t="s">
        <v>588</v>
      </c>
      <c r="BC17" s="29" t="s">
        <v>588</v>
      </c>
      <c r="BD17" s="29" t="s">
        <v>588</v>
      </c>
      <c r="BE17" s="29" t="s">
        <v>588</v>
      </c>
      <c r="BF17" s="29" t="s">
        <v>588</v>
      </c>
      <c r="BG17" s="29" t="s">
        <v>588</v>
      </c>
      <c r="BH17" s="29" t="s">
        <v>588</v>
      </c>
      <c r="BI17" s="29" t="s">
        <v>588</v>
      </c>
      <c r="BJ17" s="29" t="s">
        <v>588</v>
      </c>
      <c r="BK17" s="29" t="s">
        <v>588</v>
      </c>
      <c r="BL17" s="29" t="s">
        <v>588</v>
      </c>
      <c r="BM17" s="28">
        <v>7</v>
      </c>
      <c r="BN17" s="28">
        <v>7</v>
      </c>
      <c r="BO17" s="29" t="s">
        <v>8</v>
      </c>
      <c r="BP17" s="28">
        <v>1</v>
      </c>
      <c r="BQ17" s="13">
        <v>40940</v>
      </c>
      <c r="BR17" s="29" t="s">
        <v>21</v>
      </c>
      <c r="BS17" s="28" t="s">
        <v>41</v>
      </c>
      <c r="BT17" s="28" t="s">
        <v>42</v>
      </c>
      <c r="BU17" s="28" t="s">
        <v>41</v>
      </c>
      <c r="BV17" s="28" t="s">
        <v>42</v>
      </c>
      <c r="BW17" s="29" t="s">
        <v>2225</v>
      </c>
      <c r="BX17" s="29" t="s">
        <v>588</v>
      </c>
    </row>
    <row r="18" spans="1:76" s="28" customFormat="1" x14ac:dyDescent="0.25">
      <c r="A18" s="28">
        <v>201112</v>
      </c>
      <c r="B18" s="11" t="s">
        <v>2153</v>
      </c>
      <c r="C18" s="11" t="s">
        <v>400</v>
      </c>
      <c r="D18" s="38" t="s">
        <v>2154</v>
      </c>
      <c r="E18" s="28" t="s">
        <v>2155</v>
      </c>
      <c r="F18" s="28">
        <v>1</v>
      </c>
      <c r="G18" s="28" t="s">
        <v>2156</v>
      </c>
      <c r="H18" s="11" t="s">
        <v>2557</v>
      </c>
      <c r="I18" s="13">
        <v>40946</v>
      </c>
      <c r="J18" s="11">
        <v>7</v>
      </c>
      <c r="K18" s="11">
        <v>2</v>
      </c>
      <c r="L18" s="11">
        <v>2012</v>
      </c>
      <c r="M18" s="11" t="s">
        <v>2558</v>
      </c>
      <c r="N18" s="28" t="s">
        <v>21</v>
      </c>
      <c r="O18" s="28" t="s">
        <v>10</v>
      </c>
      <c r="P18" s="37" t="s">
        <v>588</v>
      </c>
      <c r="Q18" s="37" t="s">
        <v>588</v>
      </c>
      <c r="R18" s="33" t="s">
        <v>588</v>
      </c>
      <c r="S18" s="33" t="s">
        <v>588</v>
      </c>
      <c r="T18" s="28">
        <v>2</v>
      </c>
      <c r="U18" s="28">
        <v>2</v>
      </c>
      <c r="V18" s="29" t="s">
        <v>588</v>
      </c>
      <c r="W18" s="28" t="s">
        <v>588</v>
      </c>
      <c r="X18" s="28">
        <v>11</v>
      </c>
      <c r="Y18" s="28">
        <v>11</v>
      </c>
      <c r="Z18" s="28" t="s">
        <v>41</v>
      </c>
      <c r="AA18" s="13">
        <v>40971</v>
      </c>
      <c r="AB18" s="11">
        <v>3</v>
      </c>
      <c r="AC18" s="11">
        <v>3</v>
      </c>
      <c r="AD18" s="11">
        <v>2012</v>
      </c>
      <c r="AE18" s="13" t="s">
        <v>2559</v>
      </c>
      <c r="AF18" s="28" t="s">
        <v>22</v>
      </c>
      <c r="AG18" s="13">
        <v>40975</v>
      </c>
      <c r="AH18" s="11">
        <v>7</v>
      </c>
      <c r="AI18" s="11">
        <v>3</v>
      </c>
      <c r="AJ18" s="11">
        <v>2012</v>
      </c>
      <c r="AK18" s="13" t="s">
        <v>2237</v>
      </c>
      <c r="AL18" s="28" t="s">
        <v>22</v>
      </c>
      <c r="AM18" s="29" t="s">
        <v>11</v>
      </c>
      <c r="AN18" s="33" t="s">
        <v>8</v>
      </c>
      <c r="AO18" s="28" t="s">
        <v>588</v>
      </c>
      <c r="AP18" s="34" t="s">
        <v>588</v>
      </c>
      <c r="AQ18" s="29" t="s">
        <v>588</v>
      </c>
      <c r="AR18" s="33" t="s">
        <v>588</v>
      </c>
      <c r="AS18" s="28" t="s">
        <v>588</v>
      </c>
      <c r="AT18" s="28" t="s">
        <v>588</v>
      </c>
      <c r="AU18" s="34" t="s">
        <v>588</v>
      </c>
      <c r="AV18" s="34" t="s">
        <v>588</v>
      </c>
      <c r="AW18" s="29" t="s">
        <v>588</v>
      </c>
      <c r="AX18" s="29" t="s">
        <v>588</v>
      </c>
      <c r="AY18" s="29" t="s">
        <v>588</v>
      </c>
      <c r="AZ18" s="29" t="s">
        <v>588</v>
      </c>
      <c r="BA18" s="29" t="s">
        <v>588</v>
      </c>
      <c r="BB18" s="29" t="s">
        <v>588</v>
      </c>
      <c r="BC18" s="29" t="s">
        <v>588</v>
      </c>
      <c r="BD18" s="29" t="s">
        <v>588</v>
      </c>
      <c r="BE18" s="29" t="s">
        <v>588</v>
      </c>
      <c r="BF18" s="29" t="s">
        <v>588</v>
      </c>
      <c r="BG18" s="29" t="s">
        <v>588</v>
      </c>
      <c r="BH18" s="29" t="s">
        <v>588</v>
      </c>
      <c r="BI18" s="29" t="s">
        <v>588</v>
      </c>
      <c r="BJ18" s="29" t="s">
        <v>588</v>
      </c>
      <c r="BK18" s="29" t="s">
        <v>588</v>
      </c>
      <c r="BL18" s="29" t="s">
        <v>588</v>
      </c>
      <c r="BM18" s="28" t="s">
        <v>588</v>
      </c>
      <c r="BN18" s="28" t="s">
        <v>588</v>
      </c>
      <c r="BO18" s="29" t="s">
        <v>588</v>
      </c>
      <c r="BP18" s="28" t="s">
        <v>588</v>
      </c>
      <c r="BQ18" s="29" t="s">
        <v>588</v>
      </c>
      <c r="BR18" s="29" t="s">
        <v>588</v>
      </c>
      <c r="BS18" s="28" t="s">
        <v>41</v>
      </c>
      <c r="BT18" s="28" t="s">
        <v>42</v>
      </c>
      <c r="BU18" s="28" t="s">
        <v>588</v>
      </c>
      <c r="BV18" s="33" t="s">
        <v>588</v>
      </c>
      <c r="BW18" s="29" t="s">
        <v>588</v>
      </c>
      <c r="BX18" s="29" t="s">
        <v>588</v>
      </c>
    </row>
    <row r="19" spans="1:76" s="28" customFormat="1" x14ac:dyDescent="0.25">
      <c r="A19" s="28">
        <v>201112</v>
      </c>
      <c r="B19" s="28" t="s">
        <v>125</v>
      </c>
      <c r="C19" t="s">
        <v>1906</v>
      </c>
      <c r="D19" s="28" t="s">
        <v>2127</v>
      </c>
      <c r="E19" s="31" t="s">
        <v>1844</v>
      </c>
      <c r="F19" s="28">
        <v>1</v>
      </c>
      <c r="G19" s="28" t="s">
        <v>2128</v>
      </c>
      <c r="H19" s="11" t="s">
        <v>2716</v>
      </c>
      <c r="I19" s="29">
        <v>40809</v>
      </c>
      <c r="J19" s="11">
        <v>23</v>
      </c>
      <c r="K19" s="11">
        <v>9</v>
      </c>
      <c r="L19" s="11">
        <v>2011</v>
      </c>
      <c r="M19" s="11" t="s">
        <v>2560</v>
      </c>
      <c r="N19" s="28" t="s">
        <v>28</v>
      </c>
      <c r="O19" s="28" t="s">
        <v>10</v>
      </c>
      <c r="P19" s="35" t="s">
        <v>2129</v>
      </c>
      <c r="Q19" s="35" t="s">
        <v>2130</v>
      </c>
      <c r="R19" s="28" t="s">
        <v>588</v>
      </c>
      <c r="S19" s="28" t="s">
        <v>588</v>
      </c>
      <c r="T19" s="28">
        <v>3</v>
      </c>
      <c r="U19" s="28">
        <v>3</v>
      </c>
      <c r="V19" s="29">
        <v>40811</v>
      </c>
      <c r="W19" s="28" t="s">
        <v>223</v>
      </c>
      <c r="X19" s="28">
        <v>10</v>
      </c>
      <c r="Y19" s="28">
        <v>10</v>
      </c>
      <c r="Z19" s="28" t="s">
        <v>41</v>
      </c>
      <c r="AA19" s="29">
        <v>40835</v>
      </c>
      <c r="AB19" s="11">
        <v>19</v>
      </c>
      <c r="AC19" s="11">
        <v>10</v>
      </c>
      <c r="AD19" s="11">
        <v>2011</v>
      </c>
      <c r="AE19" s="13" t="s">
        <v>2561</v>
      </c>
      <c r="AF19" s="28" t="s">
        <v>29</v>
      </c>
      <c r="AG19" s="29">
        <v>40838</v>
      </c>
      <c r="AH19" s="11">
        <v>22</v>
      </c>
      <c r="AI19" s="11">
        <v>10</v>
      </c>
      <c r="AJ19" s="11">
        <v>2011</v>
      </c>
      <c r="AK19" s="13" t="s">
        <v>2238</v>
      </c>
      <c r="AL19" s="28" t="s">
        <v>29</v>
      </c>
      <c r="AM19" s="29" t="s">
        <v>41</v>
      </c>
      <c r="AN19" s="28" t="s">
        <v>41</v>
      </c>
      <c r="AO19" s="29" t="s">
        <v>20</v>
      </c>
      <c r="AP19" s="28" t="s">
        <v>588</v>
      </c>
      <c r="AQ19" s="29" t="s">
        <v>588</v>
      </c>
      <c r="AR19" s="28" t="s">
        <v>588</v>
      </c>
      <c r="AS19" s="28" t="s">
        <v>588</v>
      </c>
      <c r="AT19" s="28" t="s">
        <v>588</v>
      </c>
      <c r="AU19" s="29" t="s">
        <v>588</v>
      </c>
      <c r="AV19" s="28" t="s">
        <v>588</v>
      </c>
      <c r="AW19" s="29" t="s">
        <v>588</v>
      </c>
      <c r="AX19" s="28" t="s">
        <v>588</v>
      </c>
      <c r="AY19" s="29" t="s">
        <v>588</v>
      </c>
      <c r="AZ19" s="28" t="s">
        <v>588</v>
      </c>
      <c r="BA19" s="29" t="s">
        <v>588</v>
      </c>
      <c r="BB19" s="28" t="s">
        <v>588</v>
      </c>
      <c r="BC19" s="29" t="s">
        <v>588</v>
      </c>
      <c r="BD19" s="28" t="s">
        <v>588</v>
      </c>
      <c r="BE19" s="29" t="s">
        <v>588</v>
      </c>
      <c r="BF19" s="28" t="s">
        <v>588</v>
      </c>
      <c r="BG19" s="29" t="s">
        <v>588</v>
      </c>
      <c r="BH19" s="28" t="s">
        <v>588</v>
      </c>
      <c r="BI19" s="29" t="s">
        <v>588</v>
      </c>
      <c r="BJ19" s="28" t="s">
        <v>588</v>
      </c>
      <c r="BK19" s="29" t="s">
        <v>588</v>
      </c>
      <c r="BL19" s="28" t="s">
        <v>588</v>
      </c>
      <c r="BM19" s="28" t="s">
        <v>588</v>
      </c>
      <c r="BN19" s="28" t="s">
        <v>588</v>
      </c>
      <c r="BO19" s="29" t="s">
        <v>588</v>
      </c>
      <c r="BP19" s="28" t="s">
        <v>588</v>
      </c>
      <c r="BQ19" s="29" t="s">
        <v>588</v>
      </c>
      <c r="BR19" s="28" t="s">
        <v>588</v>
      </c>
      <c r="BS19" s="29" t="s">
        <v>8</v>
      </c>
      <c r="BT19" s="28" t="s">
        <v>9</v>
      </c>
      <c r="BU19" s="29" t="s">
        <v>588</v>
      </c>
      <c r="BV19" s="28" t="s">
        <v>588</v>
      </c>
      <c r="BW19" s="29" t="s">
        <v>2131</v>
      </c>
      <c r="BX19" s="28" t="s">
        <v>2122</v>
      </c>
    </row>
    <row r="20" spans="1:76" s="28" customFormat="1" x14ac:dyDescent="0.25">
      <c r="A20" s="28">
        <v>201112</v>
      </c>
      <c r="B20" s="28" t="s">
        <v>125</v>
      </c>
      <c r="C20" t="s">
        <v>1906</v>
      </c>
      <c r="D20" s="28" t="s">
        <v>2127</v>
      </c>
      <c r="E20" s="31" t="s">
        <v>1844</v>
      </c>
      <c r="F20" s="28">
        <v>2</v>
      </c>
      <c r="G20" s="28" t="s">
        <v>2132</v>
      </c>
      <c r="H20" s="11" t="s">
        <v>2717</v>
      </c>
      <c r="I20" s="29">
        <v>40856</v>
      </c>
      <c r="J20" s="11">
        <v>9</v>
      </c>
      <c r="K20" s="11">
        <v>11</v>
      </c>
      <c r="L20" s="11">
        <v>2011</v>
      </c>
      <c r="M20" s="11" t="s">
        <v>2562</v>
      </c>
      <c r="N20" s="28" t="s">
        <v>17</v>
      </c>
      <c r="O20" s="28" t="s">
        <v>10</v>
      </c>
      <c r="P20" s="32" t="s">
        <v>588</v>
      </c>
      <c r="Q20" s="32" t="s">
        <v>588</v>
      </c>
      <c r="R20" s="28" t="s">
        <v>588</v>
      </c>
      <c r="S20" s="28" t="s">
        <v>588</v>
      </c>
      <c r="T20" s="28">
        <v>3</v>
      </c>
      <c r="U20" s="28">
        <v>3</v>
      </c>
      <c r="V20" s="29" t="s">
        <v>588</v>
      </c>
      <c r="W20" s="28" t="s">
        <v>588</v>
      </c>
      <c r="X20" s="28">
        <v>3</v>
      </c>
      <c r="Y20" s="28">
        <v>3</v>
      </c>
      <c r="Z20" s="28" t="s">
        <v>41</v>
      </c>
      <c r="AA20" s="29">
        <v>40860</v>
      </c>
      <c r="AB20" s="11">
        <v>13</v>
      </c>
      <c r="AC20" s="11">
        <v>11</v>
      </c>
      <c r="AD20" s="11">
        <v>2011</v>
      </c>
      <c r="AE20" s="13" t="s">
        <v>2533</v>
      </c>
      <c r="AF20" s="28" t="s">
        <v>17</v>
      </c>
      <c r="AG20" s="29">
        <v>40864</v>
      </c>
      <c r="AH20" s="11">
        <v>17</v>
      </c>
      <c r="AI20" s="11">
        <v>11</v>
      </c>
      <c r="AJ20" s="11">
        <v>2011</v>
      </c>
      <c r="AK20" s="13" t="s">
        <v>2239</v>
      </c>
      <c r="AL20" s="28" t="s">
        <v>17</v>
      </c>
      <c r="AM20" s="29" t="s">
        <v>41</v>
      </c>
      <c r="AN20" s="28" t="s">
        <v>41</v>
      </c>
      <c r="AO20" s="29" t="s">
        <v>20</v>
      </c>
      <c r="AP20" s="29" t="s">
        <v>588</v>
      </c>
      <c r="AQ20" s="29" t="s">
        <v>588</v>
      </c>
      <c r="AR20" s="29" t="s">
        <v>588</v>
      </c>
      <c r="AS20" s="28" t="s">
        <v>588</v>
      </c>
      <c r="AT20" s="28" t="s">
        <v>588</v>
      </c>
      <c r="AU20" s="29" t="s">
        <v>588</v>
      </c>
      <c r="AV20" s="29" t="s">
        <v>588</v>
      </c>
      <c r="AW20" s="29" t="s">
        <v>588</v>
      </c>
      <c r="AX20" s="29" t="s">
        <v>588</v>
      </c>
      <c r="AY20" s="29" t="s">
        <v>588</v>
      </c>
      <c r="AZ20" s="29" t="s">
        <v>588</v>
      </c>
      <c r="BA20" s="29" t="s">
        <v>588</v>
      </c>
      <c r="BB20" s="29" t="s">
        <v>588</v>
      </c>
      <c r="BC20" s="29" t="s">
        <v>588</v>
      </c>
      <c r="BD20" s="29" t="s">
        <v>588</v>
      </c>
      <c r="BE20" s="29" t="s">
        <v>588</v>
      </c>
      <c r="BF20" s="29" t="s">
        <v>588</v>
      </c>
      <c r="BG20" s="29" t="s">
        <v>588</v>
      </c>
      <c r="BH20" s="29" t="s">
        <v>588</v>
      </c>
      <c r="BI20" s="29" t="s">
        <v>588</v>
      </c>
      <c r="BJ20" s="29" t="s">
        <v>588</v>
      </c>
      <c r="BK20" s="29" t="s">
        <v>588</v>
      </c>
      <c r="BL20" s="29" t="s">
        <v>588</v>
      </c>
      <c r="BM20" s="28" t="s">
        <v>588</v>
      </c>
      <c r="BN20" s="28" t="s">
        <v>588</v>
      </c>
      <c r="BO20" s="29" t="s">
        <v>588</v>
      </c>
      <c r="BP20" s="28" t="s">
        <v>588</v>
      </c>
      <c r="BQ20" s="29" t="s">
        <v>588</v>
      </c>
      <c r="BR20" s="29" t="s">
        <v>588</v>
      </c>
      <c r="BS20" s="29" t="s">
        <v>8</v>
      </c>
      <c r="BT20" s="28" t="s">
        <v>9</v>
      </c>
      <c r="BU20" s="29" t="s">
        <v>588</v>
      </c>
      <c r="BV20" s="29" t="s">
        <v>588</v>
      </c>
      <c r="BW20" s="29" t="s">
        <v>588</v>
      </c>
      <c r="BX20" s="29" t="s">
        <v>588</v>
      </c>
    </row>
    <row r="21" spans="1:76" s="28" customFormat="1" x14ac:dyDescent="0.25">
      <c r="A21" s="28">
        <v>201112</v>
      </c>
      <c r="B21" s="28" t="s">
        <v>125</v>
      </c>
      <c r="C21" t="s">
        <v>1906</v>
      </c>
      <c r="D21" s="28" t="s">
        <v>2127</v>
      </c>
      <c r="E21" s="31" t="s">
        <v>1844</v>
      </c>
      <c r="F21" s="28">
        <v>3</v>
      </c>
      <c r="G21" s="28" t="s">
        <v>2133</v>
      </c>
      <c r="I21" s="29">
        <v>40908</v>
      </c>
      <c r="J21" s="11">
        <v>31</v>
      </c>
      <c r="K21" s="11">
        <v>12</v>
      </c>
      <c r="L21" s="11">
        <v>2011</v>
      </c>
      <c r="M21" s="11" t="s">
        <v>2563</v>
      </c>
      <c r="N21" s="28" t="s">
        <v>7</v>
      </c>
      <c r="O21" s="28" t="s">
        <v>10</v>
      </c>
      <c r="P21" s="35" t="s">
        <v>2134</v>
      </c>
      <c r="Q21" s="35" t="s">
        <v>2135</v>
      </c>
      <c r="R21" s="28" t="s">
        <v>588</v>
      </c>
      <c r="S21" s="28" t="s">
        <v>588</v>
      </c>
      <c r="T21" s="28">
        <v>2</v>
      </c>
      <c r="U21" s="28">
        <v>2</v>
      </c>
      <c r="V21" s="29">
        <v>40910</v>
      </c>
      <c r="W21" s="28" t="s">
        <v>223</v>
      </c>
      <c r="X21" s="28">
        <v>3</v>
      </c>
      <c r="Y21" s="28">
        <v>3</v>
      </c>
      <c r="Z21" s="28" t="s">
        <v>8</v>
      </c>
      <c r="AA21" s="13">
        <v>40925</v>
      </c>
      <c r="AB21" s="11">
        <v>17</v>
      </c>
      <c r="AC21" s="11">
        <v>1</v>
      </c>
      <c r="AD21" s="11">
        <v>2012</v>
      </c>
      <c r="AE21" s="13" t="s">
        <v>2233</v>
      </c>
      <c r="AF21" s="28" t="s">
        <v>12</v>
      </c>
      <c r="AG21" s="34" t="s">
        <v>588</v>
      </c>
      <c r="AH21" s="11" t="s">
        <v>588</v>
      </c>
      <c r="AI21" s="11" t="s">
        <v>588</v>
      </c>
      <c r="AJ21" s="11" t="s">
        <v>588</v>
      </c>
      <c r="AK21" s="13" t="s">
        <v>588</v>
      </c>
      <c r="AL21" s="28" t="s">
        <v>588</v>
      </c>
      <c r="AM21" s="29" t="s">
        <v>588</v>
      </c>
      <c r="AN21" s="28" t="s">
        <v>588</v>
      </c>
      <c r="AO21" s="33" t="s">
        <v>588</v>
      </c>
      <c r="AP21" s="13">
        <v>40941</v>
      </c>
      <c r="AQ21" s="29" t="s">
        <v>21</v>
      </c>
      <c r="AR21" s="11" t="s">
        <v>195</v>
      </c>
      <c r="AS21" s="28">
        <v>2</v>
      </c>
      <c r="AT21" s="28">
        <v>2</v>
      </c>
      <c r="AU21" s="13">
        <v>40944</v>
      </c>
      <c r="AV21" s="13">
        <v>40946</v>
      </c>
      <c r="AW21" s="29" t="s">
        <v>21</v>
      </c>
      <c r="AX21" s="29" t="s">
        <v>41</v>
      </c>
      <c r="AY21" s="29" t="s">
        <v>41</v>
      </c>
      <c r="AZ21" s="29" t="s">
        <v>20</v>
      </c>
      <c r="BA21" s="13">
        <v>40947</v>
      </c>
      <c r="BB21" s="13">
        <v>40950</v>
      </c>
      <c r="BC21" s="29" t="s">
        <v>21</v>
      </c>
      <c r="BD21" s="29" t="s">
        <v>41</v>
      </c>
      <c r="BE21" s="29" t="s">
        <v>41</v>
      </c>
      <c r="BF21" s="29" t="s">
        <v>20</v>
      </c>
      <c r="BG21" s="29" t="s">
        <v>588</v>
      </c>
      <c r="BH21" s="29" t="s">
        <v>588</v>
      </c>
      <c r="BI21" s="29" t="s">
        <v>588</v>
      </c>
      <c r="BJ21" s="29" t="s">
        <v>588</v>
      </c>
      <c r="BK21" s="29" t="s">
        <v>588</v>
      </c>
      <c r="BL21" s="29" t="s">
        <v>588</v>
      </c>
      <c r="BM21" s="28">
        <v>9</v>
      </c>
      <c r="BN21" s="28">
        <v>9</v>
      </c>
      <c r="BO21" s="29" t="s">
        <v>41</v>
      </c>
      <c r="BP21" s="28" t="s">
        <v>588</v>
      </c>
      <c r="BQ21" s="29" t="s">
        <v>588</v>
      </c>
      <c r="BR21" s="29" t="s">
        <v>588</v>
      </c>
      <c r="BS21" s="29" t="s">
        <v>8</v>
      </c>
      <c r="BT21" s="28" t="s">
        <v>9</v>
      </c>
      <c r="BU21" s="29" t="s">
        <v>8</v>
      </c>
      <c r="BV21" s="28" t="s">
        <v>96</v>
      </c>
      <c r="BW21" s="29" t="s">
        <v>588</v>
      </c>
      <c r="BX21" s="29" t="s">
        <v>588</v>
      </c>
    </row>
    <row r="22" spans="1:76" s="28" customFormat="1" x14ac:dyDescent="0.25">
      <c r="A22" s="28">
        <v>201112</v>
      </c>
      <c r="B22" s="11" t="s">
        <v>2172</v>
      </c>
      <c r="C22" s="11" t="s">
        <v>402</v>
      </c>
      <c r="D22" s="31" t="s">
        <v>2173</v>
      </c>
      <c r="E22" s="31" t="s">
        <v>1844</v>
      </c>
      <c r="F22" s="28">
        <v>1</v>
      </c>
      <c r="G22" s="28" t="s">
        <v>2174</v>
      </c>
      <c r="H22" s="11" t="s">
        <v>2564</v>
      </c>
      <c r="I22" s="13">
        <v>40942</v>
      </c>
      <c r="J22" s="11">
        <v>3</v>
      </c>
      <c r="K22" s="11">
        <v>2</v>
      </c>
      <c r="L22" s="11">
        <v>2012</v>
      </c>
      <c r="M22" s="11" t="s">
        <v>2565</v>
      </c>
      <c r="N22" s="28" t="s">
        <v>21</v>
      </c>
      <c r="O22" s="28" t="s">
        <v>51</v>
      </c>
      <c r="P22" s="32" t="s">
        <v>588</v>
      </c>
      <c r="Q22" s="32" t="s">
        <v>588</v>
      </c>
      <c r="R22" s="28" t="s">
        <v>588</v>
      </c>
      <c r="S22" s="28" t="s">
        <v>588</v>
      </c>
      <c r="T22" s="28">
        <v>3</v>
      </c>
      <c r="U22" s="28">
        <v>3</v>
      </c>
      <c r="V22" s="29" t="s">
        <v>588</v>
      </c>
      <c r="W22" s="28" t="s">
        <v>588</v>
      </c>
      <c r="X22" s="28">
        <v>2</v>
      </c>
      <c r="Y22" s="28">
        <v>2</v>
      </c>
      <c r="Z22" s="28" t="s">
        <v>8</v>
      </c>
      <c r="AA22" s="13">
        <v>40945</v>
      </c>
      <c r="AB22" s="11">
        <v>6</v>
      </c>
      <c r="AC22" s="11">
        <v>2</v>
      </c>
      <c r="AD22" s="11">
        <v>2012</v>
      </c>
      <c r="AE22" s="13" t="s">
        <v>2235</v>
      </c>
      <c r="AF22" s="28" t="s">
        <v>21</v>
      </c>
      <c r="AG22" s="29" t="s">
        <v>588</v>
      </c>
      <c r="AH22" s="11" t="s">
        <v>588</v>
      </c>
      <c r="AI22" s="11" t="s">
        <v>588</v>
      </c>
      <c r="AJ22" s="11" t="s">
        <v>588</v>
      </c>
      <c r="AK22" s="13" t="s">
        <v>588</v>
      </c>
      <c r="AL22" s="28" t="s">
        <v>588</v>
      </c>
      <c r="AM22" s="29" t="s">
        <v>588</v>
      </c>
      <c r="AN22" s="29" t="s">
        <v>588</v>
      </c>
      <c r="AO22" s="29" t="s">
        <v>588</v>
      </c>
      <c r="AP22" s="13">
        <v>40953</v>
      </c>
      <c r="AQ22" s="29" t="s">
        <v>21</v>
      </c>
      <c r="AR22" s="11" t="s">
        <v>195</v>
      </c>
      <c r="AS22" s="28">
        <v>2</v>
      </c>
      <c r="AT22" s="28">
        <v>2</v>
      </c>
      <c r="AU22" s="13">
        <v>40954</v>
      </c>
      <c r="AV22" s="13">
        <v>40959</v>
      </c>
      <c r="AW22" s="29" t="s">
        <v>21</v>
      </c>
      <c r="AX22" s="29" t="s">
        <v>41</v>
      </c>
      <c r="AY22" s="29" t="s">
        <v>41</v>
      </c>
      <c r="AZ22" s="29" t="s">
        <v>20</v>
      </c>
      <c r="BA22" s="13">
        <v>40972</v>
      </c>
      <c r="BB22" s="13">
        <v>40973</v>
      </c>
      <c r="BC22" s="29" t="s">
        <v>2175</v>
      </c>
      <c r="BD22" s="29" t="s">
        <v>41</v>
      </c>
      <c r="BE22" s="29" t="s">
        <v>41</v>
      </c>
      <c r="BF22" s="29" t="s">
        <v>20</v>
      </c>
      <c r="BG22" s="29" t="s">
        <v>588</v>
      </c>
      <c r="BH22" s="29" t="s">
        <v>588</v>
      </c>
      <c r="BI22" s="29" t="s">
        <v>588</v>
      </c>
      <c r="BJ22" s="29" t="s">
        <v>588</v>
      </c>
      <c r="BK22" s="29" t="s">
        <v>588</v>
      </c>
      <c r="BL22" s="29" t="s">
        <v>588</v>
      </c>
      <c r="BM22" s="28">
        <v>8</v>
      </c>
      <c r="BN22" s="28">
        <v>7</v>
      </c>
      <c r="BO22" s="29" t="s">
        <v>41</v>
      </c>
      <c r="BP22" s="28" t="s">
        <v>588</v>
      </c>
      <c r="BQ22" s="29" t="s">
        <v>588</v>
      </c>
      <c r="BR22" s="29" t="s">
        <v>588</v>
      </c>
      <c r="BS22" s="29" t="s">
        <v>8</v>
      </c>
      <c r="BT22" s="11" t="s">
        <v>18</v>
      </c>
      <c r="BU22" s="29" t="s">
        <v>8</v>
      </c>
      <c r="BV22" s="11" t="s">
        <v>18</v>
      </c>
      <c r="BW22" s="29" t="s">
        <v>2176</v>
      </c>
      <c r="BX22" s="29" t="s">
        <v>2122</v>
      </c>
    </row>
    <row r="23" spans="1:76" s="28" customFormat="1" x14ac:dyDescent="0.25">
      <c r="A23" s="28">
        <v>201112</v>
      </c>
      <c r="B23" s="38" t="s">
        <v>2165</v>
      </c>
      <c r="C23" s="11" t="s">
        <v>301</v>
      </c>
      <c r="D23" s="11" t="s">
        <v>2166</v>
      </c>
      <c r="E23" s="31" t="s">
        <v>1844</v>
      </c>
      <c r="F23" s="28">
        <v>1</v>
      </c>
      <c r="G23" s="28" t="s">
        <v>2167</v>
      </c>
      <c r="H23" s="11" t="s">
        <v>2566</v>
      </c>
      <c r="I23" s="13">
        <v>40816</v>
      </c>
      <c r="J23" s="11">
        <v>30</v>
      </c>
      <c r="K23" s="11">
        <v>9</v>
      </c>
      <c r="L23" s="11">
        <v>2011</v>
      </c>
      <c r="M23" s="11" t="s">
        <v>2567</v>
      </c>
      <c r="N23" s="28" t="s">
        <v>28</v>
      </c>
      <c r="O23" s="28" t="s">
        <v>36</v>
      </c>
      <c r="P23" s="28" t="s">
        <v>588</v>
      </c>
      <c r="Q23" s="28" t="s">
        <v>588</v>
      </c>
      <c r="R23" s="28" t="s">
        <v>588</v>
      </c>
      <c r="S23" s="28" t="s">
        <v>588</v>
      </c>
      <c r="T23" s="28">
        <v>2</v>
      </c>
      <c r="U23" s="28">
        <v>3</v>
      </c>
      <c r="V23" s="28" t="s">
        <v>588</v>
      </c>
      <c r="W23" s="28" t="s">
        <v>588</v>
      </c>
      <c r="X23" s="28">
        <v>3</v>
      </c>
      <c r="Y23" s="28">
        <v>3</v>
      </c>
      <c r="Z23" s="28" t="s">
        <v>41</v>
      </c>
      <c r="AA23" s="13">
        <v>40819</v>
      </c>
      <c r="AB23" s="11">
        <v>3</v>
      </c>
      <c r="AC23" s="11">
        <v>10</v>
      </c>
      <c r="AD23" s="11">
        <v>2011</v>
      </c>
      <c r="AE23" s="13" t="s">
        <v>2568</v>
      </c>
      <c r="AF23" s="28" t="s">
        <v>29</v>
      </c>
      <c r="AG23" s="13">
        <v>40820</v>
      </c>
      <c r="AH23" s="11">
        <v>4</v>
      </c>
      <c r="AI23" s="11">
        <v>10</v>
      </c>
      <c r="AJ23" s="11">
        <v>2011</v>
      </c>
      <c r="AK23" s="13" t="s">
        <v>2240</v>
      </c>
      <c r="AL23" s="28" t="s">
        <v>29</v>
      </c>
      <c r="AM23" s="29" t="s">
        <v>41</v>
      </c>
      <c r="AN23" s="28" t="s">
        <v>8</v>
      </c>
      <c r="AO23" s="29" t="s">
        <v>32</v>
      </c>
      <c r="AP23" s="29" t="s">
        <v>588</v>
      </c>
      <c r="AQ23" s="29" t="s">
        <v>588</v>
      </c>
      <c r="AR23" s="28" t="s">
        <v>588</v>
      </c>
      <c r="AS23" s="28" t="s">
        <v>588</v>
      </c>
      <c r="AT23" s="28" t="s">
        <v>588</v>
      </c>
      <c r="AU23" s="29" t="s">
        <v>588</v>
      </c>
      <c r="AV23" s="28" t="s">
        <v>588</v>
      </c>
      <c r="AW23" s="29" t="s">
        <v>588</v>
      </c>
      <c r="AX23" s="28" t="s">
        <v>588</v>
      </c>
      <c r="AY23" s="29" t="s">
        <v>588</v>
      </c>
      <c r="AZ23" s="28" t="s">
        <v>588</v>
      </c>
      <c r="BA23" s="29" t="s">
        <v>588</v>
      </c>
      <c r="BB23" s="28" t="s">
        <v>588</v>
      </c>
      <c r="BC23" s="29" t="s">
        <v>588</v>
      </c>
      <c r="BD23" s="28" t="s">
        <v>588</v>
      </c>
      <c r="BE23" s="29" t="s">
        <v>588</v>
      </c>
      <c r="BF23" s="28" t="s">
        <v>588</v>
      </c>
      <c r="BG23" s="29" t="s">
        <v>588</v>
      </c>
      <c r="BH23" s="29" t="s">
        <v>588</v>
      </c>
      <c r="BI23" s="29" t="s">
        <v>588</v>
      </c>
      <c r="BJ23" s="29" t="s">
        <v>588</v>
      </c>
      <c r="BK23" s="29" t="s">
        <v>588</v>
      </c>
      <c r="BL23" s="29" t="s">
        <v>588</v>
      </c>
      <c r="BM23" s="28" t="s">
        <v>588</v>
      </c>
      <c r="BN23" s="28" t="s">
        <v>588</v>
      </c>
      <c r="BO23" s="29" t="s">
        <v>588</v>
      </c>
      <c r="BP23" s="28" t="s">
        <v>588</v>
      </c>
      <c r="BQ23" s="29" t="s">
        <v>588</v>
      </c>
      <c r="BR23" s="29" t="s">
        <v>588</v>
      </c>
      <c r="BS23" s="28" t="s">
        <v>41</v>
      </c>
      <c r="BT23" s="28" t="s">
        <v>42</v>
      </c>
      <c r="BU23" s="29" t="s">
        <v>588</v>
      </c>
      <c r="BV23" s="28" t="s">
        <v>588</v>
      </c>
      <c r="BW23" s="29" t="s">
        <v>588</v>
      </c>
      <c r="BX23" s="29" t="s">
        <v>588</v>
      </c>
    </row>
    <row r="24" spans="1:76" s="28" customFormat="1" x14ac:dyDescent="0.25">
      <c r="A24" s="28">
        <v>201112</v>
      </c>
      <c r="B24" s="38" t="s">
        <v>2165</v>
      </c>
      <c r="C24" s="11" t="s">
        <v>301</v>
      </c>
      <c r="D24" s="11" t="s">
        <v>2166</v>
      </c>
      <c r="E24" s="31" t="s">
        <v>1844</v>
      </c>
      <c r="F24" s="28">
        <v>2</v>
      </c>
      <c r="G24" s="28" t="s">
        <v>2168</v>
      </c>
      <c r="H24" s="11" t="s">
        <v>2569</v>
      </c>
      <c r="I24" s="13">
        <v>40864</v>
      </c>
      <c r="J24" s="11">
        <v>17</v>
      </c>
      <c r="K24" s="11">
        <v>11</v>
      </c>
      <c r="L24" s="11">
        <v>2011</v>
      </c>
      <c r="M24" s="11" t="s">
        <v>2239</v>
      </c>
      <c r="N24" s="28" t="s">
        <v>17</v>
      </c>
      <c r="O24" s="28" t="s">
        <v>51</v>
      </c>
      <c r="P24" s="32" t="s">
        <v>588</v>
      </c>
      <c r="Q24" s="32" t="s">
        <v>588</v>
      </c>
      <c r="R24" s="28" t="s">
        <v>588</v>
      </c>
      <c r="S24" s="28" t="s">
        <v>588</v>
      </c>
      <c r="T24" s="28">
        <v>1</v>
      </c>
      <c r="U24" s="28">
        <v>3</v>
      </c>
      <c r="V24" s="28" t="s">
        <v>588</v>
      </c>
      <c r="W24" s="28" t="s">
        <v>588</v>
      </c>
      <c r="X24" s="28">
        <v>2</v>
      </c>
      <c r="Y24" s="28">
        <v>2</v>
      </c>
      <c r="Z24" s="28" t="s">
        <v>41</v>
      </c>
      <c r="AA24" s="13">
        <v>40864</v>
      </c>
      <c r="AB24" s="11">
        <v>17</v>
      </c>
      <c r="AC24" s="11">
        <v>11</v>
      </c>
      <c r="AD24" s="11">
        <v>2011</v>
      </c>
      <c r="AE24" s="13" t="s">
        <v>2239</v>
      </c>
      <c r="AF24" s="28" t="s">
        <v>17</v>
      </c>
      <c r="AG24" s="13">
        <v>40870</v>
      </c>
      <c r="AH24" s="11">
        <v>23</v>
      </c>
      <c r="AI24" s="11">
        <v>11</v>
      </c>
      <c r="AJ24" s="11">
        <v>2011</v>
      </c>
      <c r="AK24" s="13" t="s">
        <v>2241</v>
      </c>
      <c r="AL24" s="28" t="s">
        <v>17</v>
      </c>
      <c r="AM24" s="29" t="s">
        <v>41</v>
      </c>
      <c r="AN24" s="28" t="s">
        <v>8</v>
      </c>
      <c r="AO24" s="29" t="s">
        <v>32</v>
      </c>
      <c r="AP24" s="28" t="s">
        <v>588</v>
      </c>
      <c r="AQ24" s="29" t="s">
        <v>588</v>
      </c>
      <c r="AR24" s="28" t="s">
        <v>588</v>
      </c>
      <c r="AS24" s="28" t="s">
        <v>588</v>
      </c>
      <c r="AT24" s="28" t="s">
        <v>588</v>
      </c>
      <c r="AU24" s="29" t="s">
        <v>588</v>
      </c>
      <c r="AV24" s="28" t="s">
        <v>588</v>
      </c>
      <c r="AW24" s="29" t="s">
        <v>588</v>
      </c>
      <c r="AX24" s="28" t="s">
        <v>588</v>
      </c>
      <c r="AY24" s="29" t="s">
        <v>588</v>
      </c>
      <c r="AZ24" s="28" t="s">
        <v>588</v>
      </c>
      <c r="BA24" s="29" t="s">
        <v>588</v>
      </c>
      <c r="BB24" s="28" t="s">
        <v>588</v>
      </c>
      <c r="BC24" s="29" t="s">
        <v>588</v>
      </c>
      <c r="BD24" s="28" t="s">
        <v>588</v>
      </c>
      <c r="BE24" s="29" t="s">
        <v>588</v>
      </c>
      <c r="BF24" s="28" t="s">
        <v>588</v>
      </c>
      <c r="BG24" s="29" t="s">
        <v>588</v>
      </c>
      <c r="BH24" s="29" t="s">
        <v>588</v>
      </c>
      <c r="BI24" s="29" t="s">
        <v>588</v>
      </c>
      <c r="BJ24" s="29" t="s">
        <v>588</v>
      </c>
      <c r="BK24" s="29" t="s">
        <v>588</v>
      </c>
      <c r="BL24" s="29" t="s">
        <v>588</v>
      </c>
      <c r="BM24" s="28" t="s">
        <v>588</v>
      </c>
      <c r="BN24" s="28" t="s">
        <v>588</v>
      </c>
      <c r="BO24" s="29" t="s">
        <v>588</v>
      </c>
      <c r="BP24" s="28" t="s">
        <v>588</v>
      </c>
      <c r="BQ24" s="29" t="s">
        <v>588</v>
      </c>
      <c r="BR24" s="29" t="s">
        <v>588</v>
      </c>
      <c r="BS24" s="28" t="s">
        <v>41</v>
      </c>
      <c r="BT24" s="28" t="s">
        <v>42</v>
      </c>
      <c r="BU24" s="29" t="s">
        <v>588</v>
      </c>
      <c r="BV24" s="29" t="s">
        <v>588</v>
      </c>
      <c r="BW24" s="29" t="s">
        <v>588</v>
      </c>
      <c r="BX24" s="29" t="s">
        <v>588</v>
      </c>
    </row>
    <row r="25" spans="1:76" s="28" customFormat="1" x14ac:dyDescent="0.25">
      <c r="A25" s="28">
        <v>201112</v>
      </c>
      <c r="B25" s="38" t="s">
        <v>2165</v>
      </c>
      <c r="C25" s="11" t="s">
        <v>301</v>
      </c>
      <c r="D25" s="11" t="s">
        <v>2166</v>
      </c>
      <c r="E25" s="31" t="s">
        <v>1844</v>
      </c>
      <c r="F25" s="28">
        <v>3</v>
      </c>
      <c r="G25" s="28" t="s">
        <v>2169</v>
      </c>
      <c r="H25" s="11" t="s">
        <v>2570</v>
      </c>
      <c r="I25" s="13">
        <v>40904</v>
      </c>
      <c r="J25" s="11">
        <v>27</v>
      </c>
      <c r="K25" s="11">
        <v>12</v>
      </c>
      <c r="L25" s="11">
        <v>2011</v>
      </c>
      <c r="M25" s="11" t="s">
        <v>2571</v>
      </c>
      <c r="N25" s="28" t="s">
        <v>7</v>
      </c>
      <c r="O25" s="28" t="s">
        <v>36</v>
      </c>
      <c r="P25" s="32" t="s">
        <v>588</v>
      </c>
      <c r="Q25" s="32" t="s">
        <v>588</v>
      </c>
      <c r="R25" s="28" t="s">
        <v>588</v>
      </c>
      <c r="S25" s="28" t="s">
        <v>588</v>
      </c>
      <c r="T25" s="28">
        <v>2</v>
      </c>
      <c r="U25" s="28">
        <v>3</v>
      </c>
      <c r="V25" s="29">
        <v>40908</v>
      </c>
      <c r="W25" s="28" t="s">
        <v>223</v>
      </c>
      <c r="X25" s="28">
        <v>6</v>
      </c>
      <c r="Y25" s="28">
        <v>6</v>
      </c>
      <c r="Z25" s="28" t="s">
        <v>2119</v>
      </c>
      <c r="AA25" s="13">
        <v>40933</v>
      </c>
      <c r="AB25" s="11">
        <v>25</v>
      </c>
      <c r="AC25" s="11">
        <v>1</v>
      </c>
      <c r="AD25" s="11">
        <v>2012</v>
      </c>
      <c r="AE25" s="13" t="s">
        <v>2572</v>
      </c>
      <c r="AF25" s="28" t="s">
        <v>12</v>
      </c>
      <c r="AG25" s="13" t="s">
        <v>588</v>
      </c>
      <c r="AH25" s="11" t="s">
        <v>588</v>
      </c>
      <c r="AI25" s="11" t="s">
        <v>588</v>
      </c>
      <c r="AJ25" s="11" t="s">
        <v>588</v>
      </c>
      <c r="AK25" s="13" t="s">
        <v>588</v>
      </c>
      <c r="AL25" s="28" t="s">
        <v>588</v>
      </c>
      <c r="AM25" s="29" t="s">
        <v>588</v>
      </c>
      <c r="AN25" s="29" t="s">
        <v>588</v>
      </c>
      <c r="AO25" s="29" t="s">
        <v>588</v>
      </c>
      <c r="AP25" s="13">
        <v>40936</v>
      </c>
      <c r="AQ25" s="28" t="s">
        <v>12</v>
      </c>
      <c r="AR25" s="29" t="s">
        <v>2120</v>
      </c>
      <c r="AS25" s="28" t="s">
        <v>588</v>
      </c>
      <c r="AT25" s="28" t="s">
        <v>588</v>
      </c>
      <c r="AU25" s="13" t="s">
        <v>588</v>
      </c>
      <c r="AV25" s="13">
        <v>40936</v>
      </c>
      <c r="AW25" s="29" t="s">
        <v>12</v>
      </c>
      <c r="AX25" s="29" t="s">
        <v>588</v>
      </c>
      <c r="AY25" s="29" t="s">
        <v>588</v>
      </c>
      <c r="AZ25" s="29" t="s">
        <v>588</v>
      </c>
      <c r="BA25" s="29" t="s">
        <v>588</v>
      </c>
      <c r="BB25" s="13">
        <v>40936</v>
      </c>
      <c r="BC25" s="29" t="s">
        <v>12</v>
      </c>
      <c r="BD25" s="29" t="s">
        <v>588</v>
      </c>
      <c r="BE25" s="29" t="s">
        <v>588</v>
      </c>
      <c r="BF25" s="29" t="s">
        <v>588</v>
      </c>
      <c r="BG25" s="29" t="s">
        <v>588</v>
      </c>
      <c r="BH25" s="29" t="s">
        <v>588</v>
      </c>
      <c r="BI25" s="29" t="s">
        <v>588</v>
      </c>
      <c r="BJ25" s="29" t="s">
        <v>588</v>
      </c>
      <c r="BK25" s="29" t="s">
        <v>588</v>
      </c>
      <c r="BL25" s="29" t="s">
        <v>588</v>
      </c>
      <c r="BM25" s="28">
        <v>1</v>
      </c>
      <c r="BN25" s="28">
        <v>1</v>
      </c>
      <c r="BO25" s="29" t="s">
        <v>41</v>
      </c>
      <c r="BP25" s="28" t="s">
        <v>588</v>
      </c>
      <c r="BQ25" s="29" t="s">
        <v>588</v>
      </c>
      <c r="BR25" s="29" t="s">
        <v>588</v>
      </c>
      <c r="BS25" s="29" t="s">
        <v>8</v>
      </c>
      <c r="BT25" s="11" t="s">
        <v>9</v>
      </c>
      <c r="BU25" s="29" t="s">
        <v>588</v>
      </c>
      <c r="BV25" s="31" t="s">
        <v>588</v>
      </c>
      <c r="BW25" s="29" t="s">
        <v>588</v>
      </c>
      <c r="BX25" s="29" t="s">
        <v>588</v>
      </c>
    </row>
    <row r="26" spans="1:76" s="28" customFormat="1" x14ac:dyDescent="0.25">
      <c r="A26" s="28">
        <v>201112</v>
      </c>
      <c r="B26" s="38" t="s">
        <v>2165</v>
      </c>
      <c r="C26" s="11" t="s">
        <v>301</v>
      </c>
      <c r="D26" s="11" t="s">
        <v>2166</v>
      </c>
      <c r="E26" s="31" t="s">
        <v>1844</v>
      </c>
      <c r="F26" s="28">
        <v>4</v>
      </c>
      <c r="G26" s="28" t="s">
        <v>2170</v>
      </c>
      <c r="H26" s="11" t="s">
        <v>2573</v>
      </c>
      <c r="I26" s="13">
        <v>40959</v>
      </c>
      <c r="J26" s="11">
        <v>20</v>
      </c>
      <c r="K26" s="11">
        <v>2</v>
      </c>
      <c r="L26" s="11">
        <v>2012</v>
      </c>
      <c r="M26" s="11" t="s">
        <v>2574</v>
      </c>
      <c r="N26" s="28" t="s">
        <v>21</v>
      </c>
      <c r="O26" s="28" t="s">
        <v>51</v>
      </c>
      <c r="P26" s="32" t="s">
        <v>588</v>
      </c>
      <c r="Q26" s="32" t="s">
        <v>588</v>
      </c>
      <c r="R26" s="28" t="s">
        <v>588</v>
      </c>
      <c r="S26" s="28" t="s">
        <v>588</v>
      </c>
      <c r="T26" s="28">
        <v>2</v>
      </c>
      <c r="U26" s="28">
        <v>3</v>
      </c>
      <c r="V26" s="28" t="s">
        <v>588</v>
      </c>
      <c r="W26" s="28" t="s">
        <v>588</v>
      </c>
      <c r="X26" s="28">
        <v>5</v>
      </c>
      <c r="Y26" s="28">
        <v>5</v>
      </c>
      <c r="Z26" s="28" t="s">
        <v>41</v>
      </c>
      <c r="AA26" s="13">
        <v>40975</v>
      </c>
      <c r="AB26" s="11">
        <v>7</v>
      </c>
      <c r="AC26" s="11">
        <v>3</v>
      </c>
      <c r="AD26" s="11">
        <v>2012</v>
      </c>
      <c r="AE26" s="13" t="s">
        <v>2237</v>
      </c>
      <c r="AF26" s="28" t="s">
        <v>22</v>
      </c>
      <c r="AG26" s="13">
        <v>40981</v>
      </c>
      <c r="AH26" s="11">
        <v>13</v>
      </c>
      <c r="AI26" s="11">
        <v>3</v>
      </c>
      <c r="AJ26" s="11">
        <v>2012</v>
      </c>
      <c r="AK26" s="13" t="s">
        <v>2242</v>
      </c>
      <c r="AL26" s="28" t="s">
        <v>22</v>
      </c>
      <c r="AM26" s="29" t="s">
        <v>41</v>
      </c>
      <c r="AN26" s="29" t="s">
        <v>41</v>
      </c>
      <c r="AO26" s="29" t="s">
        <v>2171</v>
      </c>
      <c r="AP26" s="29" t="s">
        <v>588</v>
      </c>
      <c r="AQ26" s="29" t="s">
        <v>588</v>
      </c>
      <c r="AR26" s="28" t="s">
        <v>588</v>
      </c>
      <c r="AS26" s="28" t="s">
        <v>588</v>
      </c>
      <c r="AT26" s="28" t="s">
        <v>588</v>
      </c>
      <c r="AU26" s="29" t="s">
        <v>588</v>
      </c>
      <c r="AV26" s="29" t="s">
        <v>588</v>
      </c>
      <c r="AW26" s="29" t="s">
        <v>588</v>
      </c>
      <c r="AX26" s="29" t="s">
        <v>588</v>
      </c>
      <c r="AY26" s="29" t="s">
        <v>588</v>
      </c>
      <c r="AZ26" s="29" t="s">
        <v>588</v>
      </c>
      <c r="BA26" s="29" t="s">
        <v>588</v>
      </c>
      <c r="BB26" s="29" t="s">
        <v>588</v>
      </c>
      <c r="BC26" s="29" t="s">
        <v>588</v>
      </c>
      <c r="BD26" s="29" t="s">
        <v>588</v>
      </c>
      <c r="BE26" s="29" t="s">
        <v>588</v>
      </c>
      <c r="BF26" s="29" t="s">
        <v>588</v>
      </c>
      <c r="BG26" s="29" t="s">
        <v>588</v>
      </c>
      <c r="BH26" s="29" t="s">
        <v>588</v>
      </c>
      <c r="BI26" s="29" t="s">
        <v>588</v>
      </c>
      <c r="BJ26" s="29" t="s">
        <v>588</v>
      </c>
      <c r="BK26" s="29" t="s">
        <v>588</v>
      </c>
      <c r="BL26" s="29" t="s">
        <v>588</v>
      </c>
      <c r="BM26" s="28" t="s">
        <v>588</v>
      </c>
      <c r="BN26" s="28" t="s">
        <v>588</v>
      </c>
      <c r="BO26" s="29" t="s">
        <v>588</v>
      </c>
      <c r="BP26" s="28" t="s">
        <v>588</v>
      </c>
      <c r="BQ26" s="29" t="s">
        <v>588</v>
      </c>
      <c r="BR26" s="29" t="s">
        <v>588</v>
      </c>
      <c r="BS26" s="29" t="s">
        <v>8</v>
      </c>
      <c r="BT26" s="11" t="s">
        <v>18</v>
      </c>
      <c r="BU26" s="28" t="s">
        <v>588</v>
      </c>
      <c r="BV26" s="28" t="s">
        <v>588</v>
      </c>
      <c r="BW26" s="29" t="s">
        <v>588</v>
      </c>
      <c r="BX26" s="29" t="s">
        <v>2122</v>
      </c>
    </row>
    <row r="27" spans="1:76" s="28" customFormat="1" x14ac:dyDescent="0.25">
      <c r="A27" s="28">
        <v>201112</v>
      </c>
      <c r="B27" s="11" t="s">
        <v>2216</v>
      </c>
      <c r="C27" s="11" t="s">
        <v>561</v>
      </c>
      <c r="D27" s="11" t="s">
        <v>2212</v>
      </c>
      <c r="E27" s="31" t="s">
        <v>1844</v>
      </c>
      <c r="F27" s="11">
        <v>2</v>
      </c>
      <c r="G27" s="28" t="s">
        <v>2217</v>
      </c>
      <c r="H27" s="11" t="s">
        <v>2575</v>
      </c>
      <c r="I27" s="13">
        <v>40878</v>
      </c>
      <c r="J27" s="11">
        <v>1</v>
      </c>
      <c r="K27" s="11">
        <v>12</v>
      </c>
      <c r="L27" s="11">
        <v>2011</v>
      </c>
      <c r="M27" s="11" t="s">
        <v>2229</v>
      </c>
      <c r="N27" s="11" t="s">
        <v>7</v>
      </c>
      <c r="O27" s="28" t="s">
        <v>10</v>
      </c>
      <c r="P27" s="39">
        <v>-38.584290000000003</v>
      </c>
      <c r="Q27" s="11">
        <v>145.51248000000001</v>
      </c>
      <c r="R27" s="11" t="s">
        <v>588</v>
      </c>
      <c r="S27" s="11" t="s">
        <v>588</v>
      </c>
      <c r="T27" s="11">
        <v>3</v>
      </c>
      <c r="U27" s="11">
        <v>3</v>
      </c>
      <c r="V27" s="11" t="s">
        <v>588</v>
      </c>
      <c r="W27" s="11" t="s">
        <v>588</v>
      </c>
      <c r="X27" s="11">
        <v>8</v>
      </c>
      <c r="Y27" s="11">
        <v>8</v>
      </c>
      <c r="Z27" s="11" t="s">
        <v>2119</v>
      </c>
      <c r="AA27" s="13">
        <v>40917</v>
      </c>
      <c r="AB27" s="11">
        <v>9</v>
      </c>
      <c r="AC27" s="11">
        <v>1</v>
      </c>
      <c r="AD27" s="11">
        <v>2012</v>
      </c>
      <c r="AE27" s="13" t="s">
        <v>2576</v>
      </c>
      <c r="AF27" s="11" t="s">
        <v>12</v>
      </c>
      <c r="AG27" s="13">
        <v>40924</v>
      </c>
      <c r="AH27" s="11">
        <v>16</v>
      </c>
      <c r="AI27" s="11">
        <v>1</v>
      </c>
      <c r="AJ27" s="11">
        <v>2012</v>
      </c>
      <c r="AK27" s="13" t="s">
        <v>2243</v>
      </c>
      <c r="AL27" s="11" t="s">
        <v>12</v>
      </c>
      <c r="AM27" s="11" t="s">
        <v>588</v>
      </c>
      <c r="AN27" s="11" t="s">
        <v>588</v>
      </c>
      <c r="AO27" s="11" t="s">
        <v>588</v>
      </c>
      <c r="AP27" s="11" t="s">
        <v>2218</v>
      </c>
      <c r="AQ27" s="11" t="s">
        <v>2120</v>
      </c>
      <c r="AR27" s="11" t="s">
        <v>588</v>
      </c>
      <c r="AS27" s="11" t="s">
        <v>588</v>
      </c>
      <c r="AT27" s="11" t="s">
        <v>588</v>
      </c>
      <c r="AU27" s="11" t="s">
        <v>588</v>
      </c>
      <c r="AV27" s="11" t="s">
        <v>588</v>
      </c>
      <c r="AW27" s="11" t="s">
        <v>588</v>
      </c>
      <c r="AX27" s="11" t="s">
        <v>588</v>
      </c>
      <c r="AY27" s="11" t="s">
        <v>588</v>
      </c>
      <c r="AZ27" s="11" t="s">
        <v>588</v>
      </c>
      <c r="BA27" s="11" t="s">
        <v>588</v>
      </c>
      <c r="BB27" s="11" t="s">
        <v>588</v>
      </c>
      <c r="BC27" s="11" t="s">
        <v>588</v>
      </c>
      <c r="BD27" s="11" t="s">
        <v>588</v>
      </c>
      <c r="BE27" s="11" t="s">
        <v>588</v>
      </c>
      <c r="BF27" s="11" t="s">
        <v>588</v>
      </c>
      <c r="BG27" s="11" t="s">
        <v>588</v>
      </c>
      <c r="BH27" s="11" t="s">
        <v>588</v>
      </c>
      <c r="BI27" s="11" t="s">
        <v>588</v>
      </c>
      <c r="BJ27" s="11" t="s">
        <v>588</v>
      </c>
      <c r="BK27" s="11" t="s">
        <v>588</v>
      </c>
      <c r="BL27" s="11" t="s">
        <v>588</v>
      </c>
      <c r="BM27" s="11" t="s">
        <v>588</v>
      </c>
      <c r="BN27" s="11" t="s">
        <v>588</v>
      </c>
      <c r="BO27" s="11" t="s">
        <v>588</v>
      </c>
      <c r="BP27" s="11" t="s">
        <v>588</v>
      </c>
      <c r="BQ27" s="11" t="s">
        <v>588</v>
      </c>
      <c r="BR27" s="11" t="s">
        <v>588</v>
      </c>
      <c r="BS27" s="28" t="s">
        <v>8</v>
      </c>
      <c r="BT27" s="11" t="s">
        <v>96</v>
      </c>
      <c r="BU27" s="28" t="s">
        <v>8</v>
      </c>
      <c r="BV27" s="11" t="s">
        <v>96</v>
      </c>
      <c r="BW27" s="11" t="s">
        <v>2219</v>
      </c>
      <c r="BX27" s="11" t="s">
        <v>2122</v>
      </c>
    </row>
    <row r="28" spans="1:76" s="28" customFormat="1" x14ac:dyDescent="0.25">
      <c r="A28" s="28">
        <v>201112</v>
      </c>
      <c r="B28" s="11" t="s">
        <v>2216</v>
      </c>
      <c r="C28" s="11" t="s">
        <v>561</v>
      </c>
      <c r="D28" s="11" t="s">
        <v>2212</v>
      </c>
      <c r="E28" s="31" t="s">
        <v>1844</v>
      </c>
      <c r="F28" s="11">
        <v>3</v>
      </c>
      <c r="G28" s="28" t="s">
        <v>2220</v>
      </c>
      <c r="H28" s="11" t="s">
        <v>2577</v>
      </c>
      <c r="I28" s="13">
        <v>40940</v>
      </c>
      <c r="J28" s="11">
        <v>1</v>
      </c>
      <c r="K28" s="11">
        <v>2</v>
      </c>
      <c r="L28" s="11">
        <v>2012</v>
      </c>
      <c r="M28" s="11" t="s">
        <v>2578</v>
      </c>
      <c r="N28" s="11" t="s">
        <v>21</v>
      </c>
      <c r="O28" s="28" t="s">
        <v>10</v>
      </c>
      <c r="P28" s="11">
        <v>-38.590679999999999</v>
      </c>
      <c r="Q28" s="11">
        <v>145.51544000000001</v>
      </c>
      <c r="R28" s="11" t="s">
        <v>588</v>
      </c>
      <c r="S28" s="11" t="s">
        <v>588</v>
      </c>
      <c r="T28" s="11">
        <v>2</v>
      </c>
      <c r="U28" s="11">
        <v>2</v>
      </c>
      <c r="V28" s="11" t="s">
        <v>588</v>
      </c>
      <c r="W28" s="11" t="s">
        <v>588</v>
      </c>
      <c r="X28" s="11">
        <v>5</v>
      </c>
      <c r="Y28" s="11">
        <v>5</v>
      </c>
      <c r="Z28" s="28" t="s">
        <v>41</v>
      </c>
      <c r="AA28" s="13">
        <v>40959</v>
      </c>
      <c r="AB28" s="11">
        <v>20</v>
      </c>
      <c r="AC28" s="11">
        <v>2</v>
      </c>
      <c r="AD28" s="11">
        <v>2012</v>
      </c>
      <c r="AE28" s="13" t="s">
        <v>2574</v>
      </c>
      <c r="AF28" s="11" t="s">
        <v>21</v>
      </c>
      <c r="AG28" s="13">
        <v>40966</v>
      </c>
      <c r="AH28" s="11">
        <v>27</v>
      </c>
      <c r="AI28" s="11">
        <v>2</v>
      </c>
      <c r="AJ28" s="11">
        <v>2012</v>
      </c>
      <c r="AK28" s="13" t="s">
        <v>2244</v>
      </c>
      <c r="AL28" s="11" t="s">
        <v>21</v>
      </c>
      <c r="AM28" s="11" t="s">
        <v>41</v>
      </c>
      <c r="AN28" s="11" t="s">
        <v>8</v>
      </c>
      <c r="AO28" s="11" t="s">
        <v>11</v>
      </c>
      <c r="AP28" s="11" t="s">
        <v>588</v>
      </c>
      <c r="AQ28" s="11" t="s">
        <v>588</v>
      </c>
      <c r="AR28" s="11" t="s">
        <v>588</v>
      </c>
      <c r="AS28" s="11" t="s">
        <v>588</v>
      </c>
      <c r="AT28" s="11" t="s">
        <v>588</v>
      </c>
      <c r="AU28" s="11" t="s">
        <v>588</v>
      </c>
      <c r="AV28" s="11" t="s">
        <v>588</v>
      </c>
      <c r="AW28" s="11" t="s">
        <v>588</v>
      </c>
      <c r="AX28" s="11" t="s">
        <v>588</v>
      </c>
      <c r="AY28" s="11" t="s">
        <v>588</v>
      </c>
      <c r="AZ28" s="11" t="s">
        <v>588</v>
      </c>
      <c r="BA28" s="11" t="s">
        <v>588</v>
      </c>
      <c r="BB28" s="11" t="s">
        <v>588</v>
      </c>
      <c r="BC28" s="11" t="s">
        <v>588</v>
      </c>
      <c r="BD28" s="11" t="s">
        <v>588</v>
      </c>
      <c r="BE28" s="11" t="s">
        <v>588</v>
      </c>
      <c r="BF28" s="11" t="s">
        <v>588</v>
      </c>
      <c r="BG28" s="11" t="s">
        <v>588</v>
      </c>
      <c r="BH28" s="11" t="s">
        <v>588</v>
      </c>
      <c r="BI28" s="11" t="s">
        <v>588</v>
      </c>
      <c r="BJ28" s="11" t="s">
        <v>588</v>
      </c>
      <c r="BK28" s="11" t="s">
        <v>588</v>
      </c>
      <c r="BL28" s="11" t="s">
        <v>588</v>
      </c>
      <c r="BM28" s="11" t="s">
        <v>588</v>
      </c>
      <c r="BN28" s="11" t="s">
        <v>588</v>
      </c>
      <c r="BO28" s="11" t="s">
        <v>588</v>
      </c>
      <c r="BP28" s="11" t="s">
        <v>588</v>
      </c>
      <c r="BQ28" s="11" t="s">
        <v>588</v>
      </c>
      <c r="BR28" s="11" t="s">
        <v>588</v>
      </c>
      <c r="BS28" s="28" t="s">
        <v>8</v>
      </c>
      <c r="BT28" s="11" t="s">
        <v>96</v>
      </c>
      <c r="BU28" s="11" t="s">
        <v>588</v>
      </c>
      <c r="BV28" s="11" t="s">
        <v>588</v>
      </c>
      <c r="BW28" s="11" t="s">
        <v>588</v>
      </c>
      <c r="BX28" s="11" t="s">
        <v>588</v>
      </c>
    </row>
    <row r="29" spans="1:76" s="28" customFormat="1" x14ac:dyDescent="0.25">
      <c r="A29" s="28">
        <v>201112</v>
      </c>
      <c r="B29" s="28" t="s">
        <v>2180</v>
      </c>
      <c r="C29" s="11" t="s">
        <v>308</v>
      </c>
      <c r="D29" s="31" t="s">
        <v>1844</v>
      </c>
      <c r="E29" s="31" t="s">
        <v>1844</v>
      </c>
      <c r="F29" s="28">
        <v>1</v>
      </c>
      <c r="G29" s="28" t="s">
        <v>2181</v>
      </c>
      <c r="H29" s="11" t="s">
        <v>2579</v>
      </c>
      <c r="I29" s="29">
        <v>40881</v>
      </c>
      <c r="J29" s="11">
        <v>4</v>
      </c>
      <c r="K29" s="11">
        <v>12</v>
      </c>
      <c r="L29" s="11">
        <v>2011</v>
      </c>
      <c r="M29" s="11" t="s">
        <v>2232</v>
      </c>
      <c r="N29" s="28" t="s">
        <v>7</v>
      </c>
      <c r="O29" s="33" t="s">
        <v>19</v>
      </c>
      <c r="P29" s="28">
        <v>-38.584220000000002</v>
      </c>
      <c r="Q29" s="28">
        <v>145.51043999999999</v>
      </c>
      <c r="R29" s="28" t="s">
        <v>588</v>
      </c>
      <c r="S29" s="28" t="s">
        <v>588</v>
      </c>
      <c r="T29" s="28">
        <v>3</v>
      </c>
      <c r="U29" s="28">
        <v>3</v>
      </c>
      <c r="V29" s="29" t="s">
        <v>588</v>
      </c>
      <c r="W29" s="28" t="s">
        <v>588</v>
      </c>
      <c r="X29" s="28">
        <v>3</v>
      </c>
      <c r="Y29" s="28">
        <v>3</v>
      </c>
      <c r="Z29" s="28" t="s">
        <v>8</v>
      </c>
      <c r="AA29" s="29">
        <v>40896</v>
      </c>
      <c r="AB29" s="11">
        <v>19</v>
      </c>
      <c r="AC29" s="11">
        <v>12</v>
      </c>
      <c r="AD29" s="11">
        <v>2011</v>
      </c>
      <c r="AE29" s="13" t="s">
        <v>2580</v>
      </c>
      <c r="AF29" s="28" t="s">
        <v>7</v>
      </c>
      <c r="AG29" s="29" t="s">
        <v>588</v>
      </c>
      <c r="AH29" s="11" t="s">
        <v>588</v>
      </c>
      <c r="AI29" s="11" t="s">
        <v>588</v>
      </c>
      <c r="AJ29" s="11" t="s">
        <v>588</v>
      </c>
      <c r="AK29" s="13" t="s">
        <v>588</v>
      </c>
      <c r="AL29" s="28" t="s">
        <v>588</v>
      </c>
      <c r="AM29" s="29" t="s">
        <v>588</v>
      </c>
      <c r="AN29" s="28" t="s">
        <v>588</v>
      </c>
      <c r="AO29" s="28" t="s">
        <v>588</v>
      </c>
      <c r="AP29" s="29">
        <v>40937</v>
      </c>
      <c r="AQ29" s="29" t="s">
        <v>12</v>
      </c>
      <c r="AR29" s="28" t="s">
        <v>194</v>
      </c>
      <c r="AS29" s="28">
        <v>2</v>
      </c>
      <c r="AT29" s="28">
        <v>3</v>
      </c>
      <c r="AU29" s="29">
        <v>40955</v>
      </c>
      <c r="AV29" s="34" t="s">
        <v>1859</v>
      </c>
      <c r="AW29" s="29" t="s">
        <v>588</v>
      </c>
      <c r="AX29" s="29" t="s">
        <v>588</v>
      </c>
      <c r="AY29" s="29" t="s">
        <v>588</v>
      </c>
      <c r="AZ29" s="29" t="s">
        <v>588</v>
      </c>
      <c r="BA29" s="29" t="s">
        <v>588</v>
      </c>
      <c r="BB29" s="29" t="s">
        <v>588</v>
      </c>
      <c r="BC29" s="29" t="s">
        <v>588</v>
      </c>
      <c r="BD29" s="29" t="s">
        <v>588</v>
      </c>
      <c r="BE29" s="29" t="s">
        <v>588</v>
      </c>
      <c r="BF29" s="29" t="s">
        <v>588</v>
      </c>
      <c r="BG29" s="29" t="s">
        <v>588</v>
      </c>
      <c r="BH29" s="29" t="s">
        <v>588</v>
      </c>
      <c r="BI29" s="29" t="s">
        <v>588</v>
      </c>
      <c r="BJ29" s="29" t="s">
        <v>588</v>
      </c>
      <c r="BK29" s="29" t="s">
        <v>588</v>
      </c>
      <c r="BL29" s="29" t="s">
        <v>588</v>
      </c>
      <c r="BM29" s="28">
        <v>2</v>
      </c>
      <c r="BN29" s="28">
        <v>2</v>
      </c>
      <c r="BO29" s="29" t="s">
        <v>8</v>
      </c>
      <c r="BP29" s="28">
        <v>1</v>
      </c>
      <c r="BQ29" s="29">
        <v>40966</v>
      </c>
      <c r="BR29" s="29" t="s">
        <v>21</v>
      </c>
      <c r="BS29" s="29" t="s">
        <v>8</v>
      </c>
      <c r="BT29" s="28" t="s">
        <v>9</v>
      </c>
      <c r="BU29" s="29" t="s">
        <v>8</v>
      </c>
      <c r="BV29" s="28" t="s">
        <v>9</v>
      </c>
      <c r="BW29" s="29" t="s">
        <v>2182</v>
      </c>
      <c r="BX29" s="29" t="s">
        <v>2122</v>
      </c>
    </row>
    <row r="30" spans="1:76" s="28" customFormat="1" x14ac:dyDescent="0.25">
      <c r="A30" s="28">
        <v>201112</v>
      </c>
      <c r="B30" s="28" t="s">
        <v>2180</v>
      </c>
      <c r="C30" s="11" t="s">
        <v>308</v>
      </c>
      <c r="D30" s="31" t="s">
        <v>1844</v>
      </c>
      <c r="E30" s="31" t="s">
        <v>1844</v>
      </c>
      <c r="F30" s="28">
        <v>2</v>
      </c>
      <c r="G30" s="28" t="s">
        <v>2183</v>
      </c>
      <c r="H30" s="11" t="s">
        <v>2581</v>
      </c>
      <c r="I30" s="29">
        <v>40954</v>
      </c>
      <c r="J30" s="11">
        <v>15</v>
      </c>
      <c r="K30" s="11">
        <v>2</v>
      </c>
      <c r="L30" s="11">
        <v>2012</v>
      </c>
      <c r="M30" s="11" t="s">
        <v>2554</v>
      </c>
      <c r="N30" s="28" t="s">
        <v>21</v>
      </c>
      <c r="O30" s="33" t="s">
        <v>19</v>
      </c>
      <c r="P30" s="32">
        <v>-38.582900000000002</v>
      </c>
      <c r="Q30" s="28">
        <v>145.51173</v>
      </c>
      <c r="R30" s="28" t="s">
        <v>588</v>
      </c>
      <c r="S30" s="28" t="s">
        <v>588</v>
      </c>
      <c r="T30" s="28">
        <v>3</v>
      </c>
      <c r="U30" s="28">
        <v>3</v>
      </c>
      <c r="V30" s="29" t="s">
        <v>588</v>
      </c>
      <c r="W30" s="28" t="s">
        <v>588</v>
      </c>
      <c r="X30" s="28">
        <v>4</v>
      </c>
      <c r="Y30" s="28">
        <v>3</v>
      </c>
      <c r="Z30" s="28" t="s">
        <v>41</v>
      </c>
      <c r="AA30" s="29">
        <v>40959</v>
      </c>
      <c r="AB30" s="11">
        <v>20</v>
      </c>
      <c r="AC30" s="11">
        <v>2</v>
      </c>
      <c r="AD30" s="11">
        <v>2012</v>
      </c>
      <c r="AE30" s="13" t="s">
        <v>2574</v>
      </c>
      <c r="AF30" s="28" t="s">
        <v>21</v>
      </c>
      <c r="AG30" s="29">
        <v>40966</v>
      </c>
      <c r="AH30" s="11">
        <v>27</v>
      </c>
      <c r="AI30" s="11">
        <v>2</v>
      </c>
      <c r="AJ30" s="11">
        <v>2012</v>
      </c>
      <c r="AK30" s="13" t="s">
        <v>2244</v>
      </c>
      <c r="AL30" s="28" t="s">
        <v>21</v>
      </c>
      <c r="AM30" s="29" t="s">
        <v>32</v>
      </c>
      <c r="AN30" s="29" t="s">
        <v>2184</v>
      </c>
      <c r="AO30" s="29" t="s">
        <v>588</v>
      </c>
      <c r="AP30" s="29" t="s">
        <v>588</v>
      </c>
      <c r="AQ30" s="29" t="s">
        <v>588</v>
      </c>
      <c r="AR30" s="29" t="s">
        <v>588</v>
      </c>
      <c r="AS30" s="28" t="s">
        <v>588</v>
      </c>
      <c r="AT30" s="28" t="s">
        <v>588</v>
      </c>
      <c r="AU30" s="29" t="s">
        <v>588</v>
      </c>
      <c r="AV30" s="29" t="s">
        <v>588</v>
      </c>
      <c r="AW30" s="29" t="s">
        <v>588</v>
      </c>
      <c r="AX30" s="29" t="s">
        <v>588</v>
      </c>
      <c r="AY30" s="29" t="s">
        <v>588</v>
      </c>
      <c r="AZ30" s="29" t="s">
        <v>588</v>
      </c>
      <c r="BA30" s="29" t="s">
        <v>588</v>
      </c>
      <c r="BB30" s="29" t="s">
        <v>588</v>
      </c>
      <c r="BC30" s="29" t="s">
        <v>588</v>
      </c>
      <c r="BD30" s="29" t="s">
        <v>588</v>
      </c>
      <c r="BE30" s="29" t="s">
        <v>588</v>
      </c>
      <c r="BF30" s="29" t="s">
        <v>588</v>
      </c>
      <c r="BG30" s="29" t="s">
        <v>588</v>
      </c>
      <c r="BH30" s="29" t="s">
        <v>588</v>
      </c>
      <c r="BI30" s="29" t="s">
        <v>588</v>
      </c>
      <c r="BJ30" s="29" t="s">
        <v>588</v>
      </c>
      <c r="BK30" s="29" t="s">
        <v>588</v>
      </c>
      <c r="BL30" s="29" t="s">
        <v>588</v>
      </c>
      <c r="BM30" s="28" t="s">
        <v>588</v>
      </c>
      <c r="BN30" s="28" t="s">
        <v>588</v>
      </c>
      <c r="BO30" s="29" t="s">
        <v>588</v>
      </c>
      <c r="BP30" s="28" t="s">
        <v>588</v>
      </c>
      <c r="BQ30" s="29" t="s">
        <v>588</v>
      </c>
      <c r="BR30" s="29" t="s">
        <v>588</v>
      </c>
      <c r="BS30" s="29" t="s">
        <v>8</v>
      </c>
      <c r="BT30" s="11" t="s">
        <v>9</v>
      </c>
      <c r="BU30" s="29" t="s">
        <v>588</v>
      </c>
      <c r="BV30" s="29" t="s">
        <v>588</v>
      </c>
      <c r="BW30" s="29" t="s">
        <v>588</v>
      </c>
      <c r="BX30" s="29" t="s">
        <v>588</v>
      </c>
    </row>
    <row r="31" spans="1:76" s="28" customFormat="1" x14ac:dyDescent="0.25">
      <c r="A31" s="28">
        <v>201112</v>
      </c>
      <c r="B31" s="11" t="s">
        <v>2177</v>
      </c>
      <c r="C31" s="11" t="s">
        <v>324</v>
      </c>
      <c r="D31" s="31" t="s">
        <v>2178</v>
      </c>
      <c r="E31" s="31" t="s">
        <v>1844</v>
      </c>
      <c r="F31" s="28">
        <v>1</v>
      </c>
      <c r="G31" s="28" t="s">
        <v>2179</v>
      </c>
      <c r="H31" s="11" t="s">
        <v>2582</v>
      </c>
      <c r="I31" s="13">
        <v>40858</v>
      </c>
      <c r="J31" s="11">
        <v>11</v>
      </c>
      <c r="K31" s="11">
        <v>11</v>
      </c>
      <c r="L31" s="11">
        <v>2011</v>
      </c>
      <c r="M31" s="11" t="s">
        <v>2524</v>
      </c>
      <c r="N31" s="28" t="s">
        <v>17</v>
      </c>
      <c r="O31" s="28" t="s">
        <v>36</v>
      </c>
      <c r="P31" s="32" t="s">
        <v>588</v>
      </c>
      <c r="Q31" s="32" t="s">
        <v>588</v>
      </c>
      <c r="R31" s="28" t="s">
        <v>588</v>
      </c>
      <c r="S31" s="28" t="s">
        <v>588</v>
      </c>
      <c r="T31" s="28">
        <v>2</v>
      </c>
      <c r="U31" s="28">
        <v>3</v>
      </c>
      <c r="V31" s="29" t="s">
        <v>588</v>
      </c>
      <c r="W31" s="28" t="s">
        <v>588</v>
      </c>
      <c r="X31" s="28">
        <v>4</v>
      </c>
      <c r="Y31" s="28">
        <v>4</v>
      </c>
      <c r="Z31" s="28" t="s">
        <v>41</v>
      </c>
      <c r="AA31" s="13">
        <v>40863</v>
      </c>
      <c r="AB31" s="11">
        <v>16</v>
      </c>
      <c r="AC31" s="11">
        <v>11</v>
      </c>
      <c r="AD31" s="11">
        <v>2011</v>
      </c>
      <c r="AE31" s="13" t="s">
        <v>2525</v>
      </c>
      <c r="AF31" s="28" t="s">
        <v>17</v>
      </c>
      <c r="AG31" s="13">
        <v>40879</v>
      </c>
      <c r="AH31" s="11">
        <v>2</v>
      </c>
      <c r="AI31" s="11">
        <v>12</v>
      </c>
      <c r="AJ31" s="11">
        <v>2011</v>
      </c>
      <c r="AK31" s="13" t="s">
        <v>2245</v>
      </c>
      <c r="AL31" s="28" t="s">
        <v>7</v>
      </c>
      <c r="AM31" s="29" t="s">
        <v>41</v>
      </c>
      <c r="AN31" s="29" t="s">
        <v>8</v>
      </c>
      <c r="AO31" s="29" t="s">
        <v>48</v>
      </c>
      <c r="AP31" s="29" t="s">
        <v>588</v>
      </c>
      <c r="AQ31" s="29" t="s">
        <v>588</v>
      </c>
      <c r="AR31" s="28" t="s">
        <v>588</v>
      </c>
      <c r="AS31" s="28" t="s">
        <v>588</v>
      </c>
      <c r="AT31" s="28" t="s">
        <v>588</v>
      </c>
      <c r="AU31" s="29" t="s">
        <v>588</v>
      </c>
      <c r="AV31" s="29" t="s">
        <v>588</v>
      </c>
      <c r="AW31" s="29" t="s">
        <v>588</v>
      </c>
      <c r="AX31" s="29" t="s">
        <v>588</v>
      </c>
      <c r="AY31" s="29" t="s">
        <v>588</v>
      </c>
      <c r="AZ31" s="29" t="s">
        <v>588</v>
      </c>
      <c r="BA31" s="29" t="s">
        <v>588</v>
      </c>
      <c r="BB31" s="29" t="s">
        <v>588</v>
      </c>
      <c r="BC31" s="29" t="s">
        <v>588</v>
      </c>
      <c r="BD31" s="29" t="s">
        <v>588</v>
      </c>
      <c r="BE31" s="29" t="s">
        <v>588</v>
      </c>
      <c r="BF31" s="29" t="s">
        <v>588</v>
      </c>
      <c r="BG31" s="29" t="s">
        <v>588</v>
      </c>
      <c r="BH31" s="29" t="s">
        <v>588</v>
      </c>
      <c r="BI31" s="29" t="s">
        <v>588</v>
      </c>
      <c r="BJ31" s="29" t="s">
        <v>588</v>
      </c>
      <c r="BK31" s="29" t="s">
        <v>588</v>
      </c>
      <c r="BL31" s="29" t="s">
        <v>588</v>
      </c>
      <c r="BM31" s="28" t="s">
        <v>588</v>
      </c>
      <c r="BN31" s="28" t="s">
        <v>588</v>
      </c>
      <c r="BO31" s="29" t="s">
        <v>588</v>
      </c>
      <c r="BP31" s="28" t="s">
        <v>588</v>
      </c>
      <c r="BQ31" s="29" t="s">
        <v>588</v>
      </c>
      <c r="BR31" s="29" t="s">
        <v>588</v>
      </c>
      <c r="BS31" s="29" t="s">
        <v>8</v>
      </c>
      <c r="BT31" s="11" t="s">
        <v>18</v>
      </c>
      <c r="BU31" s="29" t="s">
        <v>588</v>
      </c>
      <c r="BV31" s="28" t="s">
        <v>588</v>
      </c>
      <c r="BW31" s="29" t="s">
        <v>588</v>
      </c>
      <c r="BX31" s="29" t="s">
        <v>2122</v>
      </c>
    </row>
    <row r="32" spans="1:76" s="28" customFormat="1" x14ac:dyDescent="0.25">
      <c r="A32" s="28">
        <v>201112</v>
      </c>
      <c r="B32" s="28" t="s">
        <v>2116</v>
      </c>
      <c r="C32" s="11" t="s">
        <v>559</v>
      </c>
      <c r="D32" s="31" t="s">
        <v>2117</v>
      </c>
      <c r="E32" s="31" t="s">
        <v>1844</v>
      </c>
      <c r="F32" s="28">
        <v>1</v>
      </c>
      <c r="G32" s="28" t="s">
        <v>2118</v>
      </c>
      <c r="H32" s="11" t="s">
        <v>2583</v>
      </c>
      <c r="I32" s="29">
        <v>40868</v>
      </c>
      <c r="J32" s="11">
        <v>21</v>
      </c>
      <c r="K32" s="11">
        <v>11</v>
      </c>
      <c r="L32" s="11">
        <v>2011</v>
      </c>
      <c r="M32" s="11" t="s">
        <v>2584</v>
      </c>
      <c r="N32" s="28" t="s">
        <v>17</v>
      </c>
      <c r="O32" s="28" t="s">
        <v>36</v>
      </c>
      <c r="P32" s="32"/>
      <c r="Q32" s="32"/>
      <c r="T32" s="28">
        <v>2</v>
      </c>
      <c r="U32" s="28">
        <v>2</v>
      </c>
      <c r="X32" s="28">
        <v>6</v>
      </c>
      <c r="Y32" s="28">
        <v>6</v>
      </c>
      <c r="Z32" s="28" t="s">
        <v>2119</v>
      </c>
      <c r="AA32" s="29">
        <v>40868</v>
      </c>
      <c r="AB32" s="11">
        <v>21</v>
      </c>
      <c r="AC32" s="11">
        <v>11</v>
      </c>
      <c r="AD32" s="11">
        <v>2011</v>
      </c>
      <c r="AE32" s="13" t="s">
        <v>2584</v>
      </c>
      <c r="AF32" s="28" t="s">
        <v>17</v>
      </c>
      <c r="AG32" s="29"/>
      <c r="AH32" s="11">
        <v>0</v>
      </c>
      <c r="AI32" s="11">
        <v>1</v>
      </c>
      <c r="AJ32" s="11">
        <v>1900</v>
      </c>
      <c r="AK32" s="13" t="s">
        <v>2246</v>
      </c>
      <c r="AM32" s="29"/>
      <c r="AO32" s="29"/>
      <c r="AP32" s="29">
        <v>40871</v>
      </c>
      <c r="AQ32" s="29" t="s">
        <v>17</v>
      </c>
      <c r="AR32" s="33" t="s">
        <v>2120</v>
      </c>
      <c r="AS32" s="28">
        <v>0</v>
      </c>
      <c r="AT32" s="28">
        <v>2</v>
      </c>
      <c r="AU32" s="34"/>
      <c r="AV32" s="29">
        <v>40880</v>
      </c>
      <c r="AW32" s="29" t="s">
        <v>7</v>
      </c>
      <c r="AX32" s="29"/>
      <c r="AY32" s="29"/>
      <c r="AZ32" s="29"/>
      <c r="BA32" s="34"/>
      <c r="BB32" s="29">
        <v>40880</v>
      </c>
      <c r="BC32" s="29" t="s">
        <v>7</v>
      </c>
      <c r="BD32" s="29"/>
      <c r="BE32" s="29"/>
      <c r="BF32" s="29"/>
      <c r="BG32" s="29"/>
      <c r="BH32" s="29"/>
      <c r="BI32" s="29"/>
      <c r="BJ32" s="29"/>
      <c r="BK32" s="29"/>
      <c r="BL32" s="29"/>
      <c r="BM32" s="28">
        <v>1</v>
      </c>
      <c r="BN32" s="28">
        <v>1</v>
      </c>
      <c r="BO32" s="29" t="s">
        <v>41</v>
      </c>
      <c r="BP32" s="29"/>
      <c r="BQ32" s="29"/>
      <c r="BR32" s="29"/>
      <c r="BS32" s="28" t="s">
        <v>8</v>
      </c>
      <c r="BT32" s="28" t="s">
        <v>65</v>
      </c>
      <c r="BU32" s="29" t="s">
        <v>8</v>
      </c>
      <c r="BV32" s="28" t="s">
        <v>9</v>
      </c>
      <c r="BW32" s="29" t="s">
        <v>2121</v>
      </c>
      <c r="BX32" s="29" t="s">
        <v>2122</v>
      </c>
    </row>
    <row r="33" spans="1:76" s="28" customFormat="1" x14ac:dyDescent="0.25">
      <c r="A33" s="28">
        <v>201112</v>
      </c>
      <c r="B33" s="11" t="s">
        <v>2116</v>
      </c>
      <c r="C33" s="11" t="s">
        <v>559</v>
      </c>
      <c r="D33" s="31" t="s">
        <v>2117</v>
      </c>
      <c r="E33" s="31" t="s">
        <v>1844</v>
      </c>
      <c r="F33" s="28">
        <v>2</v>
      </c>
      <c r="G33" s="28" t="s">
        <v>2123</v>
      </c>
      <c r="H33" s="11" t="s">
        <v>2585</v>
      </c>
      <c r="I33" s="13">
        <v>40893</v>
      </c>
      <c r="J33" s="11">
        <v>16</v>
      </c>
      <c r="K33" s="11">
        <v>12</v>
      </c>
      <c r="L33" s="11">
        <v>2011</v>
      </c>
      <c r="M33" s="11" t="s">
        <v>2586</v>
      </c>
      <c r="N33" s="28" t="s">
        <v>7</v>
      </c>
      <c r="O33" s="28" t="s">
        <v>36</v>
      </c>
      <c r="P33" s="32" t="s">
        <v>2124</v>
      </c>
      <c r="Q33" s="32" t="s">
        <v>2125</v>
      </c>
      <c r="T33" s="28">
        <v>2</v>
      </c>
      <c r="U33" s="28">
        <v>2</v>
      </c>
      <c r="V33" s="29">
        <v>40894</v>
      </c>
      <c r="W33" s="28" t="s">
        <v>223</v>
      </c>
      <c r="X33" s="28">
        <v>15</v>
      </c>
      <c r="Y33" s="28">
        <v>15</v>
      </c>
      <c r="Z33" s="28" t="s">
        <v>8</v>
      </c>
      <c r="AA33" s="13">
        <v>40927</v>
      </c>
      <c r="AB33" s="11">
        <v>19</v>
      </c>
      <c r="AC33" s="11">
        <v>1</v>
      </c>
      <c r="AD33" s="11">
        <v>2012</v>
      </c>
      <c r="AE33" s="13" t="s">
        <v>2552</v>
      </c>
      <c r="AF33" s="28" t="s">
        <v>12</v>
      </c>
      <c r="AG33" s="13"/>
      <c r="AH33" s="11">
        <v>0</v>
      </c>
      <c r="AI33" s="11">
        <v>1</v>
      </c>
      <c r="AJ33" s="11">
        <v>1900</v>
      </c>
      <c r="AK33" s="13" t="s">
        <v>2246</v>
      </c>
      <c r="AM33" s="29"/>
      <c r="AO33" s="29"/>
      <c r="AP33" s="13">
        <v>40933</v>
      </c>
      <c r="AQ33" s="29" t="s">
        <v>12</v>
      </c>
      <c r="AR33" s="28" t="s">
        <v>2126</v>
      </c>
      <c r="AS33" s="28">
        <v>1</v>
      </c>
      <c r="AT33" s="28">
        <v>3</v>
      </c>
      <c r="AU33" s="13">
        <v>40933</v>
      </c>
      <c r="AV33" s="13">
        <v>40953</v>
      </c>
      <c r="AW33" s="29" t="s">
        <v>41</v>
      </c>
      <c r="AX33" s="28" t="s">
        <v>41</v>
      </c>
      <c r="AY33" s="29" t="s">
        <v>20</v>
      </c>
      <c r="BA33" s="29"/>
      <c r="BC33" s="29"/>
      <c r="BE33" s="29"/>
      <c r="BG33" s="29"/>
      <c r="BI33" s="29"/>
      <c r="BK33" s="29"/>
      <c r="BM33" s="28">
        <v>1</v>
      </c>
      <c r="BN33" s="28">
        <v>1</v>
      </c>
      <c r="BO33" s="29" t="s">
        <v>41</v>
      </c>
      <c r="BQ33" s="29"/>
      <c r="BS33" s="28" t="s">
        <v>8</v>
      </c>
      <c r="BT33" s="11" t="s">
        <v>9</v>
      </c>
      <c r="BU33" s="33" t="s">
        <v>41</v>
      </c>
      <c r="BV33" s="33" t="s">
        <v>42</v>
      </c>
      <c r="BW33" s="33"/>
      <c r="BX33" s="33"/>
    </row>
    <row r="34" spans="1:76" s="28" customFormat="1" x14ac:dyDescent="0.25">
      <c r="A34" s="28">
        <v>201112</v>
      </c>
      <c r="B34" s="11" t="s">
        <v>129</v>
      </c>
      <c r="C34" s="11" t="s">
        <v>35</v>
      </c>
      <c r="D34" s="11" t="s">
        <v>2151</v>
      </c>
      <c r="E34" s="31" t="s">
        <v>1844</v>
      </c>
      <c r="F34" s="28">
        <v>1</v>
      </c>
      <c r="G34" s="28" t="s">
        <v>2152</v>
      </c>
      <c r="H34" s="11" t="s">
        <v>2587</v>
      </c>
      <c r="I34" s="13">
        <v>40912</v>
      </c>
      <c r="J34" s="11">
        <v>4</v>
      </c>
      <c r="K34" s="11">
        <v>1</v>
      </c>
      <c r="L34" s="11">
        <v>2012</v>
      </c>
      <c r="M34" s="11" t="s">
        <v>2588</v>
      </c>
      <c r="N34" s="28" t="s">
        <v>12</v>
      </c>
      <c r="O34" s="28" t="s">
        <v>36</v>
      </c>
      <c r="P34" s="11">
        <v>38.585880000000003</v>
      </c>
      <c r="Q34" s="11">
        <v>145.511</v>
      </c>
      <c r="R34" s="33" t="s">
        <v>588</v>
      </c>
      <c r="S34" s="33" t="s">
        <v>588</v>
      </c>
      <c r="T34" s="28">
        <v>3</v>
      </c>
      <c r="U34" s="28">
        <v>3</v>
      </c>
      <c r="V34" s="29">
        <v>40885</v>
      </c>
      <c r="W34" s="28" t="s">
        <v>219</v>
      </c>
      <c r="X34" s="28">
        <v>1</v>
      </c>
      <c r="Y34" s="28">
        <v>1</v>
      </c>
      <c r="Z34" s="28" t="s">
        <v>8</v>
      </c>
      <c r="AA34" s="13">
        <v>40912</v>
      </c>
      <c r="AB34" s="11">
        <v>4</v>
      </c>
      <c r="AC34" s="11">
        <v>1</v>
      </c>
      <c r="AD34" s="11">
        <v>2012</v>
      </c>
      <c r="AE34" s="13" t="s">
        <v>2588</v>
      </c>
      <c r="AF34" s="28" t="s">
        <v>12</v>
      </c>
      <c r="AG34" s="29" t="s">
        <v>588</v>
      </c>
      <c r="AH34" s="11" t="s">
        <v>588</v>
      </c>
      <c r="AI34" s="11" t="s">
        <v>588</v>
      </c>
      <c r="AJ34" s="11" t="s">
        <v>588</v>
      </c>
      <c r="AK34" s="13" t="s">
        <v>588</v>
      </c>
      <c r="AL34" s="28" t="s">
        <v>588</v>
      </c>
      <c r="AM34" s="29" t="s">
        <v>588</v>
      </c>
      <c r="AN34" s="33" t="s">
        <v>588</v>
      </c>
      <c r="AO34" s="28" t="s">
        <v>588</v>
      </c>
      <c r="AP34" s="13">
        <v>40913</v>
      </c>
      <c r="AQ34" s="28" t="s">
        <v>12</v>
      </c>
      <c r="AR34" s="11" t="s">
        <v>195</v>
      </c>
      <c r="AS34" s="28">
        <v>3</v>
      </c>
      <c r="AT34" s="28">
        <v>3</v>
      </c>
      <c r="AU34" s="13">
        <v>40915</v>
      </c>
      <c r="AV34" s="13">
        <v>40918</v>
      </c>
      <c r="AW34" s="13" t="s">
        <v>12</v>
      </c>
      <c r="AX34" s="29" t="s">
        <v>41</v>
      </c>
      <c r="AY34" s="29" t="s">
        <v>41</v>
      </c>
      <c r="AZ34" s="29" t="s">
        <v>20</v>
      </c>
      <c r="BA34" s="13">
        <v>40918</v>
      </c>
      <c r="BB34" s="13">
        <v>40925</v>
      </c>
      <c r="BC34" s="13" t="s">
        <v>12</v>
      </c>
      <c r="BD34" s="29" t="s">
        <v>41</v>
      </c>
      <c r="BE34" s="29" t="s">
        <v>41</v>
      </c>
      <c r="BF34" s="29" t="s">
        <v>20</v>
      </c>
      <c r="BG34" s="13">
        <v>40918</v>
      </c>
      <c r="BH34" s="13">
        <v>40925</v>
      </c>
      <c r="BI34" s="13" t="s">
        <v>12</v>
      </c>
      <c r="BJ34" s="29" t="s">
        <v>41</v>
      </c>
      <c r="BK34" s="29" t="s">
        <v>41</v>
      </c>
      <c r="BL34" s="29" t="s">
        <v>20</v>
      </c>
      <c r="BM34" s="28">
        <v>5</v>
      </c>
      <c r="BN34" s="28">
        <v>5</v>
      </c>
      <c r="BO34" s="29" t="s">
        <v>41</v>
      </c>
      <c r="BP34" s="28" t="s">
        <v>588</v>
      </c>
      <c r="BQ34" s="29" t="s">
        <v>588</v>
      </c>
      <c r="BR34" s="29" t="s">
        <v>588</v>
      </c>
      <c r="BS34" s="28" t="s">
        <v>41</v>
      </c>
      <c r="BT34" s="28" t="s">
        <v>42</v>
      </c>
      <c r="BU34" s="28" t="s">
        <v>8</v>
      </c>
      <c r="BV34" s="11" t="s">
        <v>96</v>
      </c>
      <c r="BW34" s="29" t="s">
        <v>588</v>
      </c>
      <c r="BX34" s="29" t="s">
        <v>588</v>
      </c>
    </row>
    <row r="35" spans="1:76" s="28" customFormat="1" x14ac:dyDescent="0.25">
      <c r="A35" s="28">
        <v>201112</v>
      </c>
      <c r="B35" s="11" t="s">
        <v>2136</v>
      </c>
      <c r="C35" s="11" t="s">
        <v>76</v>
      </c>
      <c r="D35" s="31" t="s">
        <v>2137</v>
      </c>
      <c r="E35" s="31" t="s">
        <v>1844</v>
      </c>
      <c r="F35" s="28">
        <v>1</v>
      </c>
      <c r="G35" s="28" t="s">
        <v>2138</v>
      </c>
      <c r="H35" s="11" t="s">
        <v>2589</v>
      </c>
      <c r="I35" s="13">
        <v>40946</v>
      </c>
      <c r="J35" s="11">
        <v>7</v>
      </c>
      <c r="K35" s="11">
        <v>2</v>
      </c>
      <c r="L35" s="11">
        <v>2012</v>
      </c>
      <c r="M35" s="11" t="s">
        <v>2558</v>
      </c>
      <c r="N35" s="28" t="s">
        <v>21</v>
      </c>
      <c r="O35" s="33" t="s">
        <v>10</v>
      </c>
      <c r="P35" s="32" t="s">
        <v>588</v>
      </c>
      <c r="Q35" s="32" t="s">
        <v>588</v>
      </c>
      <c r="R35" s="33" t="s">
        <v>588</v>
      </c>
      <c r="S35" s="33" t="s">
        <v>588</v>
      </c>
      <c r="T35" s="28">
        <v>1</v>
      </c>
      <c r="U35" s="28">
        <v>3</v>
      </c>
      <c r="V35" s="29" t="s">
        <v>588</v>
      </c>
      <c r="W35" s="28" t="s">
        <v>588</v>
      </c>
      <c r="X35" s="28">
        <v>2</v>
      </c>
      <c r="Y35" s="28">
        <v>2</v>
      </c>
      <c r="Z35" s="28" t="s">
        <v>647</v>
      </c>
      <c r="AA35" s="13">
        <v>40946</v>
      </c>
      <c r="AB35" s="11">
        <v>7</v>
      </c>
      <c r="AC35" s="11">
        <v>2</v>
      </c>
      <c r="AD35" s="11">
        <v>2012</v>
      </c>
      <c r="AE35" s="13" t="s">
        <v>2558</v>
      </c>
      <c r="AF35" s="28" t="s">
        <v>21</v>
      </c>
      <c r="AG35" s="13">
        <v>40963</v>
      </c>
      <c r="AH35" s="11">
        <v>24</v>
      </c>
      <c r="AI35" s="11">
        <v>2</v>
      </c>
      <c r="AJ35" s="11">
        <v>2012</v>
      </c>
      <c r="AK35" s="13" t="s">
        <v>2247</v>
      </c>
      <c r="AL35" s="28" t="s">
        <v>21</v>
      </c>
      <c r="AM35" s="29" t="s">
        <v>41</v>
      </c>
      <c r="AN35" s="28" t="s">
        <v>8</v>
      </c>
      <c r="AO35" s="33" t="s">
        <v>2139</v>
      </c>
      <c r="AP35" s="29" t="s">
        <v>588</v>
      </c>
      <c r="AQ35" s="29" t="s">
        <v>588</v>
      </c>
      <c r="AR35" s="29" t="s">
        <v>588</v>
      </c>
      <c r="AS35" s="28" t="s">
        <v>588</v>
      </c>
      <c r="AT35" s="28" t="s">
        <v>588</v>
      </c>
      <c r="AU35" s="29" t="s">
        <v>588</v>
      </c>
      <c r="AV35" s="29" t="s">
        <v>588</v>
      </c>
      <c r="AW35" s="29" t="s">
        <v>588</v>
      </c>
      <c r="AX35" s="29" t="s">
        <v>588</v>
      </c>
      <c r="AY35" s="29" t="s">
        <v>588</v>
      </c>
      <c r="AZ35" s="29" t="s">
        <v>588</v>
      </c>
      <c r="BA35" s="29" t="s">
        <v>588</v>
      </c>
      <c r="BB35" s="29" t="s">
        <v>588</v>
      </c>
      <c r="BC35" s="29" t="s">
        <v>588</v>
      </c>
      <c r="BD35" s="29" t="s">
        <v>588</v>
      </c>
      <c r="BE35" s="29" t="s">
        <v>588</v>
      </c>
      <c r="BF35" s="29" t="s">
        <v>588</v>
      </c>
      <c r="BG35" s="29" t="s">
        <v>588</v>
      </c>
      <c r="BH35" s="29" t="s">
        <v>588</v>
      </c>
      <c r="BI35" s="29" t="s">
        <v>588</v>
      </c>
      <c r="BJ35" s="29" t="s">
        <v>588</v>
      </c>
      <c r="BK35" s="29" t="s">
        <v>588</v>
      </c>
      <c r="BL35" s="29" t="s">
        <v>588</v>
      </c>
      <c r="BM35" s="28" t="s">
        <v>588</v>
      </c>
      <c r="BN35" s="28" t="s">
        <v>588</v>
      </c>
      <c r="BO35" s="29" t="s">
        <v>588</v>
      </c>
      <c r="BP35" s="28" t="s">
        <v>588</v>
      </c>
      <c r="BQ35" s="29" t="s">
        <v>588</v>
      </c>
      <c r="BR35" s="29" t="s">
        <v>588</v>
      </c>
      <c r="BS35" s="29" t="s">
        <v>8</v>
      </c>
      <c r="BT35" s="11" t="s">
        <v>18</v>
      </c>
      <c r="BU35" s="29" t="s">
        <v>588</v>
      </c>
      <c r="BV35" s="28" t="s">
        <v>588</v>
      </c>
      <c r="BW35" s="29" t="s">
        <v>2140</v>
      </c>
      <c r="BX35" s="29" t="s">
        <v>588</v>
      </c>
    </row>
    <row r="36" spans="1:76" x14ac:dyDescent="0.25">
      <c r="A36" s="28">
        <v>201112</v>
      </c>
      <c r="B36" s="38" t="s">
        <v>2211</v>
      </c>
      <c r="C36" s="11" t="s">
        <v>359</v>
      </c>
      <c r="D36" s="28" t="s">
        <v>2212</v>
      </c>
      <c r="E36" s="31" t="s">
        <v>1844</v>
      </c>
      <c r="F36" s="28">
        <v>1</v>
      </c>
      <c r="G36" s="28" t="s">
        <v>2213</v>
      </c>
      <c r="H36" s="11" t="s">
        <v>2590</v>
      </c>
      <c r="I36" s="13">
        <v>40854</v>
      </c>
      <c r="J36" s="11">
        <v>7</v>
      </c>
      <c r="K36" s="11">
        <v>11</v>
      </c>
      <c r="L36" s="11">
        <v>2011</v>
      </c>
      <c r="M36" s="11" t="s">
        <v>2591</v>
      </c>
      <c r="N36" s="28" t="s">
        <v>17</v>
      </c>
      <c r="O36" s="28" t="s">
        <v>51</v>
      </c>
      <c r="P36" s="32" t="s">
        <v>2214</v>
      </c>
      <c r="Q36" s="32" t="s">
        <v>2215</v>
      </c>
      <c r="R36" s="28" t="s">
        <v>588</v>
      </c>
      <c r="S36" s="28" t="s">
        <v>588</v>
      </c>
      <c r="T36" s="28">
        <v>2</v>
      </c>
      <c r="U36" s="28">
        <v>3</v>
      </c>
      <c r="V36" s="29">
        <v>40858</v>
      </c>
      <c r="W36" s="28" t="s">
        <v>223</v>
      </c>
      <c r="X36" s="28">
        <v>3</v>
      </c>
      <c r="Y36" s="28">
        <v>3</v>
      </c>
      <c r="Z36" s="28" t="s">
        <v>41</v>
      </c>
      <c r="AA36" s="13">
        <v>40861</v>
      </c>
      <c r="AB36" s="11">
        <v>14</v>
      </c>
      <c r="AC36" s="11">
        <v>11</v>
      </c>
      <c r="AD36" s="11">
        <v>2011</v>
      </c>
      <c r="AE36" s="13" t="s">
        <v>2592</v>
      </c>
      <c r="AF36" s="28" t="s">
        <v>17</v>
      </c>
      <c r="AG36" s="13">
        <v>40869</v>
      </c>
      <c r="AH36" s="11">
        <v>22</v>
      </c>
      <c r="AI36" s="11">
        <v>11</v>
      </c>
      <c r="AJ36" s="11">
        <v>2011</v>
      </c>
      <c r="AK36" s="13" t="s">
        <v>2248</v>
      </c>
      <c r="AL36" s="28" t="s">
        <v>17</v>
      </c>
      <c r="AM36" s="29" t="s">
        <v>11</v>
      </c>
      <c r="AN36" s="28" t="s">
        <v>8</v>
      </c>
      <c r="AO36" s="28" t="s">
        <v>588</v>
      </c>
      <c r="AP36" s="29" t="s">
        <v>588</v>
      </c>
      <c r="AQ36" s="29" t="s">
        <v>588</v>
      </c>
      <c r="AR36" s="29" t="s">
        <v>588</v>
      </c>
      <c r="AS36" s="28" t="s">
        <v>588</v>
      </c>
      <c r="AT36" s="28" t="s">
        <v>588</v>
      </c>
      <c r="AU36" s="29" t="s">
        <v>588</v>
      </c>
      <c r="AV36" s="29" t="s">
        <v>588</v>
      </c>
      <c r="AW36" s="29" t="s">
        <v>588</v>
      </c>
      <c r="AX36" s="29" t="s">
        <v>588</v>
      </c>
      <c r="AY36" s="29" t="s">
        <v>588</v>
      </c>
      <c r="AZ36" s="29" t="s">
        <v>588</v>
      </c>
      <c r="BA36" s="29" t="s">
        <v>588</v>
      </c>
      <c r="BB36" s="29" t="s">
        <v>588</v>
      </c>
      <c r="BC36" s="29" t="s">
        <v>588</v>
      </c>
      <c r="BD36" s="29" t="s">
        <v>588</v>
      </c>
      <c r="BE36" s="29" t="s">
        <v>588</v>
      </c>
      <c r="BF36" s="29" t="s">
        <v>588</v>
      </c>
      <c r="BG36" s="29" t="s">
        <v>588</v>
      </c>
      <c r="BH36" s="29" t="s">
        <v>588</v>
      </c>
      <c r="BI36" s="29" t="s">
        <v>588</v>
      </c>
      <c r="BJ36" s="29" t="s">
        <v>588</v>
      </c>
      <c r="BK36" s="29" t="s">
        <v>588</v>
      </c>
      <c r="BL36" s="29" t="s">
        <v>588</v>
      </c>
      <c r="BM36" s="28" t="s">
        <v>588</v>
      </c>
      <c r="BN36" s="28" t="s">
        <v>588</v>
      </c>
      <c r="BO36" s="29" t="s">
        <v>588</v>
      </c>
      <c r="BP36" s="28" t="s">
        <v>588</v>
      </c>
      <c r="BQ36" s="29" t="s">
        <v>588</v>
      </c>
      <c r="BR36" s="29" t="s">
        <v>588</v>
      </c>
      <c r="BS36" s="28" t="s">
        <v>41</v>
      </c>
      <c r="BT36" s="28" t="s">
        <v>42</v>
      </c>
      <c r="BU36" s="29" t="s">
        <v>588</v>
      </c>
      <c r="BV36" s="29" t="s">
        <v>588</v>
      </c>
      <c r="BW36" s="29" t="s">
        <v>588</v>
      </c>
      <c r="BX36" s="29" t="s">
        <v>588</v>
      </c>
    </row>
    <row r="37" spans="1:76" x14ac:dyDescent="0.25">
      <c r="A37" s="28">
        <v>201112</v>
      </c>
      <c r="B37" s="38" t="s">
        <v>2206</v>
      </c>
      <c r="C37" s="11" t="s">
        <v>365</v>
      </c>
      <c r="D37" s="28" t="s">
        <v>2207</v>
      </c>
      <c r="E37" s="31" t="s">
        <v>1844</v>
      </c>
      <c r="F37" s="28">
        <v>1</v>
      </c>
      <c r="G37" s="28" t="s">
        <v>2208</v>
      </c>
      <c r="H37" s="11" t="s">
        <v>2593</v>
      </c>
      <c r="I37" s="13">
        <v>40861</v>
      </c>
      <c r="J37" s="11">
        <v>14</v>
      </c>
      <c r="K37" s="11">
        <v>11</v>
      </c>
      <c r="L37" s="11">
        <v>2011</v>
      </c>
      <c r="M37" s="11" t="s">
        <v>2592</v>
      </c>
      <c r="N37" s="28" t="s">
        <v>17</v>
      </c>
      <c r="O37" s="28" t="s">
        <v>10</v>
      </c>
      <c r="P37" s="39">
        <v>-38.594720000000002</v>
      </c>
      <c r="Q37" s="11">
        <v>145.52292</v>
      </c>
      <c r="R37" s="28" t="s">
        <v>588</v>
      </c>
      <c r="S37" s="28" t="s">
        <v>588</v>
      </c>
      <c r="T37" s="28">
        <v>3</v>
      </c>
      <c r="U37" s="28">
        <v>3</v>
      </c>
      <c r="V37" s="13">
        <v>40862</v>
      </c>
      <c r="W37" s="28" t="s">
        <v>223</v>
      </c>
      <c r="X37" s="28">
        <v>8</v>
      </c>
      <c r="Y37" s="28">
        <v>7</v>
      </c>
      <c r="Z37" s="28" t="s">
        <v>41</v>
      </c>
      <c r="AA37" s="13">
        <v>40881</v>
      </c>
      <c r="AB37" s="11">
        <v>4</v>
      </c>
      <c r="AC37" s="11">
        <v>12</v>
      </c>
      <c r="AD37" s="11">
        <v>2011</v>
      </c>
      <c r="AE37" s="13" t="s">
        <v>2232</v>
      </c>
      <c r="AF37" s="28" t="s">
        <v>7</v>
      </c>
      <c r="AG37" s="13">
        <v>40889</v>
      </c>
      <c r="AH37" s="11">
        <v>12</v>
      </c>
      <c r="AI37" s="11">
        <v>12</v>
      </c>
      <c r="AJ37" s="11">
        <v>2011</v>
      </c>
      <c r="AK37" s="13" t="s">
        <v>2249</v>
      </c>
      <c r="AL37" s="28" t="s">
        <v>7</v>
      </c>
      <c r="AM37" s="29" t="s">
        <v>32</v>
      </c>
      <c r="AN37" s="28" t="s">
        <v>2209</v>
      </c>
      <c r="AO37" s="28" t="s">
        <v>588</v>
      </c>
      <c r="AP37" s="29" t="s">
        <v>588</v>
      </c>
      <c r="AQ37" s="29" t="s">
        <v>588</v>
      </c>
      <c r="AR37" s="29" t="s">
        <v>588</v>
      </c>
      <c r="AS37" s="28" t="s">
        <v>588</v>
      </c>
      <c r="AT37" s="28" t="s">
        <v>588</v>
      </c>
      <c r="AU37" s="29" t="s">
        <v>588</v>
      </c>
      <c r="AV37" s="29" t="s">
        <v>588</v>
      </c>
      <c r="AW37" s="29" t="s">
        <v>588</v>
      </c>
      <c r="AX37" s="29" t="s">
        <v>588</v>
      </c>
      <c r="AY37" s="29" t="s">
        <v>588</v>
      </c>
      <c r="AZ37" s="29" t="s">
        <v>588</v>
      </c>
      <c r="BA37" s="29" t="s">
        <v>588</v>
      </c>
      <c r="BB37" s="29" t="s">
        <v>588</v>
      </c>
      <c r="BC37" s="29" t="s">
        <v>588</v>
      </c>
      <c r="BD37" s="29" t="s">
        <v>588</v>
      </c>
      <c r="BE37" s="29" t="s">
        <v>588</v>
      </c>
      <c r="BF37" s="29" t="s">
        <v>588</v>
      </c>
      <c r="BG37" s="29" t="s">
        <v>588</v>
      </c>
      <c r="BH37" s="29" t="s">
        <v>588</v>
      </c>
      <c r="BI37" s="29" t="s">
        <v>588</v>
      </c>
      <c r="BJ37" s="29" t="s">
        <v>588</v>
      </c>
      <c r="BK37" s="29" t="s">
        <v>588</v>
      </c>
      <c r="BL37" s="29" t="s">
        <v>588</v>
      </c>
      <c r="BM37" s="28" t="s">
        <v>588</v>
      </c>
      <c r="BN37" s="28" t="s">
        <v>588</v>
      </c>
      <c r="BO37" s="29" t="s">
        <v>588</v>
      </c>
      <c r="BP37" s="28" t="s">
        <v>588</v>
      </c>
      <c r="BQ37" s="29" t="s">
        <v>588</v>
      </c>
      <c r="BR37" s="29" t="s">
        <v>588</v>
      </c>
      <c r="BS37" s="28" t="s">
        <v>8</v>
      </c>
      <c r="BT37" s="11" t="s">
        <v>9</v>
      </c>
      <c r="BU37" s="29" t="s">
        <v>588</v>
      </c>
      <c r="BV37" s="29" t="s">
        <v>588</v>
      </c>
      <c r="BW37" s="29" t="s">
        <v>588</v>
      </c>
      <c r="BX37" s="29" t="s">
        <v>2122</v>
      </c>
    </row>
    <row r="38" spans="1:76" s="28" customFormat="1" x14ac:dyDescent="0.25">
      <c r="A38" s="28">
        <v>201112</v>
      </c>
      <c r="B38" s="38" t="s">
        <v>2206</v>
      </c>
      <c r="C38" s="11" t="s">
        <v>365</v>
      </c>
      <c r="D38" s="28" t="s">
        <v>2207</v>
      </c>
      <c r="E38" s="31" t="s">
        <v>1844</v>
      </c>
      <c r="F38" s="28">
        <v>2</v>
      </c>
      <c r="G38" s="28" t="s">
        <v>2210</v>
      </c>
      <c r="H38" s="11" t="s">
        <v>2594</v>
      </c>
      <c r="I38" s="13">
        <v>40896</v>
      </c>
      <c r="J38" s="11">
        <v>19</v>
      </c>
      <c r="K38" s="11">
        <v>12</v>
      </c>
      <c r="L38" s="11">
        <v>2011</v>
      </c>
      <c r="M38" s="11" t="s">
        <v>2580</v>
      </c>
      <c r="N38" s="28" t="s">
        <v>7</v>
      </c>
      <c r="O38" s="28" t="s">
        <v>2126</v>
      </c>
      <c r="P38" s="32" t="s">
        <v>588</v>
      </c>
      <c r="Q38" s="32" t="s">
        <v>588</v>
      </c>
      <c r="R38" s="28" t="s">
        <v>588</v>
      </c>
      <c r="S38" s="28" t="s">
        <v>588</v>
      </c>
      <c r="T38" s="28">
        <v>3</v>
      </c>
      <c r="U38" s="28">
        <v>3</v>
      </c>
      <c r="V38" s="28" t="s">
        <v>588</v>
      </c>
      <c r="W38" s="28" t="s">
        <v>588</v>
      </c>
      <c r="X38" s="28">
        <v>2</v>
      </c>
      <c r="Y38" s="28">
        <v>2</v>
      </c>
      <c r="Z38" s="28" t="s">
        <v>41</v>
      </c>
      <c r="AA38" s="13">
        <v>40896</v>
      </c>
      <c r="AB38" s="11">
        <v>19</v>
      </c>
      <c r="AC38" s="11">
        <v>12</v>
      </c>
      <c r="AD38" s="11">
        <v>2011</v>
      </c>
      <c r="AE38" s="13" t="s">
        <v>2580</v>
      </c>
      <c r="AF38" s="28" t="s">
        <v>7</v>
      </c>
      <c r="AG38" s="13">
        <v>40905</v>
      </c>
      <c r="AH38" s="11">
        <v>28</v>
      </c>
      <c r="AI38" s="11">
        <v>12</v>
      </c>
      <c r="AJ38" s="11">
        <v>2011</v>
      </c>
      <c r="AK38" s="13" t="s">
        <v>2250</v>
      </c>
      <c r="AL38" s="28" t="s">
        <v>7</v>
      </c>
      <c r="AM38" s="29" t="s">
        <v>41</v>
      </c>
      <c r="AN38" s="28" t="s">
        <v>8</v>
      </c>
      <c r="AO38" s="28" t="s">
        <v>32</v>
      </c>
      <c r="AP38" s="29" t="s">
        <v>588</v>
      </c>
      <c r="AQ38" s="29" t="s">
        <v>588</v>
      </c>
      <c r="AR38" s="29" t="s">
        <v>588</v>
      </c>
      <c r="AS38" s="28" t="s">
        <v>588</v>
      </c>
      <c r="AT38" s="28" t="s">
        <v>588</v>
      </c>
      <c r="AU38" s="29" t="s">
        <v>588</v>
      </c>
      <c r="AV38" s="29" t="s">
        <v>588</v>
      </c>
      <c r="AW38" s="29" t="s">
        <v>588</v>
      </c>
      <c r="AX38" s="29" t="s">
        <v>588</v>
      </c>
      <c r="AY38" s="29" t="s">
        <v>588</v>
      </c>
      <c r="AZ38" s="29" t="s">
        <v>588</v>
      </c>
      <c r="BA38" s="29" t="s">
        <v>588</v>
      </c>
      <c r="BB38" s="29" t="s">
        <v>588</v>
      </c>
      <c r="BC38" s="29" t="s">
        <v>588</v>
      </c>
      <c r="BD38" s="29" t="s">
        <v>588</v>
      </c>
      <c r="BE38" s="29" t="s">
        <v>588</v>
      </c>
      <c r="BF38" s="29" t="s">
        <v>588</v>
      </c>
      <c r="BG38" s="29" t="s">
        <v>588</v>
      </c>
      <c r="BH38" s="29" t="s">
        <v>588</v>
      </c>
      <c r="BI38" s="29" t="s">
        <v>588</v>
      </c>
      <c r="BJ38" s="29" t="s">
        <v>588</v>
      </c>
      <c r="BK38" s="29" t="s">
        <v>588</v>
      </c>
      <c r="BL38" s="29" t="s">
        <v>588</v>
      </c>
      <c r="BM38" s="28" t="s">
        <v>588</v>
      </c>
      <c r="BN38" s="28" t="s">
        <v>588</v>
      </c>
      <c r="BO38" s="29" t="s">
        <v>588</v>
      </c>
      <c r="BP38" s="28" t="s">
        <v>588</v>
      </c>
      <c r="BQ38" s="29" t="s">
        <v>588</v>
      </c>
      <c r="BR38" s="29" t="s">
        <v>588</v>
      </c>
      <c r="BS38" s="28" t="s">
        <v>8</v>
      </c>
      <c r="BT38" s="11" t="s">
        <v>13</v>
      </c>
      <c r="BU38" s="29" t="s">
        <v>588</v>
      </c>
      <c r="BV38" s="29" t="s">
        <v>588</v>
      </c>
      <c r="BW38" s="29" t="s">
        <v>588</v>
      </c>
      <c r="BX38" s="29" t="s">
        <v>588</v>
      </c>
    </row>
  </sheetData>
  <autoFilter ref="A1:BX38" xr:uid="{E9FF3F87-AE3B-4CA8-A05F-76DD64A616B6}">
    <sortState xmlns:xlrd2="http://schemas.microsoft.com/office/spreadsheetml/2017/richdata2" ref="A2:BX38">
      <sortCondition ref="C1:C38"/>
    </sortState>
  </autoFilter>
  <phoneticPr fontId="2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F8405-B416-4F98-B3AF-0728C1F55780}">
  <dimension ref="A1:BX19"/>
  <sheetViews>
    <sheetView zoomScale="80" zoomScaleNormal="80" workbookViewId="0">
      <selection activeCell="M6" sqref="M6"/>
    </sheetView>
  </sheetViews>
  <sheetFormatPr defaultRowHeight="15" x14ac:dyDescent="0.25"/>
  <cols>
    <col min="9" max="9" width="15.5703125" bestFit="1" customWidth="1"/>
    <col min="10" max="10" width="4.5703125" bestFit="1" customWidth="1"/>
    <col min="11" max="11" width="6.7109375" bestFit="1" customWidth="1"/>
    <col min="12" max="12" width="5.5703125" bestFit="1" customWidth="1"/>
    <col min="13" max="13" width="21" bestFit="1" customWidth="1"/>
    <col min="17" max="17" width="11.140625" customWidth="1"/>
    <col min="22" max="22" width="12.7109375" customWidth="1"/>
    <col min="27" max="27" width="12.140625" customWidth="1"/>
    <col min="28" max="28" width="4.5703125" bestFit="1" customWidth="1"/>
    <col min="29" max="29" width="6.7109375" bestFit="1" customWidth="1"/>
    <col min="30" max="30" width="5.5703125" bestFit="1" customWidth="1"/>
    <col min="31" max="31" width="24.28515625" bestFit="1" customWidth="1"/>
    <col min="33" max="33" width="11.42578125" customWidth="1"/>
    <col min="34" max="36" width="6.85546875" customWidth="1"/>
    <col min="37" max="37" width="22.7109375" bestFit="1" customWidth="1"/>
    <col min="42" max="42" width="11.85546875" customWidth="1"/>
    <col min="72" max="72" width="41.140625" bestFit="1" customWidth="1"/>
  </cols>
  <sheetData>
    <row r="1" spans="1:76" s="3" customFormat="1" x14ac:dyDescent="0.25">
      <c r="A1" s="2" t="s">
        <v>0</v>
      </c>
      <c r="B1" s="2" t="s">
        <v>139</v>
      </c>
      <c r="C1" s="9" t="s">
        <v>231</v>
      </c>
      <c r="D1" s="2" t="s">
        <v>1</v>
      </c>
      <c r="E1" s="2" t="s">
        <v>2</v>
      </c>
      <c r="F1" s="2" t="s">
        <v>140</v>
      </c>
      <c r="G1" s="2" t="s">
        <v>141</v>
      </c>
      <c r="H1" s="9" t="s">
        <v>593</v>
      </c>
      <c r="I1" s="2" t="s">
        <v>142</v>
      </c>
      <c r="J1" s="12" t="s">
        <v>589</v>
      </c>
      <c r="K1" s="12" t="s">
        <v>590</v>
      </c>
      <c r="L1" s="12" t="s">
        <v>591</v>
      </c>
      <c r="M1" s="9" t="s">
        <v>592</v>
      </c>
      <c r="N1" s="2" t="s">
        <v>143</v>
      </c>
      <c r="O1" s="2" t="s">
        <v>3</v>
      </c>
      <c r="P1" s="2" t="s">
        <v>212</v>
      </c>
      <c r="Q1" s="2" t="s">
        <v>213</v>
      </c>
      <c r="R1" s="2" t="s">
        <v>144</v>
      </c>
      <c r="S1" s="2" t="s">
        <v>145</v>
      </c>
      <c r="T1" s="2" t="s">
        <v>146</v>
      </c>
      <c r="U1" s="2" t="s">
        <v>147</v>
      </c>
      <c r="V1" s="2" t="s">
        <v>148</v>
      </c>
      <c r="W1" s="2" t="s">
        <v>149</v>
      </c>
      <c r="X1" s="2" t="s">
        <v>150</v>
      </c>
      <c r="Y1" s="2" t="s">
        <v>151</v>
      </c>
      <c r="Z1" s="2" t="s">
        <v>152</v>
      </c>
      <c r="AA1" s="2" t="s">
        <v>153</v>
      </c>
      <c r="AB1" s="12" t="s">
        <v>589</v>
      </c>
      <c r="AC1" s="12" t="s">
        <v>590</v>
      </c>
      <c r="AD1" s="12" t="s">
        <v>591</v>
      </c>
      <c r="AE1" s="9" t="s">
        <v>594</v>
      </c>
      <c r="AF1" s="2" t="s">
        <v>154</v>
      </c>
      <c r="AG1" s="2" t="s">
        <v>155</v>
      </c>
      <c r="AH1" s="12" t="s">
        <v>589</v>
      </c>
      <c r="AI1" s="12" t="s">
        <v>590</v>
      </c>
      <c r="AJ1" s="12" t="s">
        <v>591</v>
      </c>
      <c r="AK1" s="9" t="s">
        <v>595</v>
      </c>
      <c r="AL1" s="2" t="s">
        <v>156</v>
      </c>
      <c r="AM1" s="2" t="s">
        <v>157</v>
      </c>
      <c r="AN1" s="2" t="s">
        <v>158</v>
      </c>
      <c r="AO1" s="2" t="s">
        <v>159</v>
      </c>
      <c r="AP1" s="2" t="s">
        <v>160</v>
      </c>
      <c r="AQ1" s="2" t="s">
        <v>161</v>
      </c>
      <c r="AR1" s="2" t="s">
        <v>162</v>
      </c>
      <c r="AS1" s="2" t="s">
        <v>163</v>
      </c>
      <c r="AT1" s="2" t="s">
        <v>164</v>
      </c>
      <c r="AU1" s="6" t="s">
        <v>165</v>
      </c>
      <c r="AV1" s="2" t="s">
        <v>166</v>
      </c>
      <c r="AW1" s="2" t="s">
        <v>167</v>
      </c>
      <c r="AX1" s="2" t="s">
        <v>168</v>
      </c>
      <c r="AY1" s="2" t="s">
        <v>169</v>
      </c>
      <c r="AZ1" s="2" t="s">
        <v>170</v>
      </c>
      <c r="BA1" s="6" t="s">
        <v>171</v>
      </c>
      <c r="BB1" s="2" t="s">
        <v>172</v>
      </c>
      <c r="BC1" s="2" t="s">
        <v>173</v>
      </c>
      <c r="BD1" s="2" t="s">
        <v>174</v>
      </c>
      <c r="BE1" s="2" t="s">
        <v>175</v>
      </c>
      <c r="BF1" s="2" t="s">
        <v>176</v>
      </c>
      <c r="BG1" s="6" t="s">
        <v>177</v>
      </c>
      <c r="BH1" s="2" t="s">
        <v>178</v>
      </c>
      <c r="BI1" s="2" t="s">
        <v>179</v>
      </c>
      <c r="BJ1" s="2" t="s">
        <v>180</v>
      </c>
      <c r="BK1" s="2" t="s">
        <v>181</v>
      </c>
      <c r="BL1" s="2" t="s">
        <v>182</v>
      </c>
      <c r="BM1" s="2" t="s">
        <v>183</v>
      </c>
      <c r="BN1" s="2" t="s">
        <v>184</v>
      </c>
      <c r="BO1" s="2" t="s">
        <v>185</v>
      </c>
      <c r="BP1" s="2" t="s">
        <v>4</v>
      </c>
      <c r="BQ1" s="2" t="s">
        <v>186</v>
      </c>
      <c r="BR1" s="2" t="s">
        <v>187</v>
      </c>
      <c r="BS1" s="2" t="s">
        <v>188</v>
      </c>
      <c r="BT1" s="2" t="s">
        <v>596</v>
      </c>
      <c r="BU1" s="2" t="s">
        <v>190</v>
      </c>
      <c r="BV1" s="2" t="s">
        <v>597</v>
      </c>
      <c r="BW1" s="2" t="s">
        <v>192</v>
      </c>
      <c r="BX1" s="2" t="s">
        <v>193</v>
      </c>
    </row>
    <row r="2" spans="1:76" s="11" customFormat="1" x14ac:dyDescent="0.25">
      <c r="A2" s="11">
        <v>201011</v>
      </c>
      <c r="B2" s="54" t="s">
        <v>2873</v>
      </c>
      <c r="C2" s="11" t="s">
        <v>14</v>
      </c>
      <c r="D2" s="55" t="s">
        <v>1844</v>
      </c>
      <c r="E2" s="55" t="s">
        <v>1844</v>
      </c>
      <c r="F2" s="11">
        <v>1</v>
      </c>
      <c r="G2" s="11" t="s">
        <v>2886</v>
      </c>
      <c r="H2" s="11" t="s">
        <v>2887</v>
      </c>
      <c r="I2" s="13">
        <v>40552</v>
      </c>
      <c r="J2" s="11">
        <v>9</v>
      </c>
      <c r="K2" s="11">
        <v>1</v>
      </c>
      <c r="L2" s="11">
        <v>2011</v>
      </c>
      <c r="M2" s="13" t="s">
        <v>2909</v>
      </c>
      <c r="N2" s="11" t="s">
        <v>12</v>
      </c>
      <c r="O2" s="11" t="s">
        <v>19</v>
      </c>
      <c r="P2" s="39" t="s">
        <v>588</v>
      </c>
      <c r="Q2" s="39" t="s">
        <v>588</v>
      </c>
      <c r="R2" s="11" t="s">
        <v>588</v>
      </c>
      <c r="S2" s="11" t="s">
        <v>588</v>
      </c>
      <c r="T2" s="11">
        <v>3</v>
      </c>
      <c r="U2" s="11">
        <v>3</v>
      </c>
      <c r="V2" s="13" t="s">
        <v>588</v>
      </c>
      <c r="W2" s="11" t="s">
        <v>588</v>
      </c>
      <c r="X2" s="11">
        <v>2</v>
      </c>
      <c r="Y2" s="11">
        <v>2</v>
      </c>
      <c r="Z2" s="11" t="s">
        <v>8</v>
      </c>
      <c r="AA2" s="13">
        <v>40561</v>
      </c>
      <c r="AB2" s="11">
        <v>18</v>
      </c>
      <c r="AC2" s="11">
        <v>1</v>
      </c>
      <c r="AD2" s="11">
        <v>2011</v>
      </c>
      <c r="AE2" s="13" t="s">
        <v>2905</v>
      </c>
      <c r="AF2" s="11" t="s">
        <v>12</v>
      </c>
      <c r="AG2" s="13" t="s">
        <v>588</v>
      </c>
      <c r="AH2" s="11" t="s">
        <v>588</v>
      </c>
      <c r="AI2" s="11" t="s">
        <v>588</v>
      </c>
      <c r="AJ2" s="11" t="s">
        <v>588</v>
      </c>
      <c r="AK2" s="13" t="s">
        <v>588</v>
      </c>
      <c r="AL2" s="11" t="s">
        <v>588</v>
      </c>
      <c r="AM2" s="13" t="s">
        <v>588</v>
      </c>
      <c r="AN2" s="11" t="s">
        <v>588</v>
      </c>
      <c r="AO2" s="13" t="s">
        <v>588</v>
      </c>
      <c r="AP2" s="29">
        <v>40585</v>
      </c>
      <c r="AQ2" s="13" t="s">
        <v>21</v>
      </c>
      <c r="AR2" s="48" t="s">
        <v>2126</v>
      </c>
      <c r="AS2" s="11">
        <v>3</v>
      </c>
      <c r="AT2" s="11">
        <v>3</v>
      </c>
      <c r="AU2" s="29">
        <v>40601</v>
      </c>
      <c r="AV2" s="47" t="s">
        <v>1996</v>
      </c>
      <c r="AW2" s="13" t="s">
        <v>588</v>
      </c>
      <c r="AX2" s="13" t="s">
        <v>588</v>
      </c>
      <c r="AY2" s="13" t="s">
        <v>588</v>
      </c>
      <c r="AZ2" s="13" t="s">
        <v>588</v>
      </c>
      <c r="BA2" s="29">
        <v>40601</v>
      </c>
      <c r="BB2" s="47" t="s">
        <v>1996</v>
      </c>
      <c r="BC2" s="13" t="s">
        <v>588</v>
      </c>
      <c r="BD2" s="13" t="s">
        <v>588</v>
      </c>
      <c r="BE2" s="13" t="s">
        <v>588</v>
      </c>
      <c r="BF2" s="13" t="s">
        <v>588</v>
      </c>
      <c r="BG2" s="29">
        <v>40601</v>
      </c>
      <c r="BH2" s="47" t="s">
        <v>1996</v>
      </c>
      <c r="BI2" s="13" t="s">
        <v>588</v>
      </c>
      <c r="BJ2" s="13" t="s">
        <v>588</v>
      </c>
      <c r="BK2" s="13" t="s">
        <v>588</v>
      </c>
      <c r="BL2" s="13" t="s">
        <v>588</v>
      </c>
      <c r="BM2" s="11">
        <v>3</v>
      </c>
      <c r="BN2" s="11">
        <v>3</v>
      </c>
      <c r="BO2" s="13" t="s">
        <v>8</v>
      </c>
      <c r="BP2" s="11">
        <v>3</v>
      </c>
      <c r="BQ2" s="13" t="s">
        <v>588</v>
      </c>
      <c r="BR2" s="13" t="s">
        <v>588</v>
      </c>
      <c r="BS2" s="11" t="s">
        <v>41</v>
      </c>
      <c r="BT2" s="11" t="s">
        <v>42</v>
      </c>
      <c r="BU2" s="11" t="s">
        <v>41</v>
      </c>
      <c r="BV2" s="11" t="s">
        <v>42</v>
      </c>
      <c r="BW2" s="13" t="s">
        <v>588</v>
      </c>
      <c r="BX2" s="13" t="s">
        <v>588</v>
      </c>
    </row>
    <row r="3" spans="1:76" s="11" customFormat="1" x14ac:dyDescent="0.25">
      <c r="A3" s="11">
        <v>201011</v>
      </c>
      <c r="B3" s="11" t="s">
        <v>45</v>
      </c>
      <c r="C3" s="11" t="s">
        <v>45</v>
      </c>
      <c r="D3" s="55" t="s">
        <v>2874</v>
      </c>
      <c r="E3" s="48" t="s">
        <v>2875</v>
      </c>
      <c r="F3" s="11">
        <v>1</v>
      </c>
      <c r="G3" s="11" t="s">
        <v>2888</v>
      </c>
      <c r="H3" s="11" t="s">
        <v>2888</v>
      </c>
      <c r="I3" s="36">
        <v>40486</v>
      </c>
      <c r="J3" s="11">
        <v>4</v>
      </c>
      <c r="K3" s="11">
        <v>11</v>
      </c>
      <c r="L3" s="11">
        <v>2010</v>
      </c>
      <c r="M3" s="13" t="s">
        <v>2910</v>
      </c>
      <c r="N3" s="11" t="s">
        <v>17</v>
      </c>
      <c r="O3" s="11" t="s">
        <v>36</v>
      </c>
      <c r="P3" s="39" t="s">
        <v>588</v>
      </c>
      <c r="Q3" s="39" t="s">
        <v>588</v>
      </c>
      <c r="R3" s="11" t="s">
        <v>588</v>
      </c>
      <c r="S3" s="11" t="s">
        <v>588</v>
      </c>
      <c r="T3" s="11">
        <v>2</v>
      </c>
      <c r="U3" s="11">
        <v>3</v>
      </c>
      <c r="V3" s="13" t="s">
        <v>588</v>
      </c>
      <c r="W3" s="11" t="s">
        <v>588</v>
      </c>
      <c r="X3" s="11">
        <v>3</v>
      </c>
      <c r="Y3" s="11">
        <v>2</v>
      </c>
      <c r="Z3" s="11" t="s">
        <v>41</v>
      </c>
      <c r="AA3" s="36">
        <v>40486</v>
      </c>
      <c r="AB3" s="11">
        <v>4</v>
      </c>
      <c r="AC3" s="11">
        <v>11</v>
      </c>
      <c r="AD3" s="11">
        <v>2010</v>
      </c>
      <c r="AE3" s="13" t="s">
        <v>2910</v>
      </c>
      <c r="AF3" s="11" t="s">
        <v>17</v>
      </c>
      <c r="AG3" s="13">
        <v>40500</v>
      </c>
      <c r="AH3" s="11">
        <v>18</v>
      </c>
      <c r="AI3" s="11">
        <v>11</v>
      </c>
      <c r="AJ3" s="11">
        <v>2010</v>
      </c>
      <c r="AK3" s="13" t="s">
        <v>2922</v>
      </c>
      <c r="AL3" s="11" t="s">
        <v>17</v>
      </c>
      <c r="AM3" s="13" t="s">
        <v>41</v>
      </c>
      <c r="AN3" s="11" t="s">
        <v>41</v>
      </c>
      <c r="AO3" s="13" t="s">
        <v>20</v>
      </c>
      <c r="AP3" s="11" t="s">
        <v>588</v>
      </c>
      <c r="AQ3" s="13" t="s">
        <v>588</v>
      </c>
      <c r="AR3" s="11" t="s">
        <v>588</v>
      </c>
      <c r="AS3" s="11" t="s">
        <v>588</v>
      </c>
      <c r="AT3" s="11" t="s">
        <v>588</v>
      </c>
      <c r="AU3" s="13" t="s">
        <v>588</v>
      </c>
      <c r="AV3" s="11" t="s">
        <v>588</v>
      </c>
      <c r="AW3" s="13" t="s">
        <v>588</v>
      </c>
      <c r="AX3" s="11" t="s">
        <v>588</v>
      </c>
      <c r="AY3" s="13" t="s">
        <v>588</v>
      </c>
      <c r="AZ3" s="11" t="s">
        <v>588</v>
      </c>
      <c r="BA3" s="13" t="s">
        <v>588</v>
      </c>
      <c r="BB3" s="11" t="s">
        <v>588</v>
      </c>
      <c r="BC3" s="13" t="s">
        <v>588</v>
      </c>
      <c r="BD3" s="11" t="s">
        <v>588</v>
      </c>
      <c r="BE3" s="13" t="s">
        <v>588</v>
      </c>
      <c r="BF3" s="11" t="s">
        <v>588</v>
      </c>
      <c r="BG3" s="13" t="s">
        <v>588</v>
      </c>
      <c r="BH3" s="11" t="s">
        <v>588</v>
      </c>
      <c r="BI3" s="13" t="s">
        <v>588</v>
      </c>
      <c r="BJ3" s="11" t="s">
        <v>588</v>
      </c>
      <c r="BK3" s="13" t="s">
        <v>588</v>
      </c>
      <c r="BL3" s="11" t="s">
        <v>588</v>
      </c>
      <c r="BM3" s="11" t="s">
        <v>588</v>
      </c>
      <c r="BN3" s="11" t="s">
        <v>588</v>
      </c>
      <c r="BO3" s="13" t="s">
        <v>588</v>
      </c>
      <c r="BP3" s="11" t="s">
        <v>588</v>
      </c>
      <c r="BQ3" s="13" t="s">
        <v>588</v>
      </c>
      <c r="BR3" s="11" t="s">
        <v>588</v>
      </c>
      <c r="BS3" s="11" t="s">
        <v>41</v>
      </c>
      <c r="BT3" s="11" t="s">
        <v>42</v>
      </c>
      <c r="BU3" s="48" t="s">
        <v>588</v>
      </c>
      <c r="BV3" s="48" t="s">
        <v>588</v>
      </c>
      <c r="BW3" s="48" t="s">
        <v>588</v>
      </c>
      <c r="BX3" s="48" t="s">
        <v>588</v>
      </c>
    </row>
    <row r="4" spans="1:76" s="11" customFormat="1" x14ac:dyDescent="0.25">
      <c r="A4" s="11">
        <v>201011</v>
      </c>
      <c r="B4" s="11" t="s">
        <v>45</v>
      </c>
      <c r="C4" s="11" t="s">
        <v>45</v>
      </c>
      <c r="D4" s="55" t="s">
        <v>2874</v>
      </c>
      <c r="E4" s="48" t="s">
        <v>2875</v>
      </c>
      <c r="F4" s="11">
        <v>2</v>
      </c>
      <c r="G4" s="11" t="s">
        <v>2889</v>
      </c>
      <c r="H4" s="11" t="s">
        <v>2889</v>
      </c>
      <c r="I4" s="13">
        <v>40526</v>
      </c>
      <c r="J4" s="11">
        <v>14</v>
      </c>
      <c r="K4" s="11">
        <v>12</v>
      </c>
      <c r="L4" s="11">
        <v>2010</v>
      </c>
      <c r="M4" s="13" t="s">
        <v>2911</v>
      </c>
      <c r="N4" s="11" t="s">
        <v>7</v>
      </c>
      <c r="O4" s="11" t="s">
        <v>36</v>
      </c>
      <c r="P4" s="11">
        <v>-3840.1309999999999</v>
      </c>
      <c r="Q4" s="11" t="s">
        <v>2876</v>
      </c>
      <c r="R4" s="11" t="s">
        <v>588</v>
      </c>
      <c r="S4" s="11" t="s">
        <v>588</v>
      </c>
      <c r="T4" s="11">
        <v>1</v>
      </c>
      <c r="U4" s="11">
        <v>3</v>
      </c>
      <c r="V4" s="11" t="s">
        <v>588</v>
      </c>
      <c r="W4" s="11" t="s">
        <v>588</v>
      </c>
      <c r="X4" s="11">
        <v>3</v>
      </c>
      <c r="Y4" s="11">
        <v>2</v>
      </c>
      <c r="Z4" s="11" t="s">
        <v>41</v>
      </c>
      <c r="AA4" s="13">
        <v>40526</v>
      </c>
      <c r="AB4" s="11">
        <v>14</v>
      </c>
      <c r="AC4" s="11">
        <v>12</v>
      </c>
      <c r="AD4" s="11">
        <v>2010</v>
      </c>
      <c r="AE4" s="13" t="s">
        <v>2911</v>
      </c>
      <c r="AF4" s="11" t="s">
        <v>7</v>
      </c>
      <c r="AG4" s="13">
        <v>40538</v>
      </c>
      <c r="AH4" s="11">
        <v>26</v>
      </c>
      <c r="AI4" s="11">
        <v>12</v>
      </c>
      <c r="AJ4" s="11">
        <v>2010</v>
      </c>
      <c r="AK4" s="13" t="s">
        <v>2923</v>
      </c>
      <c r="AL4" s="11" t="s">
        <v>7</v>
      </c>
      <c r="AM4" s="13" t="s">
        <v>41</v>
      </c>
      <c r="AN4" s="11" t="s">
        <v>41</v>
      </c>
      <c r="AO4" s="13" t="s">
        <v>20</v>
      </c>
      <c r="AP4" s="11" t="s">
        <v>588</v>
      </c>
      <c r="AQ4" s="13" t="s">
        <v>588</v>
      </c>
      <c r="AR4" s="11" t="s">
        <v>588</v>
      </c>
      <c r="AS4" s="11" t="s">
        <v>588</v>
      </c>
      <c r="AT4" s="11" t="s">
        <v>588</v>
      </c>
      <c r="AU4" s="13" t="s">
        <v>588</v>
      </c>
      <c r="AV4" s="11" t="s">
        <v>588</v>
      </c>
      <c r="AW4" s="13" t="s">
        <v>588</v>
      </c>
      <c r="AX4" s="11" t="s">
        <v>588</v>
      </c>
      <c r="AY4" s="13" t="s">
        <v>588</v>
      </c>
      <c r="AZ4" s="11" t="s">
        <v>588</v>
      </c>
      <c r="BA4" s="13" t="s">
        <v>588</v>
      </c>
      <c r="BB4" s="11" t="s">
        <v>588</v>
      </c>
      <c r="BC4" s="13" t="s">
        <v>588</v>
      </c>
      <c r="BD4" s="11" t="s">
        <v>588</v>
      </c>
      <c r="BE4" s="13" t="s">
        <v>588</v>
      </c>
      <c r="BF4" s="11" t="s">
        <v>588</v>
      </c>
      <c r="BG4" s="13" t="s">
        <v>588</v>
      </c>
      <c r="BH4" s="11" t="s">
        <v>588</v>
      </c>
      <c r="BI4" s="13" t="s">
        <v>588</v>
      </c>
      <c r="BJ4" s="11" t="s">
        <v>588</v>
      </c>
      <c r="BK4" s="13" t="s">
        <v>588</v>
      </c>
      <c r="BL4" s="11" t="s">
        <v>588</v>
      </c>
      <c r="BM4" s="11" t="s">
        <v>588</v>
      </c>
      <c r="BN4" s="11" t="s">
        <v>588</v>
      </c>
      <c r="BO4" s="13" t="s">
        <v>588</v>
      </c>
      <c r="BP4" s="11" t="s">
        <v>588</v>
      </c>
      <c r="BQ4" s="13" t="s">
        <v>588</v>
      </c>
      <c r="BR4" s="11" t="s">
        <v>588</v>
      </c>
      <c r="BS4" s="11" t="s">
        <v>41</v>
      </c>
      <c r="BT4" s="11" t="s">
        <v>42</v>
      </c>
      <c r="BU4" s="13" t="s">
        <v>588</v>
      </c>
      <c r="BV4" s="11" t="s">
        <v>588</v>
      </c>
      <c r="BW4" s="13" t="s">
        <v>588</v>
      </c>
      <c r="BX4" s="11" t="s">
        <v>588</v>
      </c>
    </row>
    <row r="5" spans="1:76" s="11" customFormat="1" x14ac:dyDescent="0.25">
      <c r="A5" s="11">
        <v>201011</v>
      </c>
      <c r="B5" s="11" t="s">
        <v>45</v>
      </c>
      <c r="C5" s="11" t="s">
        <v>45</v>
      </c>
      <c r="D5" s="55" t="s">
        <v>2874</v>
      </c>
      <c r="E5" s="48" t="s">
        <v>2875</v>
      </c>
      <c r="F5" s="11">
        <v>3</v>
      </c>
      <c r="G5" s="11" t="s">
        <v>2890</v>
      </c>
      <c r="H5" s="11" t="s">
        <v>2890</v>
      </c>
      <c r="I5" s="13">
        <v>40580</v>
      </c>
      <c r="J5" s="11">
        <v>6</v>
      </c>
      <c r="K5" s="11">
        <v>2</v>
      </c>
      <c r="L5" s="11">
        <v>2011</v>
      </c>
      <c r="M5" s="13" t="s">
        <v>2912</v>
      </c>
      <c r="N5" s="11" t="s">
        <v>21</v>
      </c>
      <c r="O5" s="48" t="s">
        <v>51</v>
      </c>
      <c r="P5" s="39" t="s">
        <v>588</v>
      </c>
      <c r="Q5" s="39" t="s">
        <v>588</v>
      </c>
      <c r="R5" s="11" t="s">
        <v>588</v>
      </c>
      <c r="S5" s="11" t="s">
        <v>588</v>
      </c>
      <c r="T5" s="11">
        <v>3</v>
      </c>
      <c r="U5" s="11">
        <v>3</v>
      </c>
      <c r="V5" s="13" t="s">
        <v>588</v>
      </c>
      <c r="W5" s="11" t="s">
        <v>588</v>
      </c>
      <c r="X5" s="11">
        <v>6</v>
      </c>
      <c r="Y5" s="11">
        <v>6</v>
      </c>
      <c r="Z5" s="11" t="s">
        <v>8</v>
      </c>
      <c r="AA5" s="29">
        <v>40585</v>
      </c>
      <c r="AB5" s="11">
        <v>11</v>
      </c>
      <c r="AC5" s="11">
        <v>2</v>
      </c>
      <c r="AD5" s="11">
        <v>2011</v>
      </c>
      <c r="AE5" s="13" t="s">
        <v>2914</v>
      </c>
      <c r="AF5" s="11" t="s">
        <v>21</v>
      </c>
      <c r="AG5" s="13" t="s">
        <v>588</v>
      </c>
      <c r="AH5" s="11" t="s">
        <v>588</v>
      </c>
      <c r="AI5" s="11" t="s">
        <v>588</v>
      </c>
      <c r="AJ5" s="11" t="s">
        <v>588</v>
      </c>
      <c r="AK5" s="13" t="s">
        <v>588</v>
      </c>
      <c r="AL5" s="11" t="s">
        <v>588</v>
      </c>
      <c r="AM5" s="48" t="s">
        <v>588</v>
      </c>
      <c r="AN5" s="48" t="s">
        <v>588</v>
      </c>
      <c r="AO5" s="13" t="s">
        <v>588</v>
      </c>
      <c r="AP5" s="29">
        <v>40591</v>
      </c>
      <c r="AQ5" s="13" t="s">
        <v>21</v>
      </c>
      <c r="AR5" s="13" t="s">
        <v>2126</v>
      </c>
      <c r="AS5" s="11">
        <v>2</v>
      </c>
      <c r="AT5" s="11">
        <v>3</v>
      </c>
      <c r="AU5" s="29">
        <v>40620</v>
      </c>
      <c r="AV5" s="47" t="s">
        <v>1996</v>
      </c>
      <c r="AW5" s="13" t="s">
        <v>588</v>
      </c>
      <c r="AX5" s="13" t="s">
        <v>588</v>
      </c>
      <c r="AY5" s="13" t="s">
        <v>588</v>
      </c>
      <c r="AZ5" s="13" t="s">
        <v>588</v>
      </c>
      <c r="BA5" s="29">
        <v>40620</v>
      </c>
      <c r="BB5" s="47" t="s">
        <v>1996</v>
      </c>
      <c r="BC5" s="13" t="s">
        <v>588</v>
      </c>
      <c r="BD5" s="13" t="s">
        <v>588</v>
      </c>
      <c r="BE5" s="13" t="s">
        <v>588</v>
      </c>
      <c r="BF5" s="13" t="s">
        <v>588</v>
      </c>
      <c r="BG5" s="29">
        <v>40620</v>
      </c>
      <c r="BH5" s="47" t="s">
        <v>1996</v>
      </c>
      <c r="BI5" s="13" t="s">
        <v>588</v>
      </c>
      <c r="BJ5" s="13" t="s">
        <v>588</v>
      </c>
      <c r="BK5" s="13" t="s">
        <v>588</v>
      </c>
      <c r="BL5" s="13" t="s">
        <v>588</v>
      </c>
      <c r="BM5" s="11">
        <v>3</v>
      </c>
      <c r="BN5" s="11">
        <v>3</v>
      </c>
      <c r="BO5" s="13" t="s">
        <v>647</v>
      </c>
      <c r="BP5" s="11">
        <v>2</v>
      </c>
      <c r="BQ5" s="29">
        <v>40614</v>
      </c>
      <c r="BR5" s="13" t="s">
        <v>22</v>
      </c>
      <c r="BS5" s="11" t="s">
        <v>41</v>
      </c>
      <c r="BT5" s="11" t="s">
        <v>42</v>
      </c>
      <c r="BU5" s="11" t="s">
        <v>41</v>
      </c>
      <c r="BV5" s="11" t="s">
        <v>42</v>
      </c>
      <c r="BW5" s="13" t="s">
        <v>588</v>
      </c>
      <c r="BX5" s="13" t="s">
        <v>588</v>
      </c>
    </row>
    <row r="6" spans="1:76" s="11" customFormat="1" x14ac:dyDescent="0.25">
      <c r="A6" s="11">
        <v>201011</v>
      </c>
      <c r="B6" s="11" t="s">
        <v>23</v>
      </c>
      <c r="C6" s="11" t="s">
        <v>23</v>
      </c>
      <c r="D6" s="11" t="s">
        <v>2877</v>
      </c>
      <c r="E6" s="48" t="s">
        <v>1844</v>
      </c>
      <c r="F6" s="11">
        <v>1</v>
      </c>
      <c r="G6" s="11" t="s">
        <v>2891</v>
      </c>
      <c r="H6" s="11" t="s">
        <v>2891</v>
      </c>
      <c r="I6" s="13">
        <v>40475</v>
      </c>
      <c r="J6" s="11">
        <v>24</v>
      </c>
      <c r="K6" s="11">
        <v>10</v>
      </c>
      <c r="L6" s="11">
        <v>2010</v>
      </c>
      <c r="M6" s="13" t="s">
        <v>2913</v>
      </c>
      <c r="N6" s="11" t="s">
        <v>29</v>
      </c>
      <c r="O6" s="48" t="s">
        <v>36</v>
      </c>
      <c r="P6" s="11" t="s">
        <v>588</v>
      </c>
      <c r="Q6" s="11" t="s">
        <v>588</v>
      </c>
      <c r="R6" s="11" t="s">
        <v>588</v>
      </c>
      <c r="S6" s="11" t="s">
        <v>588</v>
      </c>
      <c r="T6" s="11">
        <v>3</v>
      </c>
      <c r="U6" s="11">
        <v>3</v>
      </c>
      <c r="V6" s="13" t="s">
        <v>588</v>
      </c>
      <c r="W6" s="11" t="s">
        <v>588</v>
      </c>
      <c r="X6" s="11">
        <v>7</v>
      </c>
      <c r="Y6" s="11">
        <v>7</v>
      </c>
      <c r="Z6" s="11" t="s">
        <v>41</v>
      </c>
      <c r="AA6" s="13">
        <v>40506</v>
      </c>
      <c r="AB6" s="11">
        <v>24</v>
      </c>
      <c r="AC6" s="11">
        <v>11</v>
      </c>
      <c r="AD6" s="11">
        <v>2010</v>
      </c>
      <c r="AE6" s="13" t="s">
        <v>2924</v>
      </c>
      <c r="AF6" s="11" t="s">
        <v>17</v>
      </c>
      <c r="AG6" s="13">
        <v>40511</v>
      </c>
      <c r="AH6" s="11">
        <v>29</v>
      </c>
      <c r="AI6" s="11">
        <v>11</v>
      </c>
      <c r="AJ6" s="11">
        <v>2010</v>
      </c>
      <c r="AK6" s="13" t="s">
        <v>2925</v>
      </c>
      <c r="AL6" s="11" t="s">
        <v>17</v>
      </c>
      <c r="AM6" s="13" t="s">
        <v>41</v>
      </c>
      <c r="AN6" s="11" t="s">
        <v>8</v>
      </c>
      <c r="AO6" s="48" t="s">
        <v>11</v>
      </c>
      <c r="AP6" s="13" t="s">
        <v>588</v>
      </c>
      <c r="AQ6" s="13" t="s">
        <v>588</v>
      </c>
      <c r="AR6" s="11" t="s">
        <v>588</v>
      </c>
      <c r="AS6" s="11" t="s">
        <v>588</v>
      </c>
      <c r="AT6" s="11" t="s">
        <v>588</v>
      </c>
      <c r="AU6" s="13" t="s">
        <v>588</v>
      </c>
      <c r="AV6" s="13" t="s">
        <v>588</v>
      </c>
      <c r="AW6" s="13" t="s">
        <v>588</v>
      </c>
      <c r="AX6" s="13" t="s">
        <v>588</v>
      </c>
      <c r="AY6" s="13" t="s">
        <v>588</v>
      </c>
      <c r="AZ6" s="13" t="s">
        <v>588</v>
      </c>
      <c r="BA6" s="13" t="s">
        <v>588</v>
      </c>
      <c r="BB6" s="13" t="s">
        <v>588</v>
      </c>
      <c r="BC6" s="13" t="s">
        <v>588</v>
      </c>
      <c r="BD6" s="13" t="s">
        <v>588</v>
      </c>
      <c r="BE6" s="13" t="s">
        <v>588</v>
      </c>
      <c r="BF6" s="13" t="s">
        <v>588</v>
      </c>
      <c r="BG6" s="13" t="s">
        <v>588</v>
      </c>
      <c r="BH6" s="13" t="s">
        <v>588</v>
      </c>
      <c r="BI6" s="13" t="s">
        <v>588</v>
      </c>
      <c r="BJ6" s="13" t="s">
        <v>588</v>
      </c>
      <c r="BK6" s="13" t="s">
        <v>588</v>
      </c>
      <c r="BL6" s="13" t="s">
        <v>588</v>
      </c>
      <c r="BM6" s="11" t="s">
        <v>588</v>
      </c>
      <c r="BN6" s="11" t="s">
        <v>588</v>
      </c>
      <c r="BO6" s="13" t="s">
        <v>588</v>
      </c>
      <c r="BP6" s="11" t="s">
        <v>588</v>
      </c>
      <c r="BQ6" s="13" t="s">
        <v>588</v>
      </c>
      <c r="BR6" s="13" t="s">
        <v>588</v>
      </c>
      <c r="BS6" s="11" t="s">
        <v>8</v>
      </c>
      <c r="BT6" s="50" t="s">
        <v>2664</v>
      </c>
      <c r="BU6" s="11" t="s">
        <v>588</v>
      </c>
      <c r="BV6" s="11" t="s">
        <v>588</v>
      </c>
      <c r="BW6" s="13" t="s">
        <v>588</v>
      </c>
      <c r="BX6" s="13" t="s">
        <v>588</v>
      </c>
    </row>
    <row r="7" spans="1:76" s="11" customFormat="1" x14ac:dyDescent="0.25">
      <c r="A7" s="11">
        <v>201011</v>
      </c>
      <c r="B7" s="11" t="s">
        <v>23</v>
      </c>
      <c r="C7" s="11" t="s">
        <v>23</v>
      </c>
      <c r="D7" s="48" t="s">
        <v>1844</v>
      </c>
      <c r="E7" s="48" t="s">
        <v>1844</v>
      </c>
      <c r="F7" s="11">
        <v>2</v>
      </c>
      <c r="G7" s="11" t="s">
        <v>2892</v>
      </c>
      <c r="H7" s="11" t="s">
        <v>2892</v>
      </c>
      <c r="I7" s="13">
        <v>40552</v>
      </c>
      <c r="J7" s="11">
        <v>9</v>
      </c>
      <c r="K7" s="11">
        <v>1</v>
      </c>
      <c r="L7" s="11">
        <v>2011</v>
      </c>
      <c r="M7" s="13" t="s">
        <v>2909</v>
      </c>
      <c r="N7" s="11" t="s">
        <v>12</v>
      </c>
      <c r="O7" s="48" t="s">
        <v>2126</v>
      </c>
      <c r="P7" s="11" t="s">
        <v>588</v>
      </c>
      <c r="Q7" s="11" t="s">
        <v>588</v>
      </c>
      <c r="R7" s="11" t="s">
        <v>588</v>
      </c>
      <c r="S7" s="11" t="s">
        <v>588</v>
      </c>
      <c r="T7" s="11">
        <v>3</v>
      </c>
      <c r="U7" s="11">
        <v>3</v>
      </c>
      <c r="V7" s="13" t="s">
        <v>588</v>
      </c>
      <c r="W7" s="11" t="s">
        <v>588</v>
      </c>
      <c r="X7" s="11">
        <v>6</v>
      </c>
      <c r="Y7" s="11">
        <v>6</v>
      </c>
      <c r="Z7" s="11" t="s">
        <v>41</v>
      </c>
      <c r="AA7" s="13">
        <v>40561</v>
      </c>
      <c r="AB7" s="11">
        <v>18</v>
      </c>
      <c r="AC7" s="11">
        <v>1</v>
      </c>
      <c r="AD7" s="11">
        <v>2011</v>
      </c>
      <c r="AE7" s="13" t="s">
        <v>2905</v>
      </c>
      <c r="AF7" s="11" t="s">
        <v>12</v>
      </c>
      <c r="AG7" s="13">
        <v>40569</v>
      </c>
      <c r="AH7" s="11">
        <v>26</v>
      </c>
      <c r="AI7" s="11">
        <v>1</v>
      </c>
      <c r="AJ7" s="11">
        <v>2011</v>
      </c>
      <c r="AK7" s="13" t="s">
        <v>2908</v>
      </c>
      <c r="AL7" s="11" t="s">
        <v>12</v>
      </c>
      <c r="AM7" s="13" t="s">
        <v>41</v>
      </c>
      <c r="AN7" s="13" t="s">
        <v>8</v>
      </c>
      <c r="AO7" s="48" t="s">
        <v>11</v>
      </c>
      <c r="AP7" s="13" t="s">
        <v>588</v>
      </c>
      <c r="AQ7" s="13" t="s">
        <v>588</v>
      </c>
      <c r="AR7" s="13" t="s">
        <v>588</v>
      </c>
      <c r="AS7" s="11" t="s">
        <v>588</v>
      </c>
      <c r="AT7" s="11" t="s">
        <v>588</v>
      </c>
      <c r="AU7" s="13" t="s">
        <v>588</v>
      </c>
      <c r="AV7" s="13" t="s">
        <v>588</v>
      </c>
      <c r="AW7" s="13" t="s">
        <v>588</v>
      </c>
      <c r="AX7" s="13" t="s">
        <v>588</v>
      </c>
      <c r="AY7" s="13" t="s">
        <v>588</v>
      </c>
      <c r="AZ7" s="13" t="s">
        <v>588</v>
      </c>
      <c r="BA7" s="13" t="s">
        <v>588</v>
      </c>
      <c r="BB7" s="13" t="s">
        <v>588</v>
      </c>
      <c r="BC7" s="13" t="s">
        <v>588</v>
      </c>
      <c r="BD7" s="13" t="s">
        <v>588</v>
      </c>
      <c r="BE7" s="13" t="s">
        <v>588</v>
      </c>
      <c r="BF7" s="13" t="s">
        <v>588</v>
      </c>
      <c r="BG7" s="13" t="s">
        <v>588</v>
      </c>
      <c r="BH7" s="13" t="s">
        <v>588</v>
      </c>
      <c r="BI7" s="13" t="s">
        <v>588</v>
      </c>
      <c r="BJ7" s="13" t="s">
        <v>588</v>
      </c>
      <c r="BK7" s="13" t="s">
        <v>588</v>
      </c>
      <c r="BL7" s="13" t="s">
        <v>588</v>
      </c>
      <c r="BM7" s="11" t="s">
        <v>588</v>
      </c>
      <c r="BN7" s="11" t="s">
        <v>588</v>
      </c>
      <c r="BO7" s="13" t="s">
        <v>588</v>
      </c>
      <c r="BP7" s="11" t="s">
        <v>588</v>
      </c>
      <c r="BQ7" s="13" t="s">
        <v>588</v>
      </c>
      <c r="BR7" s="13" t="s">
        <v>588</v>
      </c>
      <c r="BS7" s="11" t="s">
        <v>8</v>
      </c>
      <c r="BT7" s="11" t="s">
        <v>2623</v>
      </c>
      <c r="BU7" s="13" t="s">
        <v>588</v>
      </c>
      <c r="BV7" s="13" t="s">
        <v>588</v>
      </c>
      <c r="BW7" s="13" t="s">
        <v>588</v>
      </c>
      <c r="BX7" s="13" t="s">
        <v>588</v>
      </c>
    </row>
    <row r="8" spans="1:76" s="11" customFormat="1" x14ac:dyDescent="0.25">
      <c r="A8" s="11">
        <v>201011</v>
      </c>
      <c r="B8" s="11" t="s">
        <v>23</v>
      </c>
      <c r="C8" s="11" t="s">
        <v>23</v>
      </c>
      <c r="D8" s="48" t="s">
        <v>1844</v>
      </c>
      <c r="E8" s="48" t="s">
        <v>1844</v>
      </c>
      <c r="F8" s="11">
        <v>3</v>
      </c>
      <c r="G8" s="11" t="s">
        <v>2893</v>
      </c>
      <c r="H8" s="11" t="s">
        <v>2893</v>
      </c>
      <c r="I8" s="13">
        <v>40585</v>
      </c>
      <c r="J8" s="11">
        <v>11</v>
      </c>
      <c r="K8" s="11">
        <v>2</v>
      </c>
      <c r="L8" s="11">
        <v>2011</v>
      </c>
      <c r="M8" s="13" t="s">
        <v>2914</v>
      </c>
      <c r="N8" s="11" t="s">
        <v>21</v>
      </c>
      <c r="O8" s="48" t="s">
        <v>2126</v>
      </c>
      <c r="P8" s="56" t="s">
        <v>588</v>
      </c>
      <c r="Q8" s="56" t="s">
        <v>588</v>
      </c>
      <c r="R8" s="11" t="s">
        <v>588</v>
      </c>
      <c r="S8" s="11" t="s">
        <v>588</v>
      </c>
      <c r="T8" s="11">
        <v>3</v>
      </c>
      <c r="U8" s="11">
        <v>3</v>
      </c>
      <c r="V8" s="13" t="s">
        <v>588</v>
      </c>
      <c r="W8" s="11" t="s">
        <v>588</v>
      </c>
      <c r="X8" s="11">
        <v>3</v>
      </c>
      <c r="Y8" s="11">
        <v>3</v>
      </c>
      <c r="Z8" s="11" t="s">
        <v>647</v>
      </c>
      <c r="AA8" s="13">
        <v>40615</v>
      </c>
      <c r="AB8" s="11">
        <v>13</v>
      </c>
      <c r="AC8" s="11">
        <v>3</v>
      </c>
      <c r="AD8" s="11">
        <v>2011</v>
      </c>
      <c r="AE8" s="13" t="s">
        <v>2926</v>
      </c>
      <c r="AF8" s="11" t="s">
        <v>22</v>
      </c>
      <c r="AG8" s="47" t="s">
        <v>1996</v>
      </c>
      <c r="AH8" s="47" t="s">
        <v>1996</v>
      </c>
      <c r="AI8" s="11" t="s">
        <v>588</v>
      </c>
      <c r="AJ8" s="47" t="s">
        <v>1996</v>
      </c>
      <c r="AK8" s="13" t="s">
        <v>588</v>
      </c>
      <c r="AL8" s="11" t="s">
        <v>588</v>
      </c>
      <c r="AM8" s="13" t="s">
        <v>588</v>
      </c>
      <c r="AN8" s="11" t="s">
        <v>588</v>
      </c>
      <c r="AO8" s="48" t="s">
        <v>588</v>
      </c>
      <c r="AP8" s="11" t="s">
        <v>588</v>
      </c>
      <c r="AQ8" s="13" t="s">
        <v>588</v>
      </c>
      <c r="AR8" s="11" t="s">
        <v>588</v>
      </c>
      <c r="AS8" s="11" t="s">
        <v>588</v>
      </c>
      <c r="AT8" s="11" t="s">
        <v>588</v>
      </c>
      <c r="AU8" s="13" t="s">
        <v>588</v>
      </c>
      <c r="AV8" s="13" t="s">
        <v>588</v>
      </c>
      <c r="AW8" s="13" t="s">
        <v>588</v>
      </c>
      <c r="AX8" s="13" t="s">
        <v>588</v>
      </c>
      <c r="AY8" s="13" t="s">
        <v>588</v>
      </c>
      <c r="AZ8" s="13" t="s">
        <v>588</v>
      </c>
      <c r="BA8" s="13" t="s">
        <v>588</v>
      </c>
      <c r="BB8" s="13" t="s">
        <v>588</v>
      </c>
      <c r="BC8" s="13" t="s">
        <v>588</v>
      </c>
      <c r="BD8" s="13" t="s">
        <v>588</v>
      </c>
      <c r="BE8" s="13" t="s">
        <v>588</v>
      </c>
      <c r="BF8" s="13" t="s">
        <v>588</v>
      </c>
      <c r="BG8" s="13" t="s">
        <v>588</v>
      </c>
      <c r="BH8" s="13" t="s">
        <v>588</v>
      </c>
      <c r="BI8" s="13" t="s">
        <v>588</v>
      </c>
      <c r="BJ8" s="13" t="s">
        <v>588</v>
      </c>
      <c r="BK8" s="13" t="s">
        <v>588</v>
      </c>
      <c r="BL8" s="13" t="s">
        <v>588</v>
      </c>
      <c r="BM8" s="11" t="s">
        <v>588</v>
      </c>
      <c r="BN8" s="11" t="s">
        <v>588</v>
      </c>
      <c r="BO8" s="13" t="s">
        <v>588</v>
      </c>
      <c r="BP8" s="11" t="s">
        <v>588</v>
      </c>
      <c r="BQ8" s="13" t="s">
        <v>588</v>
      </c>
      <c r="BR8" s="13" t="s">
        <v>588</v>
      </c>
      <c r="BS8" s="11" t="s">
        <v>8</v>
      </c>
      <c r="BT8" s="50" t="s">
        <v>47</v>
      </c>
      <c r="BU8" s="11" t="s">
        <v>588</v>
      </c>
      <c r="BV8" s="11" t="s">
        <v>588</v>
      </c>
      <c r="BW8" s="13" t="s">
        <v>588</v>
      </c>
      <c r="BX8" s="13" t="s">
        <v>588</v>
      </c>
    </row>
    <row r="9" spans="1:76" s="11" customFormat="1" x14ac:dyDescent="0.25">
      <c r="A9" s="11">
        <v>201011</v>
      </c>
      <c r="B9" s="11" t="s">
        <v>76</v>
      </c>
      <c r="C9" s="11" t="s">
        <v>76</v>
      </c>
      <c r="D9" s="48" t="s">
        <v>1844</v>
      </c>
      <c r="E9" s="48" t="s">
        <v>1844</v>
      </c>
      <c r="F9" s="11">
        <v>1</v>
      </c>
      <c r="G9" s="11" t="s">
        <v>2894</v>
      </c>
      <c r="H9" s="11" t="s">
        <v>2894</v>
      </c>
      <c r="I9" s="13">
        <v>40501</v>
      </c>
      <c r="J9" s="11">
        <v>19</v>
      </c>
      <c r="K9" s="11">
        <v>11</v>
      </c>
      <c r="L9" s="11">
        <v>2010</v>
      </c>
      <c r="M9" s="13" t="s">
        <v>2915</v>
      </c>
      <c r="N9" s="11" t="s">
        <v>17</v>
      </c>
      <c r="O9" s="48" t="s">
        <v>2126</v>
      </c>
      <c r="P9" s="11" t="s">
        <v>588</v>
      </c>
      <c r="Q9" s="11" t="s">
        <v>588</v>
      </c>
      <c r="R9" s="11" t="s">
        <v>588</v>
      </c>
      <c r="S9" s="11" t="s">
        <v>588</v>
      </c>
      <c r="T9" s="11">
        <v>3</v>
      </c>
      <c r="U9" s="11">
        <v>3</v>
      </c>
      <c r="V9" s="13" t="s">
        <v>588</v>
      </c>
      <c r="W9" s="11" t="s">
        <v>588</v>
      </c>
      <c r="X9" s="11">
        <v>2</v>
      </c>
      <c r="Y9" s="11">
        <v>2</v>
      </c>
      <c r="Z9" s="11" t="s">
        <v>8</v>
      </c>
      <c r="AA9" s="13">
        <v>40507</v>
      </c>
      <c r="AB9" s="11">
        <v>25</v>
      </c>
      <c r="AC9" s="11">
        <v>11</v>
      </c>
      <c r="AD9" s="11">
        <v>2010</v>
      </c>
      <c r="AE9" s="13" t="s">
        <v>2927</v>
      </c>
      <c r="AF9" s="11" t="s">
        <v>17</v>
      </c>
      <c r="AG9" s="13" t="s">
        <v>588</v>
      </c>
      <c r="AH9" s="11" t="s">
        <v>588</v>
      </c>
      <c r="AI9" s="11" t="s">
        <v>588</v>
      </c>
      <c r="AJ9" s="11" t="s">
        <v>588</v>
      </c>
      <c r="AK9" s="13" t="s">
        <v>588</v>
      </c>
      <c r="AL9" s="11" t="s">
        <v>588</v>
      </c>
      <c r="AM9" s="13" t="s">
        <v>588</v>
      </c>
      <c r="AN9" s="13" t="s">
        <v>588</v>
      </c>
      <c r="AO9" s="13" t="s">
        <v>588</v>
      </c>
      <c r="AP9" s="13">
        <v>40521</v>
      </c>
      <c r="AQ9" s="13" t="s">
        <v>7</v>
      </c>
      <c r="AR9" s="13" t="s">
        <v>2126</v>
      </c>
      <c r="AS9" s="11">
        <v>2</v>
      </c>
      <c r="AT9" s="11">
        <v>3</v>
      </c>
      <c r="AU9" s="13">
        <v>40534</v>
      </c>
      <c r="AV9" s="13">
        <v>40545</v>
      </c>
      <c r="AW9" s="13" t="s">
        <v>12</v>
      </c>
      <c r="AX9" s="13" t="s">
        <v>41</v>
      </c>
      <c r="AY9" s="13" t="s">
        <v>41</v>
      </c>
      <c r="AZ9" s="13" t="s">
        <v>20</v>
      </c>
      <c r="BA9" s="13" t="s">
        <v>588</v>
      </c>
      <c r="BB9" s="13" t="s">
        <v>588</v>
      </c>
      <c r="BC9" s="13" t="s">
        <v>588</v>
      </c>
      <c r="BD9" s="13" t="s">
        <v>588</v>
      </c>
      <c r="BE9" s="13" t="s">
        <v>588</v>
      </c>
      <c r="BF9" s="13" t="s">
        <v>588</v>
      </c>
      <c r="BG9" s="13" t="s">
        <v>588</v>
      </c>
      <c r="BH9" s="13" t="s">
        <v>588</v>
      </c>
      <c r="BI9" s="13" t="s">
        <v>588</v>
      </c>
      <c r="BJ9" s="13" t="s">
        <v>588</v>
      </c>
      <c r="BK9" s="13" t="s">
        <v>588</v>
      </c>
      <c r="BL9" s="13" t="s">
        <v>588</v>
      </c>
      <c r="BM9" s="11">
        <v>10</v>
      </c>
      <c r="BN9" s="11">
        <v>10</v>
      </c>
      <c r="BO9" s="13" t="s">
        <v>8</v>
      </c>
      <c r="BP9" s="11">
        <v>1</v>
      </c>
      <c r="BQ9" s="36">
        <v>40573</v>
      </c>
      <c r="BR9" s="13" t="s">
        <v>12</v>
      </c>
      <c r="BS9" s="11" t="s">
        <v>8</v>
      </c>
      <c r="BT9" s="11" t="s">
        <v>2878</v>
      </c>
      <c r="BU9" s="11" t="s">
        <v>8</v>
      </c>
      <c r="BV9" s="11" t="s">
        <v>2878</v>
      </c>
      <c r="BW9" s="13" t="s">
        <v>588</v>
      </c>
      <c r="BX9" s="13" t="s">
        <v>588</v>
      </c>
    </row>
    <row r="10" spans="1:76" s="11" customFormat="1" x14ac:dyDescent="0.25">
      <c r="A10" s="11">
        <v>201011</v>
      </c>
      <c r="B10" s="11" t="s">
        <v>35</v>
      </c>
      <c r="C10" s="11" t="s">
        <v>35</v>
      </c>
      <c r="D10" s="11" t="s">
        <v>2879</v>
      </c>
      <c r="E10" s="48" t="s">
        <v>1844</v>
      </c>
      <c r="F10" s="11">
        <v>1</v>
      </c>
      <c r="G10" s="11" t="s">
        <v>2895</v>
      </c>
      <c r="H10" s="11" t="s">
        <v>2895</v>
      </c>
      <c r="I10" s="13">
        <v>40526</v>
      </c>
      <c r="J10" s="11">
        <v>14</v>
      </c>
      <c r="K10" s="11">
        <v>12</v>
      </c>
      <c r="L10" s="11">
        <v>2010</v>
      </c>
      <c r="M10" s="13" t="s">
        <v>2911</v>
      </c>
      <c r="N10" s="11" t="s">
        <v>7</v>
      </c>
      <c r="O10" s="48" t="s">
        <v>51</v>
      </c>
      <c r="P10" s="56" t="s">
        <v>588</v>
      </c>
      <c r="Q10" s="56" t="s">
        <v>588</v>
      </c>
      <c r="R10" s="48" t="s">
        <v>588</v>
      </c>
      <c r="S10" s="48" t="s">
        <v>588</v>
      </c>
      <c r="T10" s="11">
        <v>3</v>
      </c>
      <c r="U10" s="11">
        <v>3</v>
      </c>
      <c r="V10" s="13" t="s">
        <v>588</v>
      </c>
      <c r="W10" s="11" t="s">
        <v>588</v>
      </c>
      <c r="X10" s="11">
        <v>7</v>
      </c>
      <c r="Y10" s="11">
        <v>7</v>
      </c>
      <c r="Z10" s="11" t="s">
        <v>8</v>
      </c>
      <c r="AA10" s="13">
        <v>40545</v>
      </c>
      <c r="AB10" s="11">
        <v>2</v>
      </c>
      <c r="AC10" s="11">
        <v>1</v>
      </c>
      <c r="AD10" s="11">
        <v>2011</v>
      </c>
      <c r="AE10" s="13" t="s">
        <v>2906</v>
      </c>
      <c r="AF10" s="11" t="s">
        <v>12</v>
      </c>
      <c r="AG10" s="13" t="s">
        <v>588</v>
      </c>
      <c r="AH10" s="11" t="s">
        <v>588</v>
      </c>
      <c r="AI10" s="11" t="s">
        <v>588</v>
      </c>
      <c r="AJ10" s="11" t="s">
        <v>588</v>
      </c>
      <c r="AK10" s="13" t="s">
        <v>588</v>
      </c>
      <c r="AL10" s="11" t="s">
        <v>588</v>
      </c>
      <c r="AM10" s="13" t="s">
        <v>588</v>
      </c>
      <c r="AN10" s="11" t="s">
        <v>588</v>
      </c>
      <c r="AO10" s="48" t="s">
        <v>588</v>
      </c>
      <c r="AP10" s="13">
        <v>40561</v>
      </c>
      <c r="AQ10" s="13" t="s">
        <v>12</v>
      </c>
      <c r="AR10" s="13" t="s">
        <v>2126</v>
      </c>
      <c r="AS10" s="11">
        <v>3</v>
      </c>
      <c r="AT10" s="11">
        <v>3</v>
      </c>
      <c r="AU10" s="13" t="s">
        <v>588</v>
      </c>
      <c r="AV10" s="13" t="s">
        <v>588</v>
      </c>
      <c r="AW10" s="13" t="s">
        <v>588</v>
      </c>
      <c r="AX10" s="13" t="s">
        <v>588</v>
      </c>
      <c r="AY10" s="13" t="s">
        <v>588</v>
      </c>
      <c r="AZ10" s="13" t="s">
        <v>588</v>
      </c>
      <c r="BA10" s="13" t="s">
        <v>588</v>
      </c>
      <c r="BB10" s="13" t="s">
        <v>588</v>
      </c>
      <c r="BC10" s="13" t="s">
        <v>588</v>
      </c>
      <c r="BD10" s="13" t="s">
        <v>588</v>
      </c>
      <c r="BE10" s="13" t="s">
        <v>588</v>
      </c>
      <c r="BF10" s="13" t="s">
        <v>588</v>
      </c>
      <c r="BG10" s="13" t="s">
        <v>588</v>
      </c>
      <c r="BH10" s="13" t="s">
        <v>588</v>
      </c>
      <c r="BI10" s="13" t="s">
        <v>588</v>
      </c>
      <c r="BJ10" s="13" t="s">
        <v>588</v>
      </c>
      <c r="BK10" s="13" t="s">
        <v>588</v>
      </c>
      <c r="BL10" s="13" t="s">
        <v>588</v>
      </c>
      <c r="BM10" s="11">
        <v>5</v>
      </c>
      <c r="BN10" s="11">
        <v>5</v>
      </c>
      <c r="BO10" s="13" t="s">
        <v>8</v>
      </c>
      <c r="BP10" s="11">
        <v>3</v>
      </c>
      <c r="BQ10" s="29">
        <v>40615</v>
      </c>
      <c r="BR10" s="13" t="s">
        <v>22</v>
      </c>
      <c r="BS10" s="11" t="s">
        <v>8</v>
      </c>
      <c r="BT10" s="50" t="s">
        <v>2596</v>
      </c>
      <c r="BU10" s="11" t="s">
        <v>41</v>
      </c>
      <c r="BV10" s="11" t="s">
        <v>42</v>
      </c>
      <c r="BW10" s="13" t="s">
        <v>588</v>
      </c>
      <c r="BX10" s="13" t="s">
        <v>588</v>
      </c>
    </row>
    <row r="11" spans="1:76" s="11" customFormat="1" x14ac:dyDescent="0.25">
      <c r="A11" s="11">
        <v>201011</v>
      </c>
      <c r="B11" s="11" t="s">
        <v>57</v>
      </c>
      <c r="C11" s="11" t="s">
        <v>57</v>
      </c>
      <c r="D11" s="28" t="s">
        <v>2880</v>
      </c>
      <c r="E11" s="48" t="s">
        <v>1844</v>
      </c>
      <c r="F11" s="11">
        <v>1</v>
      </c>
      <c r="G11" s="11" t="s">
        <v>2896</v>
      </c>
      <c r="H11" s="11" t="s">
        <v>2896</v>
      </c>
      <c r="I11" s="13">
        <v>40515</v>
      </c>
      <c r="J11" s="11">
        <v>3</v>
      </c>
      <c r="K11" s="11">
        <v>12</v>
      </c>
      <c r="L11" s="11">
        <v>2010</v>
      </c>
      <c r="M11" s="13" t="s">
        <v>2916</v>
      </c>
      <c r="N11" s="11" t="s">
        <v>7</v>
      </c>
      <c r="O11" s="48" t="s">
        <v>51</v>
      </c>
      <c r="P11" s="56" t="s">
        <v>588</v>
      </c>
      <c r="Q11" s="56" t="s">
        <v>588</v>
      </c>
      <c r="R11" s="48" t="s">
        <v>588</v>
      </c>
      <c r="S11" s="48" t="s">
        <v>588</v>
      </c>
      <c r="T11" s="11">
        <v>1</v>
      </c>
      <c r="U11" s="11">
        <v>3</v>
      </c>
      <c r="V11" s="13" t="s">
        <v>588</v>
      </c>
      <c r="W11" s="11" t="s">
        <v>588</v>
      </c>
      <c r="X11" s="11">
        <v>2</v>
      </c>
      <c r="Y11" s="11">
        <v>2</v>
      </c>
      <c r="Z11" s="11" t="s">
        <v>41</v>
      </c>
      <c r="AA11" s="13">
        <v>40515</v>
      </c>
      <c r="AB11" s="11">
        <v>3</v>
      </c>
      <c r="AC11" s="11">
        <v>12</v>
      </c>
      <c r="AD11" s="11">
        <v>2010</v>
      </c>
      <c r="AE11" s="13" t="s">
        <v>2916</v>
      </c>
      <c r="AF11" s="11" t="s">
        <v>7</v>
      </c>
      <c r="AG11" s="13">
        <v>40538</v>
      </c>
      <c r="AH11" s="11">
        <v>26</v>
      </c>
      <c r="AI11" s="11">
        <v>12</v>
      </c>
      <c r="AJ11" s="11">
        <v>2010</v>
      </c>
      <c r="AK11" s="13" t="s">
        <v>2923</v>
      </c>
      <c r="AL11" s="11" t="s">
        <v>7</v>
      </c>
      <c r="AM11" s="13" t="s">
        <v>41</v>
      </c>
      <c r="AN11" s="11" t="s">
        <v>41</v>
      </c>
      <c r="AO11" s="13" t="s">
        <v>20</v>
      </c>
      <c r="AP11" s="47" t="s">
        <v>588</v>
      </c>
      <c r="AQ11" s="13" t="s">
        <v>588</v>
      </c>
      <c r="AR11" s="48" t="s">
        <v>588</v>
      </c>
      <c r="AS11" s="11" t="s">
        <v>588</v>
      </c>
      <c r="AT11" s="11" t="s">
        <v>588</v>
      </c>
      <c r="AU11" s="47" t="s">
        <v>588</v>
      </c>
      <c r="AV11" s="13" t="s">
        <v>588</v>
      </c>
      <c r="AW11" s="13" t="s">
        <v>588</v>
      </c>
      <c r="AX11" s="13" t="s">
        <v>588</v>
      </c>
      <c r="AY11" s="13" t="s">
        <v>588</v>
      </c>
      <c r="AZ11" s="13" t="s">
        <v>588</v>
      </c>
      <c r="BA11" s="13" t="s">
        <v>588</v>
      </c>
      <c r="BB11" s="13" t="s">
        <v>588</v>
      </c>
      <c r="BC11" s="13" t="s">
        <v>588</v>
      </c>
      <c r="BD11" s="13" t="s">
        <v>588</v>
      </c>
      <c r="BE11" s="13" t="s">
        <v>588</v>
      </c>
      <c r="BF11" s="13" t="s">
        <v>588</v>
      </c>
      <c r="BG11" s="13" t="s">
        <v>588</v>
      </c>
      <c r="BH11" s="13" t="s">
        <v>588</v>
      </c>
      <c r="BI11" s="13" t="s">
        <v>588</v>
      </c>
      <c r="BJ11" s="13" t="s">
        <v>588</v>
      </c>
      <c r="BK11" s="13" t="s">
        <v>588</v>
      </c>
      <c r="BL11" s="13" t="s">
        <v>588</v>
      </c>
      <c r="BM11" s="11" t="s">
        <v>588</v>
      </c>
      <c r="BN11" s="11" t="s">
        <v>588</v>
      </c>
      <c r="BO11" s="13" t="s">
        <v>588</v>
      </c>
      <c r="BP11" s="11" t="s">
        <v>588</v>
      </c>
      <c r="BQ11" s="13" t="s">
        <v>588</v>
      </c>
      <c r="BR11" s="13" t="s">
        <v>588</v>
      </c>
      <c r="BS11" s="11" t="s">
        <v>41</v>
      </c>
      <c r="BT11" s="11" t="s">
        <v>42</v>
      </c>
      <c r="BU11" s="11" t="s">
        <v>588</v>
      </c>
      <c r="BV11" s="48" t="s">
        <v>588</v>
      </c>
      <c r="BW11" s="13" t="s">
        <v>588</v>
      </c>
      <c r="BX11" s="13" t="s">
        <v>588</v>
      </c>
    </row>
    <row r="12" spans="1:76" s="11" customFormat="1" x14ac:dyDescent="0.25">
      <c r="A12" s="11">
        <v>201011</v>
      </c>
      <c r="B12" s="11" t="s">
        <v>57</v>
      </c>
      <c r="C12" s="11" t="s">
        <v>57</v>
      </c>
      <c r="D12" s="48" t="s">
        <v>1844</v>
      </c>
      <c r="E12" s="48" t="s">
        <v>1844</v>
      </c>
      <c r="F12" s="11">
        <v>2</v>
      </c>
      <c r="G12" s="11" t="s">
        <v>2897</v>
      </c>
      <c r="H12" s="11" t="s">
        <v>2897</v>
      </c>
      <c r="I12" s="13">
        <v>40552</v>
      </c>
      <c r="J12" s="11">
        <v>9</v>
      </c>
      <c r="K12" s="11">
        <v>1</v>
      </c>
      <c r="L12" s="11">
        <v>2011</v>
      </c>
      <c r="M12" s="13" t="s">
        <v>2909</v>
      </c>
      <c r="N12" s="11" t="s">
        <v>12</v>
      </c>
      <c r="O12" s="48" t="s">
        <v>2126</v>
      </c>
      <c r="P12" s="39" t="s">
        <v>588</v>
      </c>
      <c r="Q12" s="39" t="s">
        <v>588</v>
      </c>
      <c r="R12" s="48" t="s">
        <v>588</v>
      </c>
      <c r="S12" s="48" t="s">
        <v>588</v>
      </c>
      <c r="T12" s="11">
        <v>3</v>
      </c>
      <c r="U12" s="11">
        <v>3</v>
      </c>
      <c r="V12" s="13" t="s">
        <v>588</v>
      </c>
      <c r="W12" s="11" t="s">
        <v>588</v>
      </c>
      <c r="X12" s="11">
        <v>5</v>
      </c>
      <c r="Y12" s="11">
        <v>5</v>
      </c>
      <c r="Z12" s="11" t="s">
        <v>41</v>
      </c>
      <c r="AA12" s="13">
        <v>40561</v>
      </c>
      <c r="AB12" s="11">
        <v>18</v>
      </c>
      <c r="AC12" s="11">
        <v>1</v>
      </c>
      <c r="AD12" s="11">
        <v>2011</v>
      </c>
      <c r="AE12" s="13" t="s">
        <v>2905</v>
      </c>
      <c r="AF12" s="11" t="s">
        <v>12</v>
      </c>
      <c r="AG12" s="29">
        <v>40580</v>
      </c>
      <c r="AH12" s="11">
        <v>6</v>
      </c>
      <c r="AI12" s="11">
        <v>2</v>
      </c>
      <c r="AJ12" s="11">
        <v>2011</v>
      </c>
      <c r="AK12" s="13" t="s">
        <v>2912</v>
      </c>
      <c r="AL12" s="11" t="s">
        <v>21</v>
      </c>
      <c r="AM12" s="48" t="s">
        <v>41</v>
      </c>
      <c r="AN12" s="48" t="s">
        <v>8</v>
      </c>
      <c r="AO12" s="48" t="s">
        <v>2881</v>
      </c>
      <c r="AP12" s="13" t="s">
        <v>588</v>
      </c>
      <c r="AQ12" s="13" t="s">
        <v>588</v>
      </c>
      <c r="AR12" s="11" t="s">
        <v>588</v>
      </c>
      <c r="AS12" s="11" t="s">
        <v>588</v>
      </c>
      <c r="AT12" s="11" t="s">
        <v>588</v>
      </c>
      <c r="AU12" s="13" t="s">
        <v>588</v>
      </c>
      <c r="AV12" s="13" t="s">
        <v>588</v>
      </c>
      <c r="AW12" s="13" t="s">
        <v>588</v>
      </c>
      <c r="AX12" s="13" t="s">
        <v>588</v>
      </c>
      <c r="AY12" s="13" t="s">
        <v>588</v>
      </c>
      <c r="AZ12" s="13" t="s">
        <v>588</v>
      </c>
      <c r="BA12" s="13" t="s">
        <v>588</v>
      </c>
      <c r="BB12" s="13" t="s">
        <v>588</v>
      </c>
      <c r="BC12" s="13" t="s">
        <v>588</v>
      </c>
      <c r="BD12" s="13" t="s">
        <v>588</v>
      </c>
      <c r="BE12" s="13" t="s">
        <v>588</v>
      </c>
      <c r="BF12" s="13" t="s">
        <v>588</v>
      </c>
      <c r="BG12" s="13" t="s">
        <v>588</v>
      </c>
      <c r="BH12" s="13" t="s">
        <v>588</v>
      </c>
      <c r="BI12" s="13" t="s">
        <v>588</v>
      </c>
      <c r="BJ12" s="13" t="s">
        <v>588</v>
      </c>
      <c r="BK12" s="13" t="s">
        <v>588</v>
      </c>
      <c r="BL12" s="13" t="s">
        <v>588</v>
      </c>
      <c r="BM12" s="11" t="s">
        <v>588</v>
      </c>
      <c r="BN12" s="11" t="s">
        <v>588</v>
      </c>
      <c r="BO12" s="13" t="s">
        <v>588</v>
      </c>
      <c r="BP12" s="11" t="s">
        <v>588</v>
      </c>
      <c r="BQ12" s="13" t="s">
        <v>588</v>
      </c>
      <c r="BR12" s="13" t="s">
        <v>588</v>
      </c>
      <c r="BS12" s="11" t="s">
        <v>8</v>
      </c>
      <c r="BT12" s="11" t="s">
        <v>2623</v>
      </c>
      <c r="BU12" s="13" t="s">
        <v>588</v>
      </c>
      <c r="BV12" s="11" t="s">
        <v>588</v>
      </c>
      <c r="BW12" s="13" t="s">
        <v>588</v>
      </c>
      <c r="BX12" s="13" t="s">
        <v>588</v>
      </c>
    </row>
    <row r="13" spans="1:76" s="11" customFormat="1" x14ac:dyDescent="0.25">
      <c r="A13" s="11">
        <v>201011</v>
      </c>
      <c r="B13" s="11" t="s">
        <v>365</v>
      </c>
      <c r="C13" s="11" t="s">
        <v>365</v>
      </c>
      <c r="D13" s="48" t="s">
        <v>1844</v>
      </c>
      <c r="E13" s="48" t="s">
        <v>1844</v>
      </c>
      <c r="F13" s="11">
        <v>1</v>
      </c>
      <c r="G13" s="11" t="s">
        <v>2898</v>
      </c>
      <c r="H13" s="11" t="s">
        <v>2898</v>
      </c>
      <c r="I13" s="13">
        <v>40491</v>
      </c>
      <c r="J13" s="11">
        <v>9</v>
      </c>
      <c r="K13" s="11">
        <v>11</v>
      </c>
      <c r="L13" s="11">
        <v>2010</v>
      </c>
      <c r="M13" s="13" t="s">
        <v>2917</v>
      </c>
      <c r="N13" s="11" t="s">
        <v>17</v>
      </c>
      <c r="O13" s="48" t="s">
        <v>2126</v>
      </c>
      <c r="P13" s="28" t="s">
        <v>2882</v>
      </c>
      <c r="Q13" s="39" t="s">
        <v>2883</v>
      </c>
      <c r="R13" s="48" t="s">
        <v>588</v>
      </c>
      <c r="S13" s="48" t="s">
        <v>588</v>
      </c>
      <c r="T13" s="11">
        <v>2</v>
      </c>
      <c r="U13" s="11">
        <v>3</v>
      </c>
      <c r="V13" s="13">
        <v>40495</v>
      </c>
      <c r="W13" s="11" t="s">
        <v>223</v>
      </c>
      <c r="X13" s="11">
        <v>4</v>
      </c>
      <c r="Y13" s="11">
        <v>4</v>
      </c>
      <c r="Z13" s="11" t="s">
        <v>41</v>
      </c>
      <c r="AA13" s="36">
        <v>40497</v>
      </c>
      <c r="AB13" s="11">
        <v>15</v>
      </c>
      <c r="AC13" s="11">
        <v>11</v>
      </c>
      <c r="AD13" s="11">
        <v>2010</v>
      </c>
      <c r="AE13" s="13" t="s">
        <v>2928</v>
      </c>
      <c r="AF13" s="11" t="s">
        <v>17</v>
      </c>
      <c r="AG13" s="13">
        <v>40499</v>
      </c>
      <c r="AH13" s="11">
        <v>17</v>
      </c>
      <c r="AI13" s="11">
        <v>11</v>
      </c>
      <c r="AJ13" s="11">
        <v>2010</v>
      </c>
      <c r="AK13" s="13" t="s">
        <v>2929</v>
      </c>
      <c r="AL13" s="11" t="s">
        <v>17</v>
      </c>
      <c r="AM13" s="13" t="s">
        <v>41</v>
      </c>
      <c r="AN13" s="11" t="s">
        <v>41</v>
      </c>
      <c r="AO13" s="13" t="s">
        <v>20</v>
      </c>
      <c r="AP13" s="13" t="s">
        <v>588</v>
      </c>
      <c r="AQ13" s="13" t="s">
        <v>588</v>
      </c>
      <c r="AR13" s="13" t="s">
        <v>588</v>
      </c>
      <c r="AS13" s="11" t="s">
        <v>588</v>
      </c>
      <c r="AT13" s="11" t="s">
        <v>588</v>
      </c>
      <c r="AU13" s="13" t="s">
        <v>588</v>
      </c>
      <c r="AV13" s="13" t="s">
        <v>588</v>
      </c>
      <c r="AW13" s="13" t="s">
        <v>588</v>
      </c>
      <c r="AX13" s="13" t="s">
        <v>588</v>
      </c>
      <c r="AY13" s="13" t="s">
        <v>588</v>
      </c>
      <c r="AZ13" s="13" t="s">
        <v>588</v>
      </c>
      <c r="BA13" s="13" t="s">
        <v>588</v>
      </c>
      <c r="BB13" s="13" t="s">
        <v>588</v>
      </c>
      <c r="BC13" s="13" t="s">
        <v>588</v>
      </c>
      <c r="BD13" s="13" t="s">
        <v>588</v>
      </c>
      <c r="BE13" s="13" t="s">
        <v>588</v>
      </c>
      <c r="BF13" s="13" t="s">
        <v>588</v>
      </c>
      <c r="BG13" s="13" t="s">
        <v>588</v>
      </c>
      <c r="BH13" s="13" t="s">
        <v>588</v>
      </c>
      <c r="BI13" s="13" t="s">
        <v>588</v>
      </c>
      <c r="BJ13" s="13" t="s">
        <v>588</v>
      </c>
      <c r="BK13" s="13" t="s">
        <v>588</v>
      </c>
      <c r="BL13" s="13" t="s">
        <v>588</v>
      </c>
      <c r="BM13" s="11" t="s">
        <v>588</v>
      </c>
      <c r="BN13" s="11" t="s">
        <v>588</v>
      </c>
      <c r="BO13" s="13" t="s">
        <v>588</v>
      </c>
      <c r="BP13" s="11" t="s">
        <v>588</v>
      </c>
      <c r="BQ13" s="13" t="s">
        <v>588</v>
      </c>
      <c r="BR13" s="13" t="s">
        <v>588</v>
      </c>
      <c r="BS13" s="11" t="s">
        <v>8</v>
      </c>
      <c r="BT13" s="11" t="s">
        <v>2623</v>
      </c>
      <c r="BU13" s="13" t="s">
        <v>588</v>
      </c>
      <c r="BV13" s="13" t="s">
        <v>588</v>
      </c>
      <c r="BW13" s="13" t="s">
        <v>588</v>
      </c>
      <c r="BX13" s="13" t="s">
        <v>588</v>
      </c>
    </row>
    <row r="14" spans="1:76" s="11" customFormat="1" x14ac:dyDescent="0.25">
      <c r="A14" s="11">
        <v>201011</v>
      </c>
      <c r="B14" s="11" t="s">
        <v>365</v>
      </c>
      <c r="C14" s="11" t="s">
        <v>365</v>
      </c>
      <c r="D14" s="48" t="s">
        <v>1844</v>
      </c>
      <c r="E14" s="55" t="s">
        <v>1844</v>
      </c>
      <c r="F14" s="11">
        <v>2</v>
      </c>
      <c r="G14" s="11" t="s">
        <v>2899</v>
      </c>
      <c r="H14" s="11" t="s">
        <v>2899</v>
      </c>
      <c r="I14" s="13">
        <v>40512</v>
      </c>
      <c r="J14" s="11">
        <v>30</v>
      </c>
      <c r="K14" s="11">
        <v>11</v>
      </c>
      <c r="L14" s="11">
        <v>2010</v>
      </c>
      <c r="M14" s="13" t="s">
        <v>2918</v>
      </c>
      <c r="N14" s="11" t="s">
        <v>17</v>
      </c>
      <c r="O14" s="48" t="s">
        <v>2126</v>
      </c>
      <c r="P14" s="28">
        <v>-38.594639999999998</v>
      </c>
      <c r="Q14" s="56">
        <v>145.52280999999999</v>
      </c>
      <c r="R14" s="48" t="s">
        <v>588</v>
      </c>
      <c r="S14" s="48" t="s">
        <v>588</v>
      </c>
      <c r="T14" s="11">
        <v>3</v>
      </c>
      <c r="U14" s="11">
        <v>3</v>
      </c>
      <c r="V14" s="13" t="s">
        <v>588</v>
      </c>
      <c r="W14" s="11" t="s">
        <v>588</v>
      </c>
      <c r="X14" s="11">
        <v>4</v>
      </c>
      <c r="Y14" s="11">
        <v>3</v>
      </c>
      <c r="Z14" s="11" t="s">
        <v>41</v>
      </c>
      <c r="AA14" s="13">
        <v>40518</v>
      </c>
      <c r="AB14" s="11">
        <v>6</v>
      </c>
      <c r="AC14" s="11">
        <v>12</v>
      </c>
      <c r="AD14" s="11">
        <v>2010</v>
      </c>
      <c r="AE14" s="13" t="s">
        <v>2921</v>
      </c>
      <c r="AF14" s="11" t="s">
        <v>7</v>
      </c>
      <c r="AG14" s="36">
        <v>40525</v>
      </c>
      <c r="AH14" s="11">
        <v>13</v>
      </c>
      <c r="AI14" s="11">
        <v>12</v>
      </c>
      <c r="AJ14" s="11">
        <v>2010</v>
      </c>
      <c r="AK14" s="13" t="s">
        <v>2919</v>
      </c>
      <c r="AL14" s="11" t="s">
        <v>7</v>
      </c>
      <c r="AM14" s="13" t="s">
        <v>41</v>
      </c>
      <c r="AN14" s="11" t="s">
        <v>41</v>
      </c>
      <c r="AO14" s="13" t="s">
        <v>20</v>
      </c>
      <c r="AP14" s="13" t="s">
        <v>588</v>
      </c>
      <c r="AQ14" s="13" t="s">
        <v>588</v>
      </c>
      <c r="AR14" s="11" t="s">
        <v>588</v>
      </c>
      <c r="AS14" s="11" t="s">
        <v>588</v>
      </c>
      <c r="AT14" s="11" t="s">
        <v>588</v>
      </c>
      <c r="AU14" s="13" t="s">
        <v>588</v>
      </c>
      <c r="AV14" s="13" t="s">
        <v>588</v>
      </c>
      <c r="AW14" s="13" t="s">
        <v>588</v>
      </c>
      <c r="AX14" s="13" t="s">
        <v>588</v>
      </c>
      <c r="AY14" s="13" t="s">
        <v>588</v>
      </c>
      <c r="AZ14" s="13" t="s">
        <v>588</v>
      </c>
      <c r="BA14" s="13" t="s">
        <v>588</v>
      </c>
      <c r="BB14" s="13" t="s">
        <v>588</v>
      </c>
      <c r="BC14" s="13" t="s">
        <v>588</v>
      </c>
      <c r="BD14" s="13" t="s">
        <v>588</v>
      </c>
      <c r="BE14" s="13" t="s">
        <v>588</v>
      </c>
      <c r="BF14" s="13" t="s">
        <v>588</v>
      </c>
      <c r="BG14" s="13" t="s">
        <v>588</v>
      </c>
      <c r="BH14" s="13" t="s">
        <v>588</v>
      </c>
      <c r="BI14" s="13" t="s">
        <v>588</v>
      </c>
      <c r="BJ14" s="13" t="s">
        <v>588</v>
      </c>
      <c r="BK14" s="13" t="s">
        <v>588</v>
      </c>
      <c r="BL14" s="13" t="s">
        <v>588</v>
      </c>
      <c r="BM14" s="11" t="s">
        <v>588</v>
      </c>
      <c r="BN14" s="11" t="s">
        <v>588</v>
      </c>
      <c r="BO14" s="13" t="s">
        <v>588</v>
      </c>
      <c r="BP14" s="11" t="s">
        <v>588</v>
      </c>
      <c r="BQ14" s="13" t="s">
        <v>588</v>
      </c>
      <c r="BR14" s="13" t="s">
        <v>588</v>
      </c>
      <c r="BS14" s="11" t="s">
        <v>8</v>
      </c>
      <c r="BT14" s="11" t="s">
        <v>2623</v>
      </c>
      <c r="BU14" s="11" t="s">
        <v>588</v>
      </c>
      <c r="BV14" s="11" t="s">
        <v>588</v>
      </c>
      <c r="BW14" s="13" t="s">
        <v>588</v>
      </c>
      <c r="BX14" s="13" t="s">
        <v>588</v>
      </c>
    </row>
    <row r="15" spans="1:76" s="11" customFormat="1" x14ac:dyDescent="0.25">
      <c r="A15" s="11">
        <v>201011</v>
      </c>
      <c r="B15" s="11" t="s">
        <v>365</v>
      </c>
      <c r="C15" s="11" t="s">
        <v>365</v>
      </c>
      <c r="D15" s="55" t="s">
        <v>2884</v>
      </c>
      <c r="E15" s="55" t="s">
        <v>1844</v>
      </c>
      <c r="F15" s="11">
        <v>3</v>
      </c>
      <c r="G15" s="11" t="s">
        <v>2900</v>
      </c>
      <c r="H15" s="11" t="s">
        <v>2900</v>
      </c>
      <c r="I15" s="36">
        <v>40525</v>
      </c>
      <c r="J15" s="11">
        <v>13</v>
      </c>
      <c r="K15" s="11">
        <v>12</v>
      </c>
      <c r="L15" s="11">
        <v>2010</v>
      </c>
      <c r="M15" s="13" t="s">
        <v>2919</v>
      </c>
      <c r="N15" s="11" t="s">
        <v>7</v>
      </c>
      <c r="O15" s="48" t="s">
        <v>2126</v>
      </c>
      <c r="P15" s="28">
        <v>-38.594639999999998</v>
      </c>
      <c r="Q15" s="56">
        <v>145.52280999999999</v>
      </c>
      <c r="R15" s="48" t="s">
        <v>588</v>
      </c>
      <c r="S15" s="48" t="s">
        <v>588</v>
      </c>
      <c r="T15" s="11">
        <v>3</v>
      </c>
      <c r="U15" s="11">
        <v>3</v>
      </c>
      <c r="V15" s="13" t="s">
        <v>588</v>
      </c>
      <c r="W15" s="11" t="s">
        <v>588</v>
      </c>
      <c r="X15" s="11">
        <v>6</v>
      </c>
      <c r="Y15" s="11">
        <v>4</v>
      </c>
      <c r="Z15" s="11" t="s">
        <v>8</v>
      </c>
      <c r="AA15" s="29">
        <v>40545</v>
      </c>
      <c r="AB15" s="11">
        <v>2</v>
      </c>
      <c r="AC15" s="11">
        <v>1</v>
      </c>
      <c r="AD15" s="11">
        <v>2011</v>
      </c>
      <c r="AE15" s="13" t="s">
        <v>2906</v>
      </c>
      <c r="AF15" s="11" t="s">
        <v>12</v>
      </c>
      <c r="AG15" s="47" t="s">
        <v>588</v>
      </c>
      <c r="AH15" s="11" t="s">
        <v>588</v>
      </c>
      <c r="AI15" s="11" t="s">
        <v>588</v>
      </c>
      <c r="AJ15" s="11" t="s">
        <v>588</v>
      </c>
      <c r="AK15" s="13" t="s">
        <v>588</v>
      </c>
      <c r="AL15" s="11" t="s">
        <v>588</v>
      </c>
      <c r="AM15" s="13" t="s">
        <v>588</v>
      </c>
      <c r="AN15" s="48" t="s">
        <v>588</v>
      </c>
      <c r="AO15" s="48" t="s">
        <v>588</v>
      </c>
      <c r="AP15" s="13">
        <v>40554</v>
      </c>
      <c r="AQ15" s="13" t="s">
        <v>12</v>
      </c>
      <c r="AR15" s="57" t="s">
        <v>194</v>
      </c>
      <c r="AS15" s="11">
        <v>2</v>
      </c>
      <c r="AT15" s="11">
        <v>3</v>
      </c>
      <c r="AU15" s="13" t="s">
        <v>588</v>
      </c>
      <c r="AV15" s="13" t="s">
        <v>588</v>
      </c>
      <c r="AW15" s="13" t="s">
        <v>588</v>
      </c>
      <c r="AX15" s="13" t="s">
        <v>588</v>
      </c>
      <c r="AY15" s="13" t="s">
        <v>588</v>
      </c>
      <c r="AZ15" s="13" t="s">
        <v>588</v>
      </c>
      <c r="BA15" s="13" t="s">
        <v>588</v>
      </c>
      <c r="BB15" s="13" t="s">
        <v>588</v>
      </c>
      <c r="BC15" s="13" t="s">
        <v>588</v>
      </c>
      <c r="BD15" s="13" t="s">
        <v>588</v>
      </c>
      <c r="BE15" s="13" t="s">
        <v>588</v>
      </c>
      <c r="BF15" s="13" t="s">
        <v>588</v>
      </c>
      <c r="BG15" s="13" t="s">
        <v>588</v>
      </c>
      <c r="BH15" s="13" t="s">
        <v>588</v>
      </c>
      <c r="BI15" s="13" t="s">
        <v>588</v>
      </c>
      <c r="BJ15" s="13" t="s">
        <v>588</v>
      </c>
      <c r="BK15" s="13" t="s">
        <v>588</v>
      </c>
      <c r="BL15" s="13" t="s">
        <v>588</v>
      </c>
      <c r="BM15" s="11">
        <v>7</v>
      </c>
      <c r="BN15" s="11">
        <v>7</v>
      </c>
      <c r="BO15" s="13" t="s">
        <v>8</v>
      </c>
      <c r="BP15" s="11">
        <v>2</v>
      </c>
      <c r="BQ15" s="29">
        <v>40585</v>
      </c>
      <c r="BR15" s="13" t="s">
        <v>21</v>
      </c>
      <c r="BS15" s="11" t="s">
        <v>8</v>
      </c>
      <c r="BT15" s="11" t="s">
        <v>2623</v>
      </c>
      <c r="BU15" s="11" t="s">
        <v>8</v>
      </c>
      <c r="BV15" s="11" t="s">
        <v>2623</v>
      </c>
      <c r="BW15" s="13" t="s">
        <v>588</v>
      </c>
      <c r="BX15" s="13" t="s">
        <v>588</v>
      </c>
    </row>
    <row r="16" spans="1:76" s="11" customFormat="1" x14ac:dyDescent="0.25">
      <c r="A16" s="11">
        <v>201011</v>
      </c>
      <c r="B16" s="11" t="s">
        <v>359</v>
      </c>
      <c r="C16" s="11" t="s">
        <v>359</v>
      </c>
      <c r="D16" s="48" t="s">
        <v>1844</v>
      </c>
      <c r="E16" s="55" t="s">
        <v>1844</v>
      </c>
      <c r="F16" s="11">
        <v>1</v>
      </c>
      <c r="G16" s="11" t="s">
        <v>2901</v>
      </c>
      <c r="H16" s="11" t="s">
        <v>2901</v>
      </c>
      <c r="I16" s="13">
        <v>40501</v>
      </c>
      <c r="J16" s="11">
        <v>19</v>
      </c>
      <c r="K16" s="11">
        <v>11</v>
      </c>
      <c r="L16" s="11">
        <v>2010</v>
      </c>
      <c r="M16" s="13" t="s">
        <v>2915</v>
      </c>
      <c r="N16" s="11" t="s">
        <v>17</v>
      </c>
      <c r="O16" s="48" t="s">
        <v>51</v>
      </c>
      <c r="P16" s="56" t="s">
        <v>588</v>
      </c>
      <c r="Q16" s="56" t="s">
        <v>588</v>
      </c>
      <c r="R16" s="48" t="s">
        <v>588</v>
      </c>
      <c r="S16" s="48" t="s">
        <v>588</v>
      </c>
      <c r="T16" s="11">
        <v>2</v>
      </c>
      <c r="U16" s="11">
        <v>3</v>
      </c>
      <c r="V16" s="13" t="s">
        <v>588</v>
      </c>
      <c r="W16" s="11" t="s">
        <v>588</v>
      </c>
      <c r="X16" s="11">
        <v>2</v>
      </c>
      <c r="Y16" s="11">
        <v>2</v>
      </c>
      <c r="Z16" s="11" t="s">
        <v>41</v>
      </c>
      <c r="AA16" s="13">
        <v>40501</v>
      </c>
      <c r="AB16" s="11">
        <v>19</v>
      </c>
      <c r="AC16" s="11">
        <v>11</v>
      </c>
      <c r="AD16" s="11">
        <v>2010</v>
      </c>
      <c r="AE16" s="13" t="s">
        <v>2915</v>
      </c>
      <c r="AF16" s="11" t="s">
        <v>17</v>
      </c>
      <c r="AG16" s="36">
        <v>40504</v>
      </c>
      <c r="AH16" s="11">
        <v>22</v>
      </c>
      <c r="AI16" s="11">
        <v>11</v>
      </c>
      <c r="AJ16" s="11">
        <v>2010</v>
      </c>
      <c r="AK16" s="13" t="s">
        <v>2930</v>
      </c>
      <c r="AL16" s="11" t="s">
        <v>17</v>
      </c>
      <c r="AM16" s="13" t="s">
        <v>41</v>
      </c>
      <c r="AN16" s="11" t="s">
        <v>41</v>
      </c>
      <c r="AO16" s="13" t="s">
        <v>20</v>
      </c>
      <c r="AP16" s="11" t="s">
        <v>588</v>
      </c>
      <c r="AQ16" s="11" t="s">
        <v>588</v>
      </c>
      <c r="AR16" s="11" t="s">
        <v>588</v>
      </c>
      <c r="AS16" s="11" t="s">
        <v>588</v>
      </c>
      <c r="AT16" s="11" t="s">
        <v>588</v>
      </c>
      <c r="AU16" s="47" t="s">
        <v>588</v>
      </c>
      <c r="AV16" s="47" t="s">
        <v>588</v>
      </c>
      <c r="AW16" s="13" t="s">
        <v>588</v>
      </c>
      <c r="AX16" s="13" t="s">
        <v>588</v>
      </c>
      <c r="AY16" s="13" t="s">
        <v>588</v>
      </c>
      <c r="AZ16" s="13" t="s">
        <v>588</v>
      </c>
      <c r="BA16" s="47" t="s">
        <v>588</v>
      </c>
      <c r="BB16" s="47" t="s">
        <v>588</v>
      </c>
      <c r="BC16" s="13" t="s">
        <v>588</v>
      </c>
      <c r="BD16" s="13" t="s">
        <v>588</v>
      </c>
      <c r="BE16" s="13" t="s">
        <v>588</v>
      </c>
      <c r="BF16" s="13" t="s">
        <v>588</v>
      </c>
      <c r="BG16" s="47" t="s">
        <v>588</v>
      </c>
      <c r="BH16" s="47" t="s">
        <v>588</v>
      </c>
      <c r="BI16" s="13" t="s">
        <v>588</v>
      </c>
      <c r="BJ16" s="13" t="s">
        <v>588</v>
      </c>
      <c r="BK16" s="13" t="s">
        <v>588</v>
      </c>
      <c r="BL16" s="48" t="s">
        <v>588</v>
      </c>
      <c r="BM16" s="11" t="s">
        <v>588</v>
      </c>
      <c r="BN16" s="11" t="s">
        <v>588</v>
      </c>
      <c r="BO16" s="13" t="s">
        <v>588</v>
      </c>
      <c r="BP16" s="11" t="s">
        <v>588</v>
      </c>
      <c r="BQ16" s="13" t="s">
        <v>588</v>
      </c>
      <c r="BR16" s="13" t="s">
        <v>588</v>
      </c>
      <c r="BS16" s="11" t="s">
        <v>41</v>
      </c>
      <c r="BT16" s="11" t="s">
        <v>42</v>
      </c>
      <c r="BU16" s="11" t="s">
        <v>588</v>
      </c>
      <c r="BV16" s="48" t="s">
        <v>588</v>
      </c>
      <c r="BW16" s="13" t="s">
        <v>588</v>
      </c>
      <c r="BX16" s="13" t="s">
        <v>588</v>
      </c>
    </row>
    <row r="17" spans="1:76" s="11" customFormat="1" x14ac:dyDescent="0.25">
      <c r="A17" s="11">
        <v>201011</v>
      </c>
      <c r="B17" s="11" t="s">
        <v>359</v>
      </c>
      <c r="C17" s="11" t="s">
        <v>359</v>
      </c>
      <c r="D17" s="48" t="s">
        <v>1844</v>
      </c>
      <c r="E17" s="55" t="s">
        <v>1844</v>
      </c>
      <c r="F17" s="11">
        <v>2</v>
      </c>
      <c r="G17" s="11" t="s">
        <v>2902</v>
      </c>
      <c r="H17" s="11" t="s">
        <v>2902</v>
      </c>
      <c r="I17" s="13">
        <v>40515</v>
      </c>
      <c r="J17" s="11">
        <v>3</v>
      </c>
      <c r="K17" s="11">
        <v>12</v>
      </c>
      <c r="L17" s="11">
        <v>2010</v>
      </c>
      <c r="M17" s="13" t="s">
        <v>2916</v>
      </c>
      <c r="N17" s="11" t="s">
        <v>7</v>
      </c>
      <c r="O17" s="48" t="s">
        <v>19</v>
      </c>
      <c r="P17" s="56" t="s">
        <v>588</v>
      </c>
      <c r="Q17" s="56" t="s">
        <v>588</v>
      </c>
      <c r="R17" s="48" t="s">
        <v>588</v>
      </c>
      <c r="S17" s="48" t="s">
        <v>588</v>
      </c>
      <c r="T17" s="11">
        <v>3</v>
      </c>
      <c r="U17" s="11">
        <v>3</v>
      </c>
      <c r="V17" s="13">
        <v>40518</v>
      </c>
      <c r="W17" s="11" t="s">
        <v>223</v>
      </c>
      <c r="X17" s="11">
        <v>4</v>
      </c>
      <c r="Y17" s="11">
        <v>4</v>
      </c>
      <c r="Z17" s="11" t="s">
        <v>41</v>
      </c>
      <c r="AA17" s="13">
        <v>40518</v>
      </c>
      <c r="AB17" s="11">
        <v>6</v>
      </c>
      <c r="AC17" s="11">
        <v>12</v>
      </c>
      <c r="AD17" s="11">
        <v>2010</v>
      </c>
      <c r="AE17" s="13" t="s">
        <v>2921</v>
      </c>
      <c r="AF17" s="11" t="s">
        <v>7</v>
      </c>
      <c r="AG17" s="36">
        <v>40525</v>
      </c>
      <c r="AH17" s="11">
        <v>13</v>
      </c>
      <c r="AI17" s="11">
        <v>12</v>
      </c>
      <c r="AJ17" s="11">
        <v>2010</v>
      </c>
      <c r="AK17" s="13" t="s">
        <v>2919</v>
      </c>
      <c r="AL17" s="11" t="s">
        <v>7</v>
      </c>
      <c r="AM17" s="13" t="s">
        <v>41</v>
      </c>
      <c r="AN17" s="11" t="s">
        <v>41</v>
      </c>
      <c r="AO17" s="13" t="s">
        <v>20</v>
      </c>
      <c r="AP17" s="47" t="s">
        <v>588</v>
      </c>
      <c r="AQ17" s="13" t="s">
        <v>588</v>
      </c>
      <c r="AR17" s="48" t="s">
        <v>588</v>
      </c>
      <c r="AS17" s="11" t="s">
        <v>588</v>
      </c>
      <c r="AT17" s="11" t="s">
        <v>588</v>
      </c>
      <c r="AU17" s="47" t="s">
        <v>588</v>
      </c>
      <c r="AV17" s="47" t="s">
        <v>588</v>
      </c>
      <c r="AW17" s="13" t="s">
        <v>588</v>
      </c>
      <c r="AX17" s="13" t="s">
        <v>588</v>
      </c>
      <c r="AY17" s="13" t="s">
        <v>588</v>
      </c>
      <c r="AZ17" s="13" t="s">
        <v>588</v>
      </c>
      <c r="BA17" s="13" t="s">
        <v>588</v>
      </c>
      <c r="BB17" s="13" t="s">
        <v>588</v>
      </c>
      <c r="BC17" s="13" t="s">
        <v>588</v>
      </c>
      <c r="BD17" s="13" t="s">
        <v>588</v>
      </c>
      <c r="BE17" s="13" t="s">
        <v>588</v>
      </c>
      <c r="BF17" s="13" t="s">
        <v>588</v>
      </c>
      <c r="BG17" s="13" t="s">
        <v>588</v>
      </c>
      <c r="BH17" s="13" t="s">
        <v>588</v>
      </c>
      <c r="BI17" s="13" t="s">
        <v>588</v>
      </c>
      <c r="BJ17" s="13" t="s">
        <v>588</v>
      </c>
      <c r="BK17" s="13" t="s">
        <v>588</v>
      </c>
      <c r="BL17" s="13" t="s">
        <v>588</v>
      </c>
      <c r="BM17" s="11" t="s">
        <v>588</v>
      </c>
      <c r="BN17" s="11" t="s">
        <v>588</v>
      </c>
      <c r="BO17" s="13" t="s">
        <v>588</v>
      </c>
      <c r="BP17" s="11" t="s">
        <v>588</v>
      </c>
      <c r="BQ17" s="13" t="s">
        <v>588</v>
      </c>
      <c r="BR17" s="13" t="s">
        <v>588</v>
      </c>
      <c r="BS17" s="11" t="s">
        <v>8</v>
      </c>
      <c r="BT17" s="11" t="s">
        <v>2623</v>
      </c>
      <c r="BU17" s="11" t="s">
        <v>588</v>
      </c>
      <c r="BV17" s="48" t="s">
        <v>588</v>
      </c>
      <c r="BW17" s="13" t="s">
        <v>588</v>
      </c>
      <c r="BX17" s="13" t="s">
        <v>588</v>
      </c>
    </row>
    <row r="18" spans="1:76" s="11" customFormat="1" x14ac:dyDescent="0.25">
      <c r="A18" s="11">
        <v>201011</v>
      </c>
      <c r="B18" s="11" t="s">
        <v>359</v>
      </c>
      <c r="C18" s="11" t="s">
        <v>359</v>
      </c>
      <c r="D18" s="48" t="s">
        <v>1844</v>
      </c>
      <c r="E18" s="55" t="s">
        <v>1844</v>
      </c>
      <c r="F18" s="11">
        <v>3</v>
      </c>
      <c r="G18" s="11" t="s">
        <v>2903</v>
      </c>
      <c r="H18" s="11" t="s">
        <v>2903</v>
      </c>
      <c r="I18" s="13">
        <v>40555</v>
      </c>
      <c r="J18" s="11">
        <v>12</v>
      </c>
      <c r="K18" s="11">
        <v>1</v>
      </c>
      <c r="L18" s="11">
        <v>2011</v>
      </c>
      <c r="M18" s="13" t="s">
        <v>2920</v>
      </c>
      <c r="N18" s="11" t="s">
        <v>12</v>
      </c>
      <c r="O18" s="48" t="s">
        <v>2126</v>
      </c>
      <c r="P18" s="56" t="s">
        <v>588</v>
      </c>
      <c r="Q18" s="56" t="s">
        <v>588</v>
      </c>
      <c r="R18" s="48" t="s">
        <v>588</v>
      </c>
      <c r="S18" s="48" t="s">
        <v>588</v>
      </c>
      <c r="T18" s="11">
        <v>3</v>
      </c>
      <c r="U18" s="11">
        <v>3</v>
      </c>
      <c r="V18" s="13" t="s">
        <v>588</v>
      </c>
      <c r="W18" s="11" t="s">
        <v>588</v>
      </c>
      <c r="X18" s="11">
        <v>2</v>
      </c>
      <c r="Y18" s="11">
        <v>2</v>
      </c>
      <c r="Z18" s="11" t="s">
        <v>8</v>
      </c>
      <c r="AA18" s="13">
        <v>40560</v>
      </c>
      <c r="AB18" s="11">
        <v>17</v>
      </c>
      <c r="AC18" s="11">
        <v>1</v>
      </c>
      <c r="AD18" s="11">
        <v>2011</v>
      </c>
      <c r="AE18" s="13" t="s">
        <v>2907</v>
      </c>
      <c r="AF18" s="11" t="s">
        <v>12</v>
      </c>
      <c r="AG18" s="47" t="s">
        <v>588</v>
      </c>
      <c r="AH18" s="11" t="s">
        <v>588</v>
      </c>
      <c r="AI18" s="11" t="s">
        <v>588</v>
      </c>
      <c r="AJ18" s="11" t="s">
        <v>588</v>
      </c>
      <c r="AK18" s="13" t="s">
        <v>588</v>
      </c>
      <c r="AL18" s="11" t="s">
        <v>588</v>
      </c>
      <c r="AM18" s="13" t="s">
        <v>588</v>
      </c>
      <c r="AN18" s="48" t="s">
        <v>588</v>
      </c>
      <c r="AO18" s="11" t="s">
        <v>588</v>
      </c>
      <c r="AP18" s="36">
        <v>40568</v>
      </c>
      <c r="AQ18" s="13" t="s">
        <v>12</v>
      </c>
      <c r="AR18" s="13" t="s">
        <v>2126</v>
      </c>
      <c r="AS18" s="48">
        <v>2</v>
      </c>
      <c r="AT18" s="48">
        <v>3</v>
      </c>
      <c r="AU18" s="36">
        <v>40568</v>
      </c>
      <c r="AV18" s="36">
        <v>40574</v>
      </c>
      <c r="AW18" s="13" t="s">
        <v>12</v>
      </c>
      <c r="AX18" s="13" t="s">
        <v>41</v>
      </c>
      <c r="AY18" s="13" t="s">
        <v>41</v>
      </c>
      <c r="AZ18" s="13" t="s">
        <v>20</v>
      </c>
      <c r="BA18" s="36">
        <v>40595</v>
      </c>
      <c r="BB18" s="13" t="s">
        <v>1996</v>
      </c>
      <c r="BC18" s="13" t="s">
        <v>588</v>
      </c>
      <c r="BD18" s="13" t="s">
        <v>588</v>
      </c>
      <c r="BE18" s="13" t="s">
        <v>588</v>
      </c>
      <c r="BF18" s="13" t="s">
        <v>588</v>
      </c>
      <c r="BG18" s="13" t="s">
        <v>588</v>
      </c>
      <c r="BH18" s="13" t="s">
        <v>588</v>
      </c>
      <c r="BI18" s="13" t="s">
        <v>588</v>
      </c>
      <c r="BJ18" s="13" t="s">
        <v>588</v>
      </c>
      <c r="BK18" s="13" t="s">
        <v>588</v>
      </c>
      <c r="BL18" s="13" t="s">
        <v>588</v>
      </c>
      <c r="BM18" s="11">
        <v>10</v>
      </c>
      <c r="BN18" s="11">
        <v>10</v>
      </c>
      <c r="BO18" s="13" t="s">
        <v>8</v>
      </c>
      <c r="BP18" s="11">
        <v>1</v>
      </c>
      <c r="BQ18" s="36">
        <v>40620</v>
      </c>
      <c r="BR18" s="13" t="s">
        <v>22</v>
      </c>
      <c r="BS18" s="11" t="s">
        <v>41</v>
      </c>
      <c r="BT18" s="11" t="s">
        <v>42</v>
      </c>
      <c r="BU18" s="11" t="s">
        <v>41</v>
      </c>
      <c r="BV18" s="11" t="s">
        <v>42</v>
      </c>
      <c r="BW18" s="13" t="s">
        <v>588</v>
      </c>
      <c r="BX18" s="13" t="s">
        <v>588</v>
      </c>
    </row>
    <row r="19" spans="1:76" s="11" customFormat="1" x14ac:dyDescent="0.25">
      <c r="A19" s="11">
        <v>201011</v>
      </c>
      <c r="B19" s="11" t="s">
        <v>561</v>
      </c>
      <c r="C19" s="11" t="s">
        <v>561</v>
      </c>
      <c r="D19" s="55" t="s">
        <v>2885</v>
      </c>
      <c r="E19" s="55" t="s">
        <v>1844</v>
      </c>
      <c r="F19" s="11">
        <v>1</v>
      </c>
      <c r="G19" s="11" t="s">
        <v>2904</v>
      </c>
      <c r="H19" s="11" t="s">
        <v>2904</v>
      </c>
      <c r="I19" s="36">
        <v>40518</v>
      </c>
      <c r="J19" s="11">
        <v>6</v>
      </c>
      <c r="K19" s="11">
        <v>12</v>
      </c>
      <c r="L19" s="11">
        <v>2010</v>
      </c>
      <c r="M19" s="13" t="s">
        <v>2921</v>
      </c>
      <c r="N19" s="11" t="s">
        <v>7</v>
      </c>
      <c r="O19" s="48" t="s">
        <v>2126</v>
      </c>
      <c r="P19" s="56" t="s">
        <v>588</v>
      </c>
      <c r="Q19" s="56" t="s">
        <v>588</v>
      </c>
      <c r="R19" s="48" t="s">
        <v>588</v>
      </c>
      <c r="S19" s="48" t="s">
        <v>588</v>
      </c>
      <c r="T19" s="11">
        <v>3</v>
      </c>
      <c r="U19" s="11">
        <v>3</v>
      </c>
      <c r="V19" s="13" t="s">
        <v>588</v>
      </c>
      <c r="W19" s="11" t="s">
        <v>588</v>
      </c>
      <c r="X19" s="11">
        <v>2</v>
      </c>
      <c r="Y19" s="11">
        <v>2</v>
      </c>
      <c r="Z19" s="11" t="s">
        <v>41</v>
      </c>
      <c r="AA19" s="36">
        <v>40518</v>
      </c>
      <c r="AB19" s="11">
        <v>6</v>
      </c>
      <c r="AC19" s="11">
        <v>12</v>
      </c>
      <c r="AD19" s="11">
        <v>2010</v>
      </c>
      <c r="AE19" s="13" t="s">
        <v>2921</v>
      </c>
      <c r="AF19" s="11" t="s">
        <v>7</v>
      </c>
      <c r="AG19" s="36">
        <v>40525</v>
      </c>
      <c r="AH19" s="11">
        <v>13</v>
      </c>
      <c r="AI19" s="11">
        <v>12</v>
      </c>
      <c r="AJ19" s="11">
        <v>2010</v>
      </c>
      <c r="AK19" s="13" t="s">
        <v>2919</v>
      </c>
      <c r="AL19" s="11" t="s">
        <v>7</v>
      </c>
      <c r="AM19" s="13" t="s">
        <v>41</v>
      </c>
      <c r="AN19" s="11" t="s">
        <v>41</v>
      </c>
      <c r="AO19" s="13" t="s">
        <v>20</v>
      </c>
      <c r="AP19" s="13" t="s">
        <v>588</v>
      </c>
      <c r="AQ19" s="13" t="s">
        <v>588</v>
      </c>
      <c r="AR19" s="48" t="s">
        <v>588</v>
      </c>
      <c r="AS19" s="11" t="s">
        <v>588</v>
      </c>
      <c r="AT19" s="11" t="s">
        <v>588</v>
      </c>
      <c r="AU19" s="13" t="s">
        <v>588</v>
      </c>
      <c r="AV19" s="13" t="s">
        <v>588</v>
      </c>
      <c r="AW19" s="13" t="s">
        <v>588</v>
      </c>
      <c r="AX19" s="13" t="s">
        <v>588</v>
      </c>
      <c r="AY19" s="13" t="s">
        <v>588</v>
      </c>
      <c r="AZ19" s="13" t="s">
        <v>588</v>
      </c>
      <c r="BA19" s="13" t="s">
        <v>588</v>
      </c>
      <c r="BB19" s="13" t="s">
        <v>588</v>
      </c>
      <c r="BC19" s="13" t="s">
        <v>588</v>
      </c>
      <c r="BD19" s="13" t="s">
        <v>588</v>
      </c>
      <c r="BE19" s="13" t="s">
        <v>588</v>
      </c>
      <c r="BF19" s="13" t="s">
        <v>588</v>
      </c>
      <c r="BG19" s="13" t="s">
        <v>588</v>
      </c>
      <c r="BH19" s="13" t="s">
        <v>588</v>
      </c>
      <c r="BI19" s="13" t="s">
        <v>588</v>
      </c>
      <c r="BJ19" s="13" t="s">
        <v>588</v>
      </c>
      <c r="BK19" s="13" t="s">
        <v>588</v>
      </c>
      <c r="BL19" s="13" t="s">
        <v>588</v>
      </c>
      <c r="BM19" s="11" t="s">
        <v>588</v>
      </c>
      <c r="BN19" s="11" t="s">
        <v>588</v>
      </c>
      <c r="BO19" s="13" t="s">
        <v>588</v>
      </c>
      <c r="BP19" s="11" t="s">
        <v>588</v>
      </c>
      <c r="BQ19" s="13" t="s">
        <v>588</v>
      </c>
      <c r="BR19" s="13" t="s">
        <v>588</v>
      </c>
      <c r="BS19" s="11" t="s">
        <v>8</v>
      </c>
      <c r="BT19" s="50" t="s">
        <v>47</v>
      </c>
      <c r="BU19" s="13" t="s">
        <v>588</v>
      </c>
      <c r="BV19" s="13" t="s">
        <v>588</v>
      </c>
      <c r="BW19" s="13" t="s">
        <v>588</v>
      </c>
      <c r="BX19" s="13" t="s">
        <v>588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9B35-788B-4CD4-B106-FC08303E030C}">
  <dimension ref="A1:BW2"/>
  <sheetViews>
    <sheetView zoomScale="80" zoomScaleNormal="80" workbookViewId="0">
      <selection activeCell="G12" sqref="G12"/>
    </sheetView>
  </sheetViews>
  <sheetFormatPr defaultRowHeight="15" x14ac:dyDescent="0.25"/>
  <cols>
    <col min="1" max="6" width="9.140625" style="11"/>
    <col min="7" max="7" width="55.85546875" style="11" bestFit="1" customWidth="1"/>
    <col min="8" max="8" width="15.5703125" style="11" bestFit="1" customWidth="1"/>
    <col min="9" max="9" width="4.5703125" style="11" bestFit="1" customWidth="1"/>
    <col min="10" max="10" width="6.7109375" style="11" bestFit="1" customWidth="1"/>
    <col min="11" max="11" width="5.5703125" style="11" bestFit="1" customWidth="1"/>
    <col min="12" max="12" width="21" style="11" bestFit="1" customWidth="1"/>
    <col min="13" max="25" width="9.140625" style="11"/>
    <col min="26" max="26" width="14.42578125" style="11" customWidth="1"/>
    <col min="27" max="27" width="4.5703125" style="11" bestFit="1" customWidth="1"/>
    <col min="28" max="28" width="6.7109375" style="11" bestFit="1" customWidth="1"/>
    <col min="29" max="29" width="5.5703125" style="11" bestFit="1" customWidth="1"/>
    <col min="30" max="30" width="24.28515625" style="11" bestFit="1" customWidth="1"/>
    <col min="31" max="40" width="9.140625" style="11"/>
    <col min="41" max="41" width="11.7109375" style="11" customWidth="1"/>
    <col min="42" max="45" width="9.140625" style="11"/>
    <col min="46" max="46" width="12.5703125" style="11" customWidth="1"/>
    <col min="47" max="70" width="9.140625" style="11"/>
    <col min="71" max="71" width="41.140625" style="11" bestFit="1" customWidth="1"/>
    <col min="72" max="72" width="9.140625" style="11"/>
    <col min="73" max="73" width="41.140625" style="11" bestFit="1" customWidth="1"/>
    <col min="74" max="16384" width="9.140625" style="11"/>
  </cols>
  <sheetData>
    <row r="1" spans="1:75" s="15" customFormat="1" x14ac:dyDescent="0.25">
      <c r="A1" s="12" t="s">
        <v>0</v>
      </c>
      <c r="B1" s="12" t="s">
        <v>139</v>
      </c>
      <c r="C1" s="49" t="s">
        <v>231</v>
      </c>
      <c r="D1" s="12" t="s">
        <v>1</v>
      </c>
      <c r="E1" s="12" t="s">
        <v>2</v>
      </c>
      <c r="F1" s="12" t="s">
        <v>140</v>
      </c>
      <c r="G1" s="49" t="s">
        <v>593</v>
      </c>
      <c r="H1" s="12" t="s">
        <v>142</v>
      </c>
      <c r="I1" s="12" t="s">
        <v>589</v>
      </c>
      <c r="J1" s="12" t="s">
        <v>590</v>
      </c>
      <c r="K1" s="12" t="s">
        <v>591</v>
      </c>
      <c r="L1" s="49" t="s">
        <v>592</v>
      </c>
      <c r="M1" s="12" t="s">
        <v>143</v>
      </c>
      <c r="N1" s="12" t="s">
        <v>3</v>
      </c>
      <c r="O1" s="12" t="s">
        <v>212</v>
      </c>
      <c r="P1" s="12" t="s">
        <v>213</v>
      </c>
      <c r="Q1" s="12" t="s">
        <v>144</v>
      </c>
      <c r="R1" s="12" t="s">
        <v>145</v>
      </c>
      <c r="S1" s="12" t="s">
        <v>146</v>
      </c>
      <c r="T1" s="12" t="s">
        <v>147</v>
      </c>
      <c r="U1" s="12" t="s">
        <v>148</v>
      </c>
      <c r="V1" s="12" t="s">
        <v>149</v>
      </c>
      <c r="W1" s="12" t="s">
        <v>150</v>
      </c>
      <c r="X1" s="12" t="s">
        <v>151</v>
      </c>
      <c r="Y1" s="12" t="s">
        <v>152</v>
      </c>
      <c r="Z1" s="12" t="s">
        <v>153</v>
      </c>
      <c r="AA1" s="12" t="s">
        <v>589</v>
      </c>
      <c r="AB1" s="12" t="s">
        <v>590</v>
      </c>
      <c r="AC1" s="12" t="s">
        <v>591</v>
      </c>
      <c r="AD1" s="49" t="s">
        <v>594</v>
      </c>
      <c r="AE1" s="12" t="s">
        <v>154</v>
      </c>
      <c r="AF1" s="12" t="s">
        <v>155</v>
      </c>
      <c r="AG1" s="12" t="s">
        <v>589</v>
      </c>
      <c r="AH1" s="12" t="s">
        <v>590</v>
      </c>
      <c r="AI1" s="12" t="s">
        <v>591</v>
      </c>
      <c r="AJ1" s="49" t="s">
        <v>595</v>
      </c>
      <c r="AK1" s="12" t="s">
        <v>156</v>
      </c>
      <c r="AL1" s="12" t="s">
        <v>157</v>
      </c>
      <c r="AM1" s="12" t="s">
        <v>158</v>
      </c>
      <c r="AN1" s="12" t="s">
        <v>159</v>
      </c>
      <c r="AO1" s="12" t="s">
        <v>160</v>
      </c>
      <c r="AP1" s="12" t="s">
        <v>161</v>
      </c>
      <c r="AQ1" s="12" t="s">
        <v>162</v>
      </c>
      <c r="AR1" s="12" t="s">
        <v>163</v>
      </c>
      <c r="AS1" s="12" t="s">
        <v>164</v>
      </c>
      <c r="AT1" s="6" t="s">
        <v>165</v>
      </c>
      <c r="AU1" s="12" t="s">
        <v>166</v>
      </c>
      <c r="AV1" s="12" t="s">
        <v>167</v>
      </c>
      <c r="AW1" s="12" t="s">
        <v>168</v>
      </c>
      <c r="AX1" s="12" t="s">
        <v>169</v>
      </c>
      <c r="AY1" s="12" t="s">
        <v>170</v>
      </c>
      <c r="AZ1" s="6" t="s">
        <v>171</v>
      </c>
      <c r="BA1" s="12" t="s">
        <v>172</v>
      </c>
      <c r="BB1" s="12" t="s">
        <v>173</v>
      </c>
      <c r="BC1" s="12" t="s">
        <v>174</v>
      </c>
      <c r="BD1" s="12" t="s">
        <v>175</v>
      </c>
      <c r="BE1" s="12" t="s">
        <v>176</v>
      </c>
      <c r="BF1" s="6" t="s">
        <v>177</v>
      </c>
      <c r="BG1" s="12" t="s">
        <v>178</v>
      </c>
      <c r="BH1" s="12" t="s">
        <v>179</v>
      </c>
      <c r="BI1" s="12" t="s">
        <v>180</v>
      </c>
      <c r="BJ1" s="12" t="s">
        <v>181</v>
      </c>
      <c r="BK1" s="12" t="s">
        <v>182</v>
      </c>
      <c r="BL1" s="12" t="s">
        <v>183</v>
      </c>
      <c r="BM1" s="12" t="s">
        <v>184</v>
      </c>
      <c r="BN1" s="12" t="s">
        <v>185</v>
      </c>
      <c r="BO1" s="12" t="s">
        <v>4</v>
      </c>
      <c r="BP1" s="12" t="s">
        <v>186</v>
      </c>
      <c r="BQ1" s="12" t="s">
        <v>187</v>
      </c>
      <c r="BR1" s="12" t="s">
        <v>188</v>
      </c>
      <c r="BS1" s="12" t="s">
        <v>596</v>
      </c>
      <c r="BT1" s="12" t="s">
        <v>190</v>
      </c>
      <c r="BU1" s="12" t="s">
        <v>597</v>
      </c>
      <c r="BV1" s="12" t="s">
        <v>192</v>
      </c>
      <c r="BW1" s="12" t="s">
        <v>193</v>
      </c>
    </row>
    <row r="2" spans="1:75" s="28" customFormat="1" x14ac:dyDescent="0.25">
      <c r="A2" s="28">
        <v>200910</v>
      </c>
      <c r="B2" s="11" t="s">
        <v>23</v>
      </c>
      <c r="C2" s="11" t="s">
        <v>23</v>
      </c>
      <c r="D2" s="31" t="s">
        <v>1844</v>
      </c>
      <c r="E2" s="31" t="s">
        <v>1844</v>
      </c>
      <c r="F2" s="28">
        <v>1</v>
      </c>
      <c r="G2" s="28" t="s">
        <v>2595</v>
      </c>
      <c r="H2" s="36">
        <v>40121</v>
      </c>
      <c r="I2" s="11">
        <v>4</v>
      </c>
      <c r="J2" s="11">
        <v>11</v>
      </c>
      <c r="K2" s="11">
        <v>2009</v>
      </c>
      <c r="L2" s="11" t="s">
        <v>2597</v>
      </c>
      <c r="M2" s="28" t="s">
        <v>17</v>
      </c>
      <c r="N2" s="28" t="s">
        <v>10</v>
      </c>
      <c r="O2" s="32" t="s">
        <v>588</v>
      </c>
      <c r="P2" s="32" t="s">
        <v>588</v>
      </c>
      <c r="Q2" s="28" t="s">
        <v>588</v>
      </c>
      <c r="R2" s="28" t="s">
        <v>588</v>
      </c>
      <c r="S2" s="28">
        <v>3</v>
      </c>
      <c r="T2" s="28">
        <v>3</v>
      </c>
      <c r="U2" s="28" t="s">
        <v>588</v>
      </c>
      <c r="V2" s="28" t="s">
        <v>588</v>
      </c>
      <c r="W2" s="28">
        <v>2</v>
      </c>
      <c r="X2" s="28">
        <v>2</v>
      </c>
      <c r="Y2" s="28" t="s">
        <v>8</v>
      </c>
      <c r="Z2" s="36">
        <v>40133</v>
      </c>
      <c r="AA2" s="11">
        <v>16</v>
      </c>
      <c r="AB2" s="11">
        <v>11</v>
      </c>
      <c r="AC2" s="11">
        <v>2009</v>
      </c>
      <c r="AD2" s="13" t="s">
        <v>2598</v>
      </c>
      <c r="AE2" s="28" t="s">
        <v>17</v>
      </c>
      <c r="AF2" s="29" t="s">
        <v>588</v>
      </c>
      <c r="AG2" s="28" t="s">
        <v>588</v>
      </c>
      <c r="AH2" s="28" t="s">
        <v>588</v>
      </c>
      <c r="AI2" s="28" t="s">
        <v>588</v>
      </c>
      <c r="AJ2" s="28" t="s">
        <v>588</v>
      </c>
      <c r="AK2" s="28" t="s">
        <v>588</v>
      </c>
      <c r="AL2" s="29" t="s">
        <v>588</v>
      </c>
      <c r="AM2" s="28" t="s">
        <v>588</v>
      </c>
      <c r="AN2" s="29" t="s">
        <v>588</v>
      </c>
      <c r="AO2" s="36">
        <v>40153</v>
      </c>
      <c r="AP2" s="29" t="s">
        <v>7</v>
      </c>
      <c r="AQ2" s="11" t="s">
        <v>195</v>
      </c>
      <c r="AR2" s="28">
        <v>1</v>
      </c>
      <c r="AS2" s="28">
        <v>3</v>
      </c>
      <c r="AT2" s="36">
        <v>40156</v>
      </c>
      <c r="AU2" s="34" t="s">
        <v>1996</v>
      </c>
      <c r="AV2" s="29" t="s">
        <v>588</v>
      </c>
      <c r="AW2" s="29" t="s">
        <v>588</v>
      </c>
      <c r="AX2" s="29" t="s">
        <v>588</v>
      </c>
      <c r="AY2" s="29" t="s">
        <v>588</v>
      </c>
      <c r="AZ2" s="34" t="s">
        <v>588</v>
      </c>
      <c r="BA2" s="34" t="s">
        <v>588</v>
      </c>
      <c r="BB2" s="29" t="s">
        <v>588</v>
      </c>
      <c r="BC2" s="29" t="s">
        <v>588</v>
      </c>
      <c r="BD2" s="29" t="s">
        <v>588</v>
      </c>
      <c r="BE2" s="29" t="s">
        <v>588</v>
      </c>
      <c r="BF2" s="29" t="s">
        <v>588</v>
      </c>
      <c r="BG2" s="29" t="s">
        <v>588</v>
      </c>
      <c r="BH2" s="29" t="s">
        <v>588</v>
      </c>
      <c r="BI2" s="29" t="s">
        <v>588</v>
      </c>
      <c r="BJ2" s="29" t="s">
        <v>588</v>
      </c>
      <c r="BK2" s="29" t="s">
        <v>588</v>
      </c>
      <c r="BL2" s="28">
        <v>4</v>
      </c>
      <c r="BM2" s="28">
        <v>2</v>
      </c>
      <c r="BN2" s="29" t="s">
        <v>647</v>
      </c>
      <c r="BO2" s="29" t="s">
        <v>588</v>
      </c>
      <c r="BP2" s="29" t="s">
        <v>588</v>
      </c>
      <c r="BQ2" s="29" t="s">
        <v>588</v>
      </c>
      <c r="BR2" s="28" t="s">
        <v>8</v>
      </c>
      <c r="BS2" s="50" t="s">
        <v>2596</v>
      </c>
      <c r="BT2" s="29" t="s">
        <v>8</v>
      </c>
      <c r="BU2" s="50" t="s">
        <v>2596</v>
      </c>
      <c r="BV2" s="29" t="s">
        <v>588</v>
      </c>
      <c r="BW2" s="29" t="s">
        <v>588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68EE-AFE8-40AE-B435-1E4486931201}">
  <dimension ref="A1:BW14"/>
  <sheetViews>
    <sheetView zoomScale="80" zoomScaleNormal="80" workbookViewId="0">
      <selection activeCell="C1" sqref="C1"/>
    </sheetView>
  </sheetViews>
  <sheetFormatPr defaultRowHeight="15" x14ac:dyDescent="0.25"/>
  <cols>
    <col min="1" max="2" width="9.140625" style="11"/>
    <col min="3" max="3" width="46.28515625" style="11" bestFit="1" customWidth="1"/>
    <col min="4" max="6" width="9.140625" style="11"/>
    <col min="7" max="7" width="55.85546875" style="11" bestFit="1" customWidth="1"/>
    <col min="8" max="8" width="15.5703125" style="11" bestFit="1" customWidth="1"/>
    <col min="9" max="9" width="4.5703125" style="11" bestFit="1" customWidth="1"/>
    <col min="10" max="10" width="6.7109375" style="11" bestFit="1" customWidth="1"/>
    <col min="11" max="11" width="5.5703125" style="11" bestFit="1" customWidth="1"/>
    <col min="12" max="12" width="21" style="11" bestFit="1" customWidth="1"/>
    <col min="13" max="20" width="9.140625" style="11"/>
    <col min="21" max="21" width="13.42578125" style="11" customWidth="1"/>
    <col min="22" max="25" width="9.140625" style="11"/>
    <col min="26" max="26" width="11.42578125" style="11" customWidth="1"/>
    <col min="27" max="29" width="8.42578125" style="11" bestFit="1" customWidth="1"/>
    <col min="30" max="30" width="24.28515625" style="11" bestFit="1" customWidth="1"/>
    <col min="31" max="31" width="9.140625" style="11"/>
    <col min="32" max="32" width="13.28515625" style="11" customWidth="1"/>
    <col min="33" max="33" width="4.5703125" style="11" bestFit="1" customWidth="1"/>
    <col min="34" max="34" width="6.7109375" style="11" bestFit="1" customWidth="1"/>
    <col min="35" max="35" width="5.5703125" style="11" bestFit="1" customWidth="1"/>
    <col min="36" max="36" width="22.7109375" style="11" bestFit="1" customWidth="1"/>
    <col min="37" max="40" width="9.140625" style="11"/>
    <col min="41" max="41" width="14" style="11" customWidth="1"/>
    <col min="42" max="45" width="9.140625" style="11"/>
    <col min="46" max="46" width="11.7109375" style="11" customWidth="1"/>
    <col min="47" max="47" width="11.85546875" style="11" customWidth="1"/>
    <col min="48" max="51" width="9.140625" style="11"/>
    <col min="52" max="53" width="12.5703125" style="11" customWidth="1"/>
    <col min="54" max="57" width="9.140625" style="11"/>
    <col min="58" max="58" width="12.42578125" style="11" customWidth="1"/>
    <col min="59" max="67" width="9.140625" style="11"/>
    <col min="68" max="68" width="11.28515625" style="11" customWidth="1"/>
    <col min="69" max="70" width="9.140625" style="11"/>
    <col min="71" max="71" width="41.5703125" style="11" bestFit="1" customWidth="1"/>
    <col min="72" max="72" width="15.140625" style="11" bestFit="1" customWidth="1"/>
    <col min="73" max="73" width="49.85546875" style="11" bestFit="1" customWidth="1"/>
    <col min="74" max="16384" width="9.140625" style="11"/>
  </cols>
  <sheetData>
    <row r="1" spans="1:75" s="15" customFormat="1" x14ac:dyDescent="0.25">
      <c r="A1" s="12" t="s">
        <v>0</v>
      </c>
      <c r="B1" s="12" t="s">
        <v>139</v>
      </c>
      <c r="C1" s="49" t="s">
        <v>231</v>
      </c>
      <c r="D1" s="12" t="s">
        <v>1</v>
      </c>
      <c r="E1" s="12" t="s">
        <v>2</v>
      </c>
      <c r="F1" s="12" t="s">
        <v>140</v>
      </c>
      <c r="G1" s="49" t="s">
        <v>593</v>
      </c>
      <c r="H1" s="12" t="s">
        <v>142</v>
      </c>
      <c r="I1" s="12" t="s">
        <v>589</v>
      </c>
      <c r="J1" s="12" t="s">
        <v>590</v>
      </c>
      <c r="K1" s="12" t="s">
        <v>591</v>
      </c>
      <c r="L1" s="49" t="s">
        <v>592</v>
      </c>
      <c r="M1" s="12" t="s">
        <v>143</v>
      </c>
      <c r="N1" s="12" t="s">
        <v>3</v>
      </c>
      <c r="O1" s="12" t="s">
        <v>212</v>
      </c>
      <c r="P1" s="12" t="s">
        <v>213</v>
      </c>
      <c r="Q1" s="12" t="s">
        <v>144</v>
      </c>
      <c r="R1" s="12" t="s">
        <v>145</v>
      </c>
      <c r="S1" s="12" t="s">
        <v>146</v>
      </c>
      <c r="T1" s="12" t="s">
        <v>147</v>
      </c>
      <c r="U1" s="12" t="s">
        <v>148</v>
      </c>
      <c r="V1" s="12" t="s">
        <v>149</v>
      </c>
      <c r="W1" s="12" t="s">
        <v>150</v>
      </c>
      <c r="X1" s="12" t="s">
        <v>151</v>
      </c>
      <c r="Y1" s="12" t="s">
        <v>152</v>
      </c>
      <c r="Z1" s="12" t="s">
        <v>153</v>
      </c>
      <c r="AA1" s="12" t="s">
        <v>589</v>
      </c>
      <c r="AB1" s="12" t="s">
        <v>590</v>
      </c>
      <c r="AC1" s="12" t="s">
        <v>591</v>
      </c>
      <c r="AD1" s="49" t="s">
        <v>594</v>
      </c>
      <c r="AE1" s="12" t="s">
        <v>154</v>
      </c>
      <c r="AF1" s="12" t="s">
        <v>155</v>
      </c>
      <c r="AG1" s="12" t="s">
        <v>589</v>
      </c>
      <c r="AH1" s="12" t="s">
        <v>590</v>
      </c>
      <c r="AI1" s="12" t="s">
        <v>591</v>
      </c>
      <c r="AJ1" s="49" t="s">
        <v>595</v>
      </c>
      <c r="AK1" s="12" t="s">
        <v>156</v>
      </c>
      <c r="AL1" s="12" t="s">
        <v>157</v>
      </c>
      <c r="AM1" s="12" t="s">
        <v>158</v>
      </c>
      <c r="AN1" s="12" t="s">
        <v>159</v>
      </c>
      <c r="AO1" s="12" t="s">
        <v>160</v>
      </c>
      <c r="AP1" s="12" t="s">
        <v>161</v>
      </c>
      <c r="AQ1" s="12" t="s">
        <v>162</v>
      </c>
      <c r="AR1" s="12" t="s">
        <v>163</v>
      </c>
      <c r="AS1" s="12" t="s">
        <v>164</v>
      </c>
      <c r="AT1" s="6" t="s">
        <v>165</v>
      </c>
      <c r="AU1" s="12" t="s">
        <v>166</v>
      </c>
      <c r="AV1" s="12" t="s">
        <v>167</v>
      </c>
      <c r="AW1" s="12" t="s">
        <v>168</v>
      </c>
      <c r="AX1" s="12" t="s">
        <v>169</v>
      </c>
      <c r="AY1" s="12" t="s">
        <v>170</v>
      </c>
      <c r="AZ1" s="6" t="s">
        <v>171</v>
      </c>
      <c r="BA1" s="12" t="s">
        <v>172</v>
      </c>
      <c r="BB1" s="12" t="s">
        <v>173</v>
      </c>
      <c r="BC1" s="12" t="s">
        <v>174</v>
      </c>
      <c r="BD1" s="12" t="s">
        <v>175</v>
      </c>
      <c r="BE1" s="12" t="s">
        <v>176</v>
      </c>
      <c r="BF1" s="6" t="s">
        <v>177</v>
      </c>
      <c r="BG1" s="12" t="s">
        <v>178</v>
      </c>
      <c r="BH1" s="12" t="s">
        <v>179</v>
      </c>
      <c r="BI1" s="12" t="s">
        <v>180</v>
      </c>
      <c r="BJ1" s="12" t="s">
        <v>181</v>
      </c>
      <c r="BK1" s="12" t="s">
        <v>182</v>
      </c>
      <c r="BL1" s="12" t="s">
        <v>183</v>
      </c>
      <c r="BM1" s="12" t="s">
        <v>184</v>
      </c>
      <c r="BN1" s="12" t="s">
        <v>185</v>
      </c>
      <c r="BO1" s="12" t="s">
        <v>4</v>
      </c>
      <c r="BP1" s="12" t="s">
        <v>186</v>
      </c>
      <c r="BQ1" s="12" t="s">
        <v>187</v>
      </c>
      <c r="BR1" s="12" t="s">
        <v>188</v>
      </c>
      <c r="BS1" s="12" t="s">
        <v>596</v>
      </c>
      <c r="BT1" s="12" t="s">
        <v>190</v>
      </c>
      <c r="BU1" s="12" t="s">
        <v>597</v>
      </c>
      <c r="BV1" s="12" t="s">
        <v>192</v>
      </c>
      <c r="BW1" s="12" t="s">
        <v>193</v>
      </c>
    </row>
    <row r="2" spans="1:75" x14ac:dyDescent="0.25">
      <c r="A2" s="11">
        <v>200809</v>
      </c>
      <c r="B2" t="s">
        <v>1906</v>
      </c>
      <c r="C2" t="s">
        <v>1906</v>
      </c>
      <c r="D2" s="11" t="s">
        <v>2599</v>
      </c>
      <c r="E2" s="11" t="s">
        <v>1844</v>
      </c>
      <c r="F2" s="11">
        <v>1</v>
      </c>
      <c r="G2" s="11" t="s">
        <v>2718</v>
      </c>
      <c r="H2" s="13">
        <v>39747</v>
      </c>
      <c r="I2" s="11">
        <f t="shared" ref="I2" si="0">DAY(H2)</f>
        <v>26</v>
      </c>
      <c r="J2" s="11">
        <f t="shared" ref="J2" si="1">MONTH(H2)</f>
        <v>10</v>
      </c>
      <c r="K2" s="11">
        <f t="shared" ref="K2" si="2">YEAR(H2)</f>
        <v>2008</v>
      </c>
      <c r="L2" s="11" t="str">
        <f t="shared" ref="L2" si="3">CONCATENATE(TEXT(I2,"00"),TEXT(J2,"00"),TEXT(K2,"0000"))</f>
        <v>26102008</v>
      </c>
      <c r="M2" s="11" t="s">
        <v>29</v>
      </c>
      <c r="N2" s="11" t="s">
        <v>2126</v>
      </c>
      <c r="O2" s="11" t="s">
        <v>588</v>
      </c>
      <c r="P2" s="11" t="s">
        <v>588</v>
      </c>
      <c r="Q2" s="11" t="s">
        <v>588</v>
      </c>
      <c r="R2" s="11" t="s">
        <v>588</v>
      </c>
      <c r="S2" s="11">
        <v>3</v>
      </c>
      <c r="T2" s="11">
        <v>3</v>
      </c>
      <c r="U2" s="11" t="s">
        <v>588</v>
      </c>
      <c r="V2" s="11" t="s">
        <v>588</v>
      </c>
      <c r="W2" s="11">
        <v>7</v>
      </c>
      <c r="X2" s="11">
        <v>7</v>
      </c>
      <c r="Y2" s="11" t="s">
        <v>41</v>
      </c>
      <c r="Z2" s="13">
        <v>39766</v>
      </c>
      <c r="AA2" s="11">
        <f t="shared" ref="AA2" si="4">DAY(Z2)</f>
        <v>14</v>
      </c>
      <c r="AB2" s="11">
        <f t="shared" ref="AB2" si="5">MONTH(Z2)</f>
        <v>11</v>
      </c>
      <c r="AC2" s="11">
        <f t="shared" ref="AC2" si="6">YEAR(Z2)</f>
        <v>2008</v>
      </c>
      <c r="AD2" s="13" t="str">
        <f t="shared" ref="AD2" si="7">CONCATENATE(TEXT(AA2,"00"),TEXT(AB2,"00"),TEXT(AC2,"0000"))</f>
        <v>14112008</v>
      </c>
      <c r="AE2" s="11" t="s">
        <v>17</v>
      </c>
      <c r="AF2" s="13">
        <v>39768</v>
      </c>
      <c r="AG2" s="11">
        <f t="shared" ref="AG2" si="8">DAY(AF2)</f>
        <v>16</v>
      </c>
      <c r="AH2" s="11">
        <f t="shared" ref="AH2" si="9">MONTH(AF2)</f>
        <v>11</v>
      </c>
      <c r="AI2" s="11">
        <f t="shared" ref="AI2" si="10">YEAR(AF2)</f>
        <v>2008</v>
      </c>
      <c r="AJ2" s="13" t="str">
        <f t="shared" ref="AJ2" si="11">CONCATENATE(TEXT(AG2,"00"),TEXT(AH2,"00"),TEXT(AI2,"0000"))</f>
        <v>16112008</v>
      </c>
      <c r="AK2" s="11" t="s">
        <v>17</v>
      </c>
      <c r="AL2" s="11" t="s">
        <v>41</v>
      </c>
      <c r="AM2" s="11" t="s">
        <v>41</v>
      </c>
      <c r="AN2" s="11" t="s">
        <v>20</v>
      </c>
      <c r="AO2" s="11" t="s">
        <v>588</v>
      </c>
      <c r="AP2" s="11" t="s">
        <v>588</v>
      </c>
      <c r="AQ2" s="11" t="s">
        <v>588</v>
      </c>
      <c r="AR2" s="11" t="s">
        <v>588</v>
      </c>
      <c r="AS2" s="11" t="s">
        <v>588</v>
      </c>
      <c r="AT2" s="11" t="s">
        <v>588</v>
      </c>
      <c r="AU2" s="11" t="s">
        <v>588</v>
      </c>
      <c r="AV2" s="11" t="s">
        <v>588</v>
      </c>
      <c r="AW2" s="11" t="s">
        <v>588</v>
      </c>
      <c r="AX2" s="11" t="s">
        <v>588</v>
      </c>
      <c r="AY2" s="11" t="s">
        <v>588</v>
      </c>
      <c r="AZ2" s="11" t="s">
        <v>588</v>
      </c>
      <c r="BA2" s="11" t="s">
        <v>588</v>
      </c>
      <c r="BB2" s="11" t="s">
        <v>588</v>
      </c>
      <c r="BC2" s="11" t="s">
        <v>588</v>
      </c>
      <c r="BD2" s="11" t="s">
        <v>588</v>
      </c>
      <c r="BE2" s="11" t="s">
        <v>588</v>
      </c>
      <c r="BF2" s="11" t="s">
        <v>588</v>
      </c>
      <c r="BG2" s="11" t="s">
        <v>588</v>
      </c>
      <c r="BH2" s="11" t="s">
        <v>588</v>
      </c>
      <c r="BI2" s="11" t="s">
        <v>588</v>
      </c>
      <c r="BJ2" s="11" t="s">
        <v>588</v>
      </c>
      <c r="BK2" s="11" t="s">
        <v>588</v>
      </c>
      <c r="BL2" s="11" t="s">
        <v>588</v>
      </c>
      <c r="BM2" s="11" t="s">
        <v>588</v>
      </c>
      <c r="BN2" s="11" t="s">
        <v>588</v>
      </c>
      <c r="BO2" s="11" t="s">
        <v>588</v>
      </c>
      <c r="BP2" s="11" t="s">
        <v>588</v>
      </c>
      <c r="BQ2" s="11" t="s">
        <v>588</v>
      </c>
      <c r="BR2" s="11" t="s">
        <v>8</v>
      </c>
      <c r="BS2" s="11" t="s">
        <v>2596</v>
      </c>
      <c r="BT2" s="11" t="s">
        <v>588</v>
      </c>
      <c r="BU2" s="11" t="s">
        <v>588</v>
      </c>
      <c r="BV2" s="11" t="s">
        <v>588</v>
      </c>
      <c r="BW2" s="11" t="s">
        <v>588</v>
      </c>
    </row>
    <row r="3" spans="1:75" x14ac:dyDescent="0.25">
      <c r="A3" s="11">
        <v>200809</v>
      </c>
      <c r="B3" t="s">
        <v>1906</v>
      </c>
      <c r="C3" t="s">
        <v>1906</v>
      </c>
      <c r="D3" s="11" t="s">
        <v>2599</v>
      </c>
      <c r="E3" s="11" t="s">
        <v>1844</v>
      </c>
      <c r="F3" s="11">
        <v>2</v>
      </c>
      <c r="G3" s="11" t="s">
        <v>2719</v>
      </c>
      <c r="H3" s="13">
        <v>39780</v>
      </c>
      <c r="I3" s="11">
        <f t="shared" ref="I3:I14" si="12">DAY(H3)</f>
        <v>28</v>
      </c>
      <c r="J3" s="11">
        <f t="shared" ref="J3:J14" si="13">MONTH(H3)</f>
        <v>11</v>
      </c>
      <c r="K3" s="11">
        <f t="shared" ref="K3:K14" si="14">YEAR(H3)</f>
        <v>2008</v>
      </c>
      <c r="L3" s="11" t="str">
        <f t="shared" ref="L3:L14" si="15">CONCATENATE(TEXT(I3,"00"),TEXT(J3,"00"),TEXT(K3,"0000"))</f>
        <v>28112008</v>
      </c>
      <c r="M3" s="11" t="s">
        <v>17</v>
      </c>
      <c r="N3" s="11" t="s">
        <v>10</v>
      </c>
      <c r="O3" s="11" t="s">
        <v>588</v>
      </c>
      <c r="P3" s="11" t="s">
        <v>588</v>
      </c>
      <c r="Q3" s="11" t="s">
        <v>588</v>
      </c>
      <c r="R3" s="11" t="s">
        <v>588</v>
      </c>
      <c r="S3" s="11">
        <v>2</v>
      </c>
      <c r="T3" s="11">
        <v>3</v>
      </c>
      <c r="U3" s="13">
        <v>39785</v>
      </c>
      <c r="V3" s="11" t="s">
        <v>219</v>
      </c>
      <c r="W3" s="11">
        <v>9</v>
      </c>
      <c r="X3" s="11">
        <v>9</v>
      </c>
      <c r="Y3" s="11" t="s">
        <v>8</v>
      </c>
      <c r="Z3" s="13">
        <v>39810</v>
      </c>
      <c r="AA3" s="11">
        <f t="shared" ref="AA3:AA14" si="16">DAY(Z3)</f>
        <v>28</v>
      </c>
      <c r="AB3" s="11">
        <f t="shared" ref="AB3:AB14" si="17">MONTH(Z3)</f>
        <v>12</v>
      </c>
      <c r="AC3" s="11">
        <f t="shared" ref="AC3:AC14" si="18">YEAR(Z3)</f>
        <v>2008</v>
      </c>
      <c r="AD3" s="13" t="str">
        <f t="shared" ref="AD3:AD14" si="19">CONCATENATE(TEXT(AA3,"00"),TEXT(AB3,"00"),TEXT(AC3,"0000"))</f>
        <v>28122008</v>
      </c>
      <c r="AE3" s="11" t="s">
        <v>7</v>
      </c>
      <c r="AF3" s="11" t="s">
        <v>588</v>
      </c>
      <c r="AG3" s="11" t="s">
        <v>588</v>
      </c>
      <c r="AH3" s="11" t="s">
        <v>588</v>
      </c>
      <c r="AI3" s="11" t="s">
        <v>588</v>
      </c>
      <c r="AJ3" s="11" t="s">
        <v>588</v>
      </c>
      <c r="AK3" s="11" t="s">
        <v>588</v>
      </c>
      <c r="AL3" s="11" t="s">
        <v>588</v>
      </c>
      <c r="AM3" s="11" t="s">
        <v>2600</v>
      </c>
      <c r="AN3" s="11" t="s">
        <v>588</v>
      </c>
      <c r="AO3" s="13">
        <v>39814</v>
      </c>
      <c r="AP3" s="11" t="s">
        <v>12</v>
      </c>
      <c r="AQ3" s="11" t="s">
        <v>195</v>
      </c>
      <c r="AR3" s="11">
        <v>1</v>
      </c>
      <c r="AS3" s="11">
        <v>1</v>
      </c>
      <c r="AT3" s="13">
        <v>39814</v>
      </c>
      <c r="AU3" s="13">
        <v>39816</v>
      </c>
      <c r="AV3" s="11" t="s">
        <v>12</v>
      </c>
      <c r="AW3" s="11" t="s">
        <v>41</v>
      </c>
      <c r="AX3" s="11" t="s">
        <v>41</v>
      </c>
      <c r="AY3" s="11" t="s">
        <v>20</v>
      </c>
      <c r="AZ3" s="11" t="s">
        <v>588</v>
      </c>
      <c r="BA3" s="11" t="s">
        <v>588</v>
      </c>
      <c r="BB3" s="11" t="s">
        <v>588</v>
      </c>
      <c r="BC3" s="11" t="s">
        <v>588</v>
      </c>
      <c r="BD3" s="11" t="s">
        <v>588</v>
      </c>
      <c r="BE3" s="11" t="s">
        <v>588</v>
      </c>
      <c r="BF3" s="11" t="s">
        <v>588</v>
      </c>
      <c r="BG3" s="11" t="s">
        <v>588</v>
      </c>
      <c r="BH3" s="11" t="s">
        <v>588</v>
      </c>
      <c r="BI3" s="11" t="s">
        <v>588</v>
      </c>
      <c r="BJ3" s="11" t="s">
        <v>588</v>
      </c>
      <c r="BK3" s="11" t="s">
        <v>588</v>
      </c>
      <c r="BL3" s="11">
        <v>2</v>
      </c>
      <c r="BM3" s="11">
        <v>2</v>
      </c>
      <c r="BN3" s="11" t="s">
        <v>41</v>
      </c>
      <c r="BO3" s="11" t="s">
        <v>588</v>
      </c>
      <c r="BP3" s="11" t="s">
        <v>588</v>
      </c>
      <c r="BQ3" s="11" t="s">
        <v>588</v>
      </c>
      <c r="BR3" s="11" t="s">
        <v>8</v>
      </c>
      <c r="BS3" s="11" t="s">
        <v>2596</v>
      </c>
      <c r="BT3" s="11" t="s">
        <v>8</v>
      </c>
      <c r="BU3" s="11" t="s">
        <v>2596</v>
      </c>
      <c r="BV3" s="11" t="s">
        <v>588</v>
      </c>
      <c r="BW3" s="11" t="s">
        <v>588</v>
      </c>
    </row>
    <row r="4" spans="1:75" x14ac:dyDescent="0.25">
      <c r="A4" s="11">
        <v>200809</v>
      </c>
      <c r="B4" s="11" t="s">
        <v>553</v>
      </c>
      <c r="C4" s="11" t="s">
        <v>553</v>
      </c>
      <c r="D4" s="11" t="s">
        <v>2601</v>
      </c>
      <c r="E4" s="11" t="s">
        <v>2602</v>
      </c>
      <c r="F4" s="11">
        <v>1</v>
      </c>
      <c r="G4" s="11" t="s">
        <v>2603</v>
      </c>
      <c r="H4" s="13">
        <v>39754</v>
      </c>
      <c r="I4" s="11">
        <f t="shared" si="12"/>
        <v>2</v>
      </c>
      <c r="J4" s="11">
        <f t="shared" si="13"/>
        <v>11</v>
      </c>
      <c r="K4" s="11">
        <f t="shared" si="14"/>
        <v>2008</v>
      </c>
      <c r="L4" s="11" t="str">
        <f t="shared" si="15"/>
        <v>02112008</v>
      </c>
      <c r="M4" s="11" t="s">
        <v>17</v>
      </c>
      <c r="N4" s="11" t="s">
        <v>51</v>
      </c>
      <c r="O4" s="11" t="s">
        <v>588</v>
      </c>
      <c r="P4" s="11" t="s">
        <v>588</v>
      </c>
      <c r="Q4" s="11" t="s">
        <v>588</v>
      </c>
      <c r="R4" s="11" t="s">
        <v>588</v>
      </c>
      <c r="S4" s="11">
        <v>3</v>
      </c>
      <c r="T4" s="11">
        <v>3</v>
      </c>
      <c r="U4" s="11" t="s">
        <v>588</v>
      </c>
      <c r="V4" s="11" t="s">
        <v>588</v>
      </c>
      <c r="W4" s="11">
        <v>4</v>
      </c>
      <c r="X4" s="11">
        <v>3</v>
      </c>
      <c r="Y4" s="11" t="s">
        <v>41</v>
      </c>
      <c r="Z4" s="13">
        <v>39755</v>
      </c>
      <c r="AA4" s="11">
        <f t="shared" si="16"/>
        <v>3</v>
      </c>
      <c r="AB4" s="11">
        <f t="shared" si="17"/>
        <v>11</v>
      </c>
      <c r="AC4" s="11">
        <f t="shared" si="18"/>
        <v>2008</v>
      </c>
      <c r="AD4" s="13" t="str">
        <f t="shared" si="19"/>
        <v>03112008</v>
      </c>
      <c r="AE4" s="11" t="s">
        <v>17</v>
      </c>
      <c r="AF4" s="13">
        <v>39761</v>
      </c>
      <c r="AG4" s="11">
        <f t="shared" ref="AG4:AG13" si="20">DAY(AF4)</f>
        <v>9</v>
      </c>
      <c r="AH4" s="11">
        <f t="shared" ref="AH4:AH13" si="21">MONTH(AF4)</f>
        <v>11</v>
      </c>
      <c r="AI4" s="11">
        <f t="shared" ref="AI4:AI13" si="22">YEAR(AF4)</f>
        <v>2008</v>
      </c>
      <c r="AJ4" s="13" t="str">
        <f t="shared" ref="AJ4:AJ13" si="23">CONCATENATE(TEXT(AG4,"00"),TEXT(AH4,"00"),TEXT(AI4,"0000"))</f>
        <v>09112008</v>
      </c>
      <c r="AK4" s="11" t="s">
        <v>17</v>
      </c>
      <c r="AL4" s="11" t="s">
        <v>41</v>
      </c>
      <c r="AM4" s="11" t="s">
        <v>8</v>
      </c>
      <c r="AN4" s="11" t="s">
        <v>1615</v>
      </c>
      <c r="AO4" s="11" t="s">
        <v>588</v>
      </c>
      <c r="AP4" s="11" t="s">
        <v>588</v>
      </c>
      <c r="AQ4" s="11" t="s">
        <v>588</v>
      </c>
      <c r="AR4" s="11" t="s">
        <v>588</v>
      </c>
      <c r="AS4" s="11" t="s">
        <v>588</v>
      </c>
      <c r="AT4" s="11" t="s">
        <v>588</v>
      </c>
      <c r="AU4" s="11" t="s">
        <v>588</v>
      </c>
      <c r="AV4" s="11" t="s">
        <v>588</v>
      </c>
      <c r="AW4" s="11" t="s">
        <v>588</v>
      </c>
      <c r="AX4" s="11" t="s">
        <v>588</v>
      </c>
      <c r="AY4" s="11" t="s">
        <v>588</v>
      </c>
      <c r="AZ4" s="11" t="s">
        <v>588</v>
      </c>
      <c r="BA4" s="11" t="s">
        <v>588</v>
      </c>
      <c r="BB4" s="11" t="s">
        <v>588</v>
      </c>
      <c r="BC4" s="11" t="s">
        <v>588</v>
      </c>
      <c r="BD4" s="11" t="s">
        <v>588</v>
      </c>
      <c r="BE4" s="11" t="s">
        <v>588</v>
      </c>
      <c r="BF4" s="11" t="s">
        <v>588</v>
      </c>
      <c r="BG4" s="11" t="s">
        <v>588</v>
      </c>
      <c r="BH4" s="11" t="s">
        <v>588</v>
      </c>
      <c r="BI4" s="11" t="s">
        <v>588</v>
      </c>
      <c r="BJ4" s="11" t="s">
        <v>588</v>
      </c>
      <c r="BK4" s="11" t="s">
        <v>588</v>
      </c>
      <c r="BL4" s="11" t="s">
        <v>588</v>
      </c>
      <c r="BM4" s="11" t="s">
        <v>588</v>
      </c>
      <c r="BN4" s="11" t="s">
        <v>588</v>
      </c>
      <c r="BO4" s="11" t="s">
        <v>588</v>
      </c>
      <c r="BP4" s="11" t="s">
        <v>588</v>
      </c>
      <c r="BQ4" s="11" t="s">
        <v>588</v>
      </c>
      <c r="BR4" s="11" t="s">
        <v>8</v>
      </c>
      <c r="BS4" s="11" t="s">
        <v>2623</v>
      </c>
      <c r="BT4" s="11" t="s">
        <v>588</v>
      </c>
      <c r="BU4" s="11" t="s">
        <v>588</v>
      </c>
      <c r="BV4" s="11" t="s">
        <v>588</v>
      </c>
      <c r="BW4" s="11" t="s">
        <v>588</v>
      </c>
    </row>
    <row r="5" spans="1:75" x14ac:dyDescent="0.25">
      <c r="A5" s="11">
        <v>200809</v>
      </c>
      <c r="B5" s="11" t="s">
        <v>320</v>
      </c>
      <c r="C5" s="11" t="s">
        <v>320</v>
      </c>
      <c r="D5" s="11" t="s">
        <v>1844</v>
      </c>
      <c r="E5" s="11" t="s">
        <v>1844</v>
      </c>
      <c r="F5" s="11">
        <v>1</v>
      </c>
      <c r="G5" s="11" t="s">
        <v>2604</v>
      </c>
      <c r="H5" s="13">
        <v>39849</v>
      </c>
      <c r="I5" s="11">
        <f t="shared" si="12"/>
        <v>5</v>
      </c>
      <c r="J5" s="11">
        <f t="shared" si="13"/>
        <v>2</v>
      </c>
      <c r="K5" s="11">
        <f t="shared" si="14"/>
        <v>2009</v>
      </c>
      <c r="L5" s="11" t="str">
        <f t="shared" si="15"/>
        <v>05022009</v>
      </c>
      <c r="M5" s="11" t="s">
        <v>21</v>
      </c>
      <c r="N5" s="11" t="s">
        <v>51</v>
      </c>
      <c r="O5" s="11" t="s">
        <v>588</v>
      </c>
      <c r="P5" s="11" t="s">
        <v>588</v>
      </c>
      <c r="Q5" s="11" t="s">
        <v>588</v>
      </c>
      <c r="R5" s="11" t="s">
        <v>588</v>
      </c>
      <c r="S5" s="11">
        <v>3</v>
      </c>
      <c r="T5" s="11">
        <v>3</v>
      </c>
      <c r="U5" s="11" t="s">
        <v>588</v>
      </c>
      <c r="V5" s="11" t="s">
        <v>588</v>
      </c>
      <c r="W5" s="11">
        <v>6</v>
      </c>
      <c r="X5" s="11">
        <v>5</v>
      </c>
      <c r="Y5" s="11" t="s">
        <v>8</v>
      </c>
      <c r="Z5" s="13">
        <v>39866</v>
      </c>
      <c r="AA5" s="11">
        <f t="shared" si="16"/>
        <v>22</v>
      </c>
      <c r="AB5" s="11">
        <f t="shared" si="17"/>
        <v>2</v>
      </c>
      <c r="AC5" s="11">
        <f t="shared" si="18"/>
        <v>2009</v>
      </c>
      <c r="AD5" s="13" t="str">
        <f t="shared" si="19"/>
        <v>22022009</v>
      </c>
      <c r="AE5" s="11" t="s">
        <v>21</v>
      </c>
      <c r="AF5" s="11" t="s">
        <v>588</v>
      </c>
      <c r="AG5" s="11" t="s">
        <v>588</v>
      </c>
      <c r="AH5" s="11" t="s">
        <v>588</v>
      </c>
      <c r="AI5" s="11" t="s">
        <v>588</v>
      </c>
      <c r="AJ5" s="11" t="s">
        <v>588</v>
      </c>
      <c r="AK5" s="11" t="s">
        <v>588</v>
      </c>
      <c r="AL5" s="11" t="s">
        <v>588</v>
      </c>
      <c r="AM5" s="11" t="s">
        <v>588</v>
      </c>
      <c r="AN5" s="11" t="s">
        <v>588</v>
      </c>
      <c r="AO5" s="13">
        <v>39879</v>
      </c>
      <c r="AP5" s="11" t="s">
        <v>22</v>
      </c>
      <c r="AQ5" s="11" t="s">
        <v>195</v>
      </c>
      <c r="AR5" s="11">
        <v>2</v>
      </c>
      <c r="AS5" s="11">
        <v>3</v>
      </c>
      <c r="AT5" s="13">
        <v>39879</v>
      </c>
      <c r="AU5" s="13">
        <v>39890</v>
      </c>
      <c r="AV5" s="11" t="s">
        <v>22</v>
      </c>
      <c r="AW5" s="11" t="s">
        <v>41</v>
      </c>
      <c r="AX5" s="11" t="s">
        <v>41</v>
      </c>
      <c r="AY5" s="11" t="s">
        <v>20</v>
      </c>
      <c r="AZ5" s="11" t="s">
        <v>588</v>
      </c>
      <c r="BA5" s="11" t="s">
        <v>588</v>
      </c>
      <c r="BB5" s="11" t="s">
        <v>588</v>
      </c>
      <c r="BC5" s="11" t="s">
        <v>588</v>
      </c>
      <c r="BD5" s="11" t="s">
        <v>588</v>
      </c>
      <c r="BE5" s="11" t="s">
        <v>588</v>
      </c>
      <c r="BF5" s="11" t="s">
        <v>588</v>
      </c>
      <c r="BG5" s="11" t="s">
        <v>588</v>
      </c>
      <c r="BH5" s="11" t="s">
        <v>588</v>
      </c>
      <c r="BI5" s="11" t="s">
        <v>588</v>
      </c>
      <c r="BJ5" s="11" t="s">
        <v>588</v>
      </c>
      <c r="BK5" s="11" t="s">
        <v>588</v>
      </c>
      <c r="BL5" s="11">
        <v>3</v>
      </c>
      <c r="BM5" s="11">
        <v>3</v>
      </c>
      <c r="BN5" s="11" t="s">
        <v>8</v>
      </c>
      <c r="BO5" s="11">
        <v>1</v>
      </c>
      <c r="BP5" s="13">
        <v>39941</v>
      </c>
      <c r="BQ5" s="11" t="s">
        <v>72</v>
      </c>
      <c r="BR5" s="11" t="s">
        <v>8</v>
      </c>
      <c r="BS5" s="11" t="s">
        <v>2623</v>
      </c>
      <c r="BT5" s="11" t="s">
        <v>41</v>
      </c>
      <c r="BU5" s="11" t="s">
        <v>42</v>
      </c>
      <c r="BV5" s="11" t="s">
        <v>588</v>
      </c>
      <c r="BW5" s="11" t="s">
        <v>588</v>
      </c>
    </row>
    <row r="6" spans="1:75" x14ac:dyDescent="0.25">
      <c r="A6" s="11">
        <v>200809</v>
      </c>
      <c r="B6" s="11" t="s">
        <v>14</v>
      </c>
      <c r="C6" s="11" t="s">
        <v>14</v>
      </c>
      <c r="D6" s="11" t="s">
        <v>2605</v>
      </c>
      <c r="E6" s="11" t="s">
        <v>1844</v>
      </c>
      <c r="F6" s="11">
        <v>1</v>
      </c>
      <c r="G6" s="11" t="s">
        <v>2606</v>
      </c>
      <c r="H6" s="13">
        <v>39753</v>
      </c>
      <c r="I6" s="11">
        <f t="shared" si="12"/>
        <v>1</v>
      </c>
      <c r="J6" s="11">
        <f t="shared" si="13"/>
        <v>11</v>
      </c>
      <c r="K6" s="11">
        <f t="shared" si="14"/>
        <v>2008</v>
      </c>
      <c r="L6" s="11" t="str">
        <f t="shared" si="15"/>
        <v>01112008</v>
      </c>
      <c r="M6" s="11" t="s">
        <v>17</v>
      </c>
      <c r="N6" s="11" t="s">
        <v>19</v>
      </c>
      <c r="O6" s="11" t="s">
        <v>588</v>
      </c>
      <c r="P6" s="11" t="s">
        <v>588</v>
      </c>
      <c r="Q6" s="11" t="s">
        <v>588</v>
      </c>
      <c r="R6" s="11" t="s">
        <v>588</v>
      </c>
      <c r="S6" s="11">
        <v>2</v>
      </c>
      <c r="T6" s="11">
        <v>2</v>
      </c>
      <c r="U6" s="11" t="s">
        <v>588</v>
      </c>
      <c r="V6" s="11" t="s">
        <v>588</v>
      </c>
      <c r="W6" s="11">
        <v>3</v>
      </c>
      <c r="X6" s="11">
        <v>3</v>
      </c>
      <c r="Y6" s="11" t="s">
        <v>41</v>
      </c>
      <c r="Z6" s="13">
        <v>39754</v>
      </c>
      <c r="AA6" s="11">
        <f t="shared" si="16"/>
        <v>2</v>
      </c>
      <c r="AB6" s="11">
        <f t="shared" si="17"/>
        <v>11</v>
      </c>
      <c r="AC6" s="11">
        <f t="shared" si="18"/>
        <v>2008</v>
      </c>
      <c r="AD6" s="13" t="str">
        <f t="shared" si="19"/>
        <v>02112008</v>
      </c>
      <c r="AE6" s="11" t="s">
        <v>17</v>
      </c>
      <c r="AF6" s="13">
        <v>39761</v>
      </c>
      <c r="AG6" s="11">
        <f t="shared" si="20"/>
        <v>9</v>
      </c>
      <c r="AH6" s="11">
        <f t="shared" si="21"/>
        <v>11</v>
      </c>
      <c r="AI6" s="11">
        <f t="shared" si="22"/>
        <v>2008</v>
      </c>
      <c r="AJ6" s="13" t="str">
        <f t="shared" si="23"/>
        <v>09112008</v>
      </c>
      <c r="AK6" s="11" t="s">
        <v>17</v>
      </c>
      <c r="AL6" s="11" t="s">
        <v>41</v>
      </c>
      <c r="AM6" s="11" t="s">
        <v>8</v>
      </c>
      <c r="AN6" s="11" t="s">
        <v>2607</v>
      </c>
      <c r="AO6" s="11" t="s">
        <v>588</v>
      </c>
      <c r="AP6" s="11" t="s">
        <v>588</v>
      </c>
      <c r="AQ6" s="11" t="s">
        <v>588</v>
      </c>
      <c r="AR6" s="11" t="s">
        <v>588</v>
      </c>
      <c r="AS6" s="11" t="s">
        <v>588</v>
      </c>
      <c r="AT6" s="11" t="s">
        <v>588</v>
      </c>
      <c r="AU6" s="11" t="s">
        <v>588</v>
      </c>
      <c r="AV6" s="11" t="s">
        <v>588</v>
      </c>
      <c r="AW6" s="11" t="s">
        <v>588</v>
      </c>
      <c r="AX6" s="11" t="s">
        <v>588</v>
      </c>
      <c r="AY6" s="11" t="s">
        <v>588</v>
      </c>
      <c r="AZ6" s="11" t="s">
        <v>588</v>
      </c>
      <c r="BA6" s="11" t="s">
        <v>588</v>
      </c>
      <c r="BB6" s="11" t="s">
        <v>588</v>
      </c>
      <c r="BC6" s="11" t="s">
        <v>588</v>
      </c>
      <c r="BD6" s="11" t="s">
        <v>588</v>
      </c>
      <c r="BE6" s="11" t="s">
        <v>588</v>
      </c>
      <c r="BF6" s="11" t="s">
        <v>588</v>
      </c>
      <c r="BG6" s="11" t="s">
        <v>588</v>
      </c>
      <c r="BH6" s="11" t="s">
        <v>588</v>
      </c>
      <c r="BI6" s="11" t="s">
        <v>588</v>
      </c>
      <c r="BJ6" s="11" t="s">
        <v>588</v>
      </c>
      <c r="BK6" s="11" t="s">
        <v>588</v>
      </c>
      <c r="BL6" s="11" t="s">
        <v>588</v>
      </c>
      <c r="BM6" s="11" t="s">
        <v>588</v>
      </c>
      <c r="BN6" s="11" t="s">
        <v>588</v>
      </c>
      <c r="BO6" s="11" t="s">
        <v>588</v>
      </c>
      <c r="BP6" s="11" t="s">
        <v>588</v>
      </c>
      <c r="BQ6" s="11" t="s">
        <v>588</v>
      </c>
      <c r="BR6" s="11" t="s">
        <v>8</v>
      </c>
      <c r="BS6" s="11" t="s">
        <v>2623</v>
      </c>
      <c r="BT6" s="11" t="s">
        <v>588</v>
      </c>
      <c r="BU6" s="11" t="s">
        <v>588</v>
      </c>
      <c r="BV6" s="11" t="s">
        <v>588</v>
      </c>
      <c r="BW6" s="11" t="s">
        <v>588</v>
      </c>
    </row>
    <row r="7" spans="1:75" x14ac:dyDescent="0.25">
      <c r="A7" s="11">
        <v>200809</v>
      </c>
      <c r="B7" s="11" t="s">
        <v>14</v>
      </c>
      <c r="C7" s="11" t="s">
        <v>14</v>
      </c>
      <c r="D7" s="11" t="s">
        <v>2605</v>
      </c>
      <c r="E7" s="11" t="s">
        <v>1844</v>
      </c>
      <c r="F7" s="11">
        <v>2</v>
      </c>
      <c r="G7" s="11" t="s">
        <v>2608</v>
      </c>
      <c r="H7" s="13">
        <v>39803</v>
      </c>
      <c r="I7" s="11">
        <f t="shared" si="12"/>
        <v>21</v>
      </c>
      <c r="J7" s="11">
        <f t="shared" si="13"/>
        <v>12</v>
      </c>
      <c r="K7" s="11">
        <f t="shared" si="14"/>
        <v>2008</v>
      </c>
      <c r="L7" s="11" t="str">
        <f t="shared" si="15"/>
        <v>21122008</v>
      </c>
      <c r="M7" s="11" t="s">
        <v>7</v>
      </c>
      <c r="N7" s="11" t="s">
        <v>19</v>
      </c>
      <c r="O7" s="11" t="s">
        <v>588</v>
      </c>
      <c r="P7" s="11" t="s">
        <v>588</v>
      </c>
      <c r="Q7" s="11" t="s">
        <v>588</v>
      </c>
      <c r="R7" s="11" t="s">
        <v>588</v>
      </c>
      <c r="S7" s="11">
        <v>3</v>
      </c>
      <c r="T7" s="11">
        <v>3</v>
      </c>
      <c r="U7" s="11" t="s">
        <v>588</v>
      </c>
      <c r="V7" s="11" t="s">
        <v>588</v>
      </c>
      <c r="W7" s="11">
        <v>5</v>
      </c>
      <c r="X7" s="11">
        <v>5</v>
      </c>
      <c r="Y7" s="11" t="s">
        <v>8</v>
      </c>
      <c r="Z7" s="13">
        <v>39817</v>
      </c>
      <c r="AA7" s="11">
        <f t="shared" si="16"/>
        <v>4</v>
      </c>
      <c r="AB7" s="11">
        <f t="shared" si="17"/>
        <v>1</v>
      </c>
      <c r="AC7" s="11">
        <f t="shared" si="18"/>
        <v>2009</v>
      </c>
      <c r="AD7" s="13" t="str">
        <f t="shared" si="19"/>
        <v>04012009</v>
      </c>
      <c r="AE7" s="11" t="s">
        <v>12</v>
      </c>
      <c r="AF7" s="11" t="s">
        <v>588</v>
      </c>
      <c r="AG7" s="11" t="s">
        <v>588</v>
      </c>
      <c r="AH7" s="11" t="s">
        <v>588</v>
      </c>
      <c r="AI7" s="11" t="s">
        <v>588</v>
      </c>
      <c r="AJ7" s="11" t="s">
        <v>588</v>
      </c>
      <c r="AK7" s="11" t="s">
        <v>588</v>
      </c>
      <c r="AL7" s="11" t="s">
        <v>588</v>
      </c>
      <c r="AM7" s="11" t="s">
        <v>588</v>
      </c>
      <c r="AN7" s="11" t="s">
        <v>588</v>
      </c>
      <c r="AO7" s="13">
        <v>39831</v>
      </c>
      <c r="AP7" s="11" t="s">
        <v>12</v>
      </c>
      <c r="AQ7" s="11" t="s">
        <v>195</v>
      </c>
      <c r="AR7" s="11">
        <v>2</v>
      </c>
      <c r="AS7" s="11">
        <v>3</v>
      </c>
      <c r="AT7" s="13">
        <v>39846</v>
      </c>
      <c r="AU7" s="13">
        <v>39852</v>
      </c>
      <c r="AV7" s="11" t="s">
        <v>21</v>
      </c>
      <c r="AW7" s="11" t="s">
        <v>41</v>
      </c>
      <c r="AX7" s="11" t="s">
        <v>41</v>
      </c>
      <c r="AY7" s="11" t="s">
        <v>20</v>
      </c>
      <c r="AZ7" s="13">
        <v>39846</v>
      </c>
      <c r="BA7" s="13">
        <v>39852</v>
      </c>
      <c r="BB7" s="11" t="s">
        <v>21</v>
      </c>
      <c r="BC7" s="11" t="s">
        <v>41</v>
      </c>
      <c r="BD7" s="11" t="s">
        <v>41</v>
      </c>
      <c r="BE7" s="11" t="s">
        <v>20</v>
      </c>
      <c r="BF7" s="11" t="s">
        <v>588</v>
      </c>
      <c r="BG7" s="11" t="s">
        <v>588</v>
      </c>
      <c r="BH7" s="11" t="s">
        <v>588</v>
      </c>
      <c r="BI7" s="11" t="s">
        <v>588</v>
      </c>
      <c r="BJ7" s="11" t="s">
        <v>588</v>
      </c>
      <c r="BK7" s="11" t="s">
        <v>588</v>
      </c>
      <c r="BL7" s="11">
        <v>8</v>
      </c>
      <c r="BM7" s="11">
        <v>6</v>
      </c>
      <c r="BN7" s="11" t="s">
        <v>41</v>
      </c>
      <c r="BO7" s="11" t="s">
        <v>588</v>
      </c>
      <c r="BP7" s="11" t="s">
        <v>588</v>
      </c>
      <c r="BQ7" s="11" t="s">
        <v>588</v>
      </c>
      <c r="BR7" s="11" t="s">
        <v>8</v>
      </c>
      <c r="BS7" s="11" t="s">
        <v>2596</v>
      </c>
      <c r="BT7" s="11" t="s">
        <v>8</v>
      </c>
      <c r="BU7" s="11" t="s">
        <v>2624</v>
      </c>
      <c r="BV7" s="11" t="s">
        <v>588</v>
      </c>
      <c r="BW7" s="11" t="s">
        <v>588</v>
      </c>
    </row>
    <row r="8" spans="1:75" x14ac:dyDescent="0.25">
      <c r="A8" s="11">
        <v>200809</v>
      </c>
      <c r="B8" s="11" t="s">
        <v>14</v>
      </c>
      <c r="C8" s="11" t="s">
        <v>14</v>
      </c>
      <c r="D8" s="11" t="s">
        <v>2605</v>
      </c>
      <c r="E8" s="11" t="s">
        <v>1844</v>
      </c>
      <c r="F8" s="11">
        <v>3</v>
      </c>
      <c r="G8" s="11" t="s">
        <v>2609</v>
      </c>
      <c r="H8" s="13">
        <v>39862</v>
      </c>
      <c r="I8" s="11">
        <f t="shared" si="12"/>
        <v>18</v>
      </c>
      <c r="J8" s="11">
        <f t="shared" si="13"/>
        <v>2</v>
      </c>
      <c r="K8" s="11">
        <f t="shared" si="14"/>
        <v>2009</v>
      </c>
      <c r="L8" s="11" t="str">
        <f t="shared" si="15"/>
        <v>18022009</v>
      </c>
      <c r="M8" s="11" t="s">
        <v>21</v>
      </c>
      <c r="N8" s="11" t="s">
        <v>19</v>
      </c>
      <c r="O8" s="11" t="s">
        <v>588</v>
      </c>
      <c r="P8" s="11" t="s">
        <v>588</v>
      </c>
      <c r="Q8" s="11" t="s">
        <v>588</v>
      </c>
      <c r="R8" s="11" t="s">
        <v>588</v>
      </c>
      <c r="S8" s="11">
        <v>2</v>
      </c>
      <c r="T8" s="11">
        <v>2</v>
      </c>
      <c r="U8" s="13">
        <v>39864</v>
      </c>
      <c r="V8" s="11" t="s">
        <v>223</v>
      </c>
      <c r="W8" s="11">
        <v>8</v>
      </c>
      <c r="X8" s="11">
        <v>6</v>
      </c>
      <c r="Y8" s="11" t="s">
        <v>41</v>
      </c>
      <c r="Z8" s="13">
        <v>39873</v>
      </c>
      <c r="AA8" s="11">
        <f t="shared" si="16"/>
        <v>1</v>
      </c>
      <c r="AB8" s="11">
        <f t="shared" si="17"/>
        <v>3</v>
      </c>
      <c r="AC8" s="11">
        <f t="shared" si="18"/>
        <v>2009</v>
      </c>
      <c r="AD8" s="13" t="str">
        <f t="shared" si="19"/>
        <v>01032009</v>
      </c>
      <c r="AE8" s="11" t="s">
        <v>22</v>
      </c>
      <c r="AF8" s="13">
        <v>39878</v>
      </c>
      <c r="AG8" s="11">
        <f t="shared" si="20"/>
        <v>6</v>
      </c>
      <c r="AH8" s="11">
        <f t="shared" si="21"/>
        <v>3</v>
      </c>
      <c r="AI8" s="11">
        <f t="shared" si="22"/>
        <v>2009</v>
      </c>
      <c r="AJ8" s="13" t="str">
        <f t="shared" si="23"/>
        <v>06032009</v>
      </c>
      <c r="AK8" s="11" t="s">
        <v>22</v>
      </c>
      <c r="AL8" s="11" t="s">
        <v>41</v>
      </c>
      <c r="AM8" s="11" t="s">
        <v>8</v>
      </c>
      <c r="AN8" s="11" t="s">
        <v>11</v>
      </c>
      <c r="AO8" s="11" t="s">
        <v>588</v>
      </c>
      <c r="AP8" s="11" t="s">
        <v>588</v>
      </c>
      <c r="AQ8" s="11" t="s">
        <v>588</v>
      </c>
      <c r="AR8" s="11" t="s">
        <v>588</v>
      </c>
      <c r="AS8" s="11" t="s">
        <v>588</v>
      </c>
      <c r="AT8" s="11" t="s">
        <v>588</v>
      </c>
      <c r="AU8" s="11" t="s">
        <v>588</v>
      </c>
      <c r="AV8" s="11" t="s">
        <v>588</v>
      </c>
      <c r="AW8" s="11" t="s">
        <v>588</v>
      </c>
      <c r="AX8" s="11" t="s">
        <v>588</v>
      </c>
      <c r="AY8" s="11" t="s">
        <v>588</v>
      </c>
      <c r="AZ8" s="11" t="s">
        <v>588</v>
      </c>
      <c r="BA8" s="11" t="s">
        <v>588</v>
      </c>
      <c r="BB8" s="11" t="s">
        <v>588</v>
      </c>
      <c r="BC8" s="11" t="s">
        <v>588</v>
      </c>
      <c r="BD8" s="11" t="s">
        <v>588</v>
      </c>
      <c r="BE8" s="11" t="s">
        <v>588</v>
      </c>
      <c r="BF8" s="11" t="s">
        <v>588</v>
      </c>
      <c r="BG8" s="11" t="s">
        <v>588</v>
      </c>
      <c r="BH8" s="11" t="s">
        <v>588</v>
      </c>
      <c r="BI8" s="11" t="s">
        <v>588</v>
      </c>
      <c r="BJ8" s="11" t="s">
        <v>588</v>
      </c>
      <c r="BK8" s="11" t="s">
        <v>588</v>
      </c>
      <c r="BL8" s="11" t="s">
        <v>588</v>
      </c>
      <c r="BM8" s="11" t="s">
        <v>588</v>
      </c>
      <c r="BN8" s="11" t="s">
        <v>588</v>
      </c>
      <c r="BO8" s="11" t="s">
        <v>588</v>
      </c>
      <c r="BP8" s="11" t="s">
        <v>588</v>
      </c>
      <c r="BQ8" s="11" t="s">
        <v>588</v>
      </c>
      <c r="BR8" s="11" t="s">
        <v>8</v>
      </c>
      <c r="BS8" s="11" t="s">
        <v>2623</v>
      </c>
      <c r="BT8" s="11" t="s">
        <v>588</v>
      </c>
      <c r="BU8" s="11" t="s">
        <v>588</v>
      </c>
      <c r="BV8" s="11" t="s">
        <v>588</v>
      </c>
      <c r="BW8" s="11" t="s">
        <v>588</v>
      </c>
    </row>
    <row r="9" spans="1:75" x14ac:dyDescent="0.25">
      <c r="A9" s="11">
        <v>200809</v>
      </c>
      <c r="B9" s="11" t="s">
        <v>39</v>
      </c>
      <c r="C9" s="11" t="s">
        <v>39</v>
      </c>
      <c r="D9" s="11" t="s">
        <v>2610</v>
      </c>
      <c r="E9" s="11" t="s">
        <v>1844</v>
      </c>
      <c r="F9" s="11">
        <v>1</v>
      </c>
      <c r="G9" s="11" t="s">
        <v>2611</v>
      </c>
      <c r="H9" s="11" t="s">
        <v>71</v>
      </c>
      <c r="I9" s="11" t="s">
        <v>71</v>
      </c>
      <c r="J9" s="11" t="s">
        <v>71</v>
      </c>
      <c r="K9" s="11" t="s">
        <v>71</v>
      </c>
      <c r="L9" s="11" t="s">
        <v>71</v>
      </c>
      <c r="M9" s="11" t="s">
        <v>71</v>
      </c>
      <c r="N9" s="11" t="s">
        <v>71</v>
      </c>
      <c r="O9" s="11" t="s">
        <v>588</v>
      </c>
      <c r="P9" s="11" t="s">
        <v>588</v>
      </c>
      <c r="Q9" s="11" t="s">
        <v>588</v>
      </c>
      <c r="R9" s="11" t="s">
        <v>588</v>
      </c>
      <c r="S9" s="11">
        <v>0</v>
      </c>
      <c r="T9" s="11">
        <v>3</v>
      </c>
      <c r="U9" s="11" t="s">
        <v>588</v>
      </c>
      <c r="V9" s="11" t="s">
        <v>588</v>
      </c>
      <c r="W9" s="11">
        <v>0</v>
      </c>
      <c r="X9" s="11">
        <v>0</v>
      </c>
      <c r="Y9" s="11" t="s">
        <v>8</v>
      </c>
      <c r="Z9" s="11" t="s">
        <v>71</v>
      </c>
      <c r="AA9" s="11" t="s">
        <v>71</v>
      </c>
      <c r="AB9" s="11" t="s">
        <v>71</v>
      </c>
      <c r="AC9" s="11" t="s">
        <v>71</v>
      </c>
      <c r="AD9" s="11" t="s">
        <v>71</v>
      </c>
      <c r="AE9" s="11" t="s">
        <v>588</v>
      </c>
      <c r="AF9" s="11" t="s">
        <v>588</v>
      </c>
      <c r="AG9" s="11" t="s">
        <v>588</v>
      </c>
      <c r="AH9" s="11" t="s">
        <v>588</v>
      </c>
      <c r="AI9" s="11" t="s">
        <v>588</v>
      </c>
      <c r="AJ9" s="11" t="s">
        <v>588</v>
      </c>
      <c r="AK9" s="11" t="s">
        <v>588</v>
      </c>
      <c r="AL9" s="11" t="s">
        <v>588</v>
      </c>
      <c r="AM9" s="11" t="s">
        <v>588</v>
      </c>
      <c r="AN9" s="11" t="s">
        <v>588</v>
      </c>
      <c r="AO9" s="13">
        <v>39757</v>
      </c>
      <c r="AP9" s="11" t="s">
        <v>17</v>
      </c>
      <c r="AQ9" s="11" t="s">
        <v>2126</v>
      </c>
      <c r="AR9" s="11">
        <v>3</v>
      </c>
      <c r="AS9" s="11">
        <v>3</v>
      </c>
      <c r="AT9" s="13">
        <v>39757</v>
      </c>
      <c r="AU9" s="13">
        <v>39782</v>
      </c>
      <c r="AV9" s="11" t="s">
        <v>17</v>
      </c>
      <c r="AW9" s="11" t="s">
        <v>41</v>
      </c>
      <c r="AX9" s="11" t="s">
        <v>41</v>
      </c>
      <c r="AY9" s="11" t="s">
        <v>20</v>
      </c>
      <c r="AZ9" s="13">
        <v>39757</v>
      </c>
      <c r="BA9" s="13">
        <v>39782</v>
      </c>
      <c r="BB9" s="11" t="s">
        <v>17</v>
      </c>
      <c r="BC9" s="11" t="s">
        <v>41</v>
      </c>
      <c r="BD9" s="11" t="s">
        <v>41</v>
      </c>
      <c r="BE9" s="11" t="s">
        <v>20</v>
      </c>
      <c r="BF9" s="13">
        <v>39782</v>
      </c>
      <c r="BG9" s="11" t="s">
        <v>2612</v>
      </c>
      <c r="BH9" s="11" t="s">
        <v>588</v>
      </c>
      <c r="BI9" s="11" t="s">
        <v>588</v>
      </c>
      <c r="BJ9" s="11" t="s">
        <v>588</v>
      </c>
      <c r="BK9" s="11" t="s">
        <v>588</v>
      </c>
      <c r="BL9" s="11">
        <v>2</v>
      </c>
      <c r="BM9" s="11">
        <v>2</v>
      </c>
      <c r="BN9" s="11" t="s">
        <v>647</v>
      </c>
      <c r="BO9" s="11" t="s">
        <v>588</v>
      </c>
      <c r="BP9" s="11" t="s">
        <v>588</v>
      </c>
      <c r="BQ9" s="11" t="s">
        <v>588</v>
      </c>
      <c r="BR9" s="11" t="s">
        <v>41</v>
      </c>
      <c r="BS9" s="11" t="s">
        <v>42</v>
      </c>
      <c r="BT9" s="11" t="s">
        <v>41</v>
      </c>
      <c r="BU9" s="11" t="s">
        <v>42</v>
      </c>
      <c r="BV9" s="11" t="s">
        <v>588</v>
      </c>
      <c r="BW9" s="11" t="s">
        <v>588</v>
      </c>
    </row>
    <row r="10" spans="1:75" x14ac:dyDescent="0.25">
      <c r="A10" s="11">
        <v>200809</v>
      </c>
      <c r="B10" s="11" t="s">
        <v>39</v>
      </c>
      <c r="C10" s="11" t="s">
        <v>39</v>
      </c>
      <c r="D10" s="11" t="s">
        <v>2610</v>
      </c>
      <c r="E10" s="11" t="s">
        <v>1844</v>
      </c>
      <c r="F10" s="11">
        <v>2</v>
      </c>
      <c r="G10" s="11" t="s">
        <v>2613</v>
      </c>
      <c r="H10" s="13">
        <v>39799</v>
      </c>
      <c r="I10" s="11">
        <f t="shared" si="12"/>
        <v>17</v>
      </c>
      <c r="J10" s="11">
        <f t="shared" si="13"/>
        <v>12</v>
      </c>
      <c r="K10" s="11">
        <f t="shared" si="14"/>
        <v>2008</v>
      </c>
      <c r="L10" s="11" t="str">
        <f t="shared" si="15"/>
        <v>17122008</v>
      </c>
      <c r="M10" s="11" t="s">
        <v>7</v>
      </c>
      <c r="N10" s="11" t="s">
        <v>51</v>
      </c>
      <c r="O10" s="11" t="s">
        <v>588</v>
      </c>
      <c r="P10" s="11" t="s">
        <v>588</v>
      </c>
      <c r="Q10" s="11" t="s">
        <v>588</v>
      </c>
      <c r="R10" s="11" t="s">
        <v>588</v>
      </c>
      <c r="S10" s="11">
        <v>3</v>
      </c>
      <c r="T10" s="11">
        <v>3</v>
      </c>
      <c r="U10" s="11" t="s">
        <v>588</v>
      </c>
      <c r="V10" s="11" t="s">
        <v>588</v>
      </c>
      <c r="W10" s="11">
        <v>6</v>
      </c>
      <c r="X10" s="11">
        <v>5</v>
      </c>
      <c r="Y10" s="11" t="s">
        <v>8</v>
      </c>
      <c r="Z10" s="13">
        <v>39823</v>
      </c>
      <c r="AA10" s="11">
        <f t="shared" si="16"/>
        <v>10</v>
      </c>
      <c r="AB10" s="11">
        <f t="shared" si="17"/>
        <v>1</v>
      </c>
      <c r="AC10" s="11">
        <f t="shared" si="18"/>
        <v>2009</v>
      </c>
      <c r="AD10" s="13" t="str">
        <f t="shared" si="19"/>
        <v>10012009</v>
      </c>
      <c r="AE10" s="11" t="s">
        <v>12</v>
      </c>
      <c r="AF10" s="11" t="s">
        <v>588</v>
      </c>
      <c r="AG10" s="11" t="s">
        <v>588</v>
      </c>
      <c r="AH10" s="11" t="s">
        <v>588</v>
      </c>
      <c r="AI10" s="11" t="s">
        <v>588</v>
      </c>
      <c r="AJ10" s="11" t="s">
        <v>588</v>
      </c>
      <c r="AK10" s="11" t="s">
        <v>588</v>
      </c>
      <c r="AL10" s="11" t="s">
        <v>588</v>
      </c>
      <c r="AM10" s="11" t="s">
        <v>2614</v>
      </c>
      <c r="AN10" s="11" t="s">
        <v>588</v>
      </c>
      <c r="AO10" s="13">
        <v>39836</v>
      </c>
      <c r="AP10" s="11" t="s">
        <v>12</v>
      </c>
      <c r="AQ10" s="11" t="s">
        <v>194</v>
      </c>
      <c r="AR10" s="11">
        <v>1</v>
      </c>
      <c r="AS10" s="11">
        <v>1</v>
      </c>
      <c r="AT10" s="13">
        <v>39838</v>
      </c>
      <c r="AU10" s="13">
        <v>39846</v>
      </c>
      <c r="AV10" s="11" t="s">
        <v>21</v>
      </c>
      <c r="AW10" s="11" t="s">
        <v>41</v>
      </c>
      <c r="AX10" s="11" t="s">
        <v>41</v>
      </c>
      <c r="AY10" s="11" t="s">
        <v>20</v>
      </c>
      <c r="AZ10" s="11" t="s">
        <v>588</v>
      </c>
      <c r="BA10" s="11" t="s">
        <v>588</v>
      </c>
      <c r="BB10" s="11" t="s">
        <v>588</v>
      </c>
      <c r="BC10" s="11" t="s">
        <v>588</v>
      </c>
      <c r="BD10" s="11" t="s">
        <v>588</v>
      </c>
      <c r="BE10" s="11" t="s">
        <v>588</v>
      </c>
      <c r="BF10" s="11" t="s">
        <v>588</v>
      </c>
      <c r="BG10" s="11" t="s">
        <v>588</v>
      </c>
      <c r="BH10" s="11" t="s">
        <v>588</v>
      </c>
      <c r="BI10" s="11" t="s">
        <v>588</v>
      </c>
      <c r="BJ10" s="11" t="s">
        <v>588</v>
      </c>
      <c r="BK10" s="11" t="s">
        <v>588</v>
      </c>
      <c r="BL10" s="11" t="s">
        <v>588</v>
      </c>
      <c r="BM10" s="11" t="s">
        <v>588</v>
      </c>
      <c r="BN10" s="11" t="s">
        <v>588</v>
      </c>
      <c r="BO10" s="11" t="s">
        <v>588</v>
      </c>
      <c r="BP10" s="11" t="s">
        <v>588</v>
      </c>
      <c r="BQ10" s="11" t="s">
        <v>588</v>
      </c>
      <c r="BR10" s="11" t="s">
        <v>8</v>
      </c>
      <c r="BS10" s="11" t="s">
        <v>2622</v>
      </c>
      <c r="BT10" s="11" t="s">
        <v>41</v>
      </c>
      <c r="BU10" s="11" t="s">
        <v>42</v>
      </c>
      <c r="BV10" s="11" t="s">
        <v>588</v>
      </c>
      <c r="BW10" s="11" t="s">
        <v>588</v>
      </c>
    </row>
    <row r="11" spans="1:75" x14ac:dyDescent="0.25">
      <c r="A11" s="11">
        <v>200809</v>
      </c>
      <c r="B11" s="11" t="s">
        <v>35</v>
      </c>
      <c r="C11" s="11" t="s">
        <v>35</v>
      </c>
      <c r="D11" s="11" t="s">
        <v>2615</v>
      </c>
      <c r="E11" s="11" t="s">
        <v>2616</v>
      </c>
      <c r="F11" s="11">
        <v>1</v>
      </c>
      <c r="G11" s="11" t="s">
        <v>2617</v>
      </c>
      <c r="H11" s="13">
        <v>39772</v>
      </c>
      <c r="I11" s="11">
        <f t="shared" si="12"/>
        <v>20</v>
      </c>
      <c r="J11" s="11">
        <f t="shared" si="13"/>
        <v>11</v>
      </c>
      <c r="K11" s="11">
        <f t="shared" si="14"/>
        <v>2008</v>
      </c>
      <c r="L11" s="11" t="str">
        <f t="shared" si="15"/>
        <v>20112008</v>
      </c>
      <c r="M11" s="11" t="s">
        <v>17</v>
      </c>
      <c r="N11" s="11" t="s">
        <v>51</v>
      </c>
      <c r="O11" s="11" t="s">
        <v>588</v>
      </c>
      <c r="P11" s="11" t="s">
        <v>588</v>
      </c>
      <c r="Q11" s="11" t="s">
        <v>588</v>
      </c>
      <c r="R11" s="11" t="s">
        <v>588</v>
      </c>
      <c r="S11" s="11">
        <v>2</v>
      </c>
      <c r="T11" s="11">
        <v>2</v>
      </c>
      <c r="U11" s="13">
        <v>39772</v>
      </c>
      <c r="V11" s="11" t="s">
        <v>219</v>
      </c>
      <c r="W11" s="11">
        <v>9</v>
      </c>
      <c r="X11" s="11">
        <v>9</v>
      </c>
      <c r="Y11" s="11" t="s">
        <v>8</v>
      </c>
      <c r="Z11" s="13">
        <v>39798</v>
      </c>
      <c r="AA11" s="11">
        <f t="shared" si="16"/>
        <v>16</v>
      </c>
      <c r="AB11" s="11">
        <f t="shared" si="17"/>
        <v>12</v>
      </c>
      <c r="AC11" s="11">
        <f t="shared" si="18"/>
        <v>2008</v>
      </c>
      <c r="AD11" s="13" t="str">
        <f t="shared" si="19"/>
        <v>16122008</v>
      </c>
      <c r="AE11" s="11" t="s">
        <v>7</v>
      </c>
      <c r="AF11" s="11" t="s">
        <v>588</v>
      </c>
      <c r="AG11" s="11" t="s">
        <v>588</v>
      </c>
      <c r="AH11" s="11" t="s">
        <v>588</v>
      </c>
      <c r="AI11" s="11" t="s">
        <v>588</v>
      </c>
      <c r="AJ11" s="11" t="s">
        <v>588</v>
      </c>
      <c r="AK11" s="11" t="s">
        <v>588</v>
      </c>
      <c r="AL11" s="11" t="s">
        <v>588</v>
      </c>
      <c r="AM11" s="11" t="s">
        <v>588</v>
      </c>
      <c r="AN11" s="11" t="s">
        <v>588</v>
      </c>
      <c r="AO11" s="13">
        <v>39800</v>
      </c>
      <c r="AP11" s="11" t="s">
        <v>7</v>
      </c>
      <c r="AQ11" s="11" t="s">
        <v>195</v>
      </c>
      <c r="AR11" s="11">
        <v>2</v>
      </c>
      <c r="AS11" s="11">
        <v>2</v>
      </c>
      <c r="AT11" s="13">
        <v>39812</v>
      </c>
      <c r="AU11" s="13">
        <v>39813</v>
      </c>
      <c r="AV11" s="11" t="s">
        <v>7</v>
      </c>
      <c r="AW11" s="11" t="s">
        <v>41</v>
      </c>
      <c r="AX11" s="11" t="s">
        <v>41</v>
      </c>
      <c r="AY11" s="11" t="s">
        <v>20</v>
      </c>
      <c r="AZ11" s="13" t="s">
        <v>588</v>
      </c>
      <c r="BA11" s="13" t="s">
        <v>588</v>
      </c>
      <c r="BB11" s="11" t="s">
        <v>588</v>
      </c>
      <c r="BC11" s="11" t="s">
        <v>588</v>
      </c>
      <c r="BD11" s="11" t="s">
        <v>588</v>
      </c>
      <c r="BE11" s="11" t="s">
        <v>588</v>
      </c>
      <c r="BF11" s="11" t="s">
        <v>588</v>
      </c>
      <c r="BG11" s="11" t="s">
        <v>588</v>
      </c>
      <c r="BH11" s="11" t="s">
        <v>588</v>
      </c>
      <c r="BI11" s="11" t="s">
        <v>588</v>
      </c>
      <c r="BJ11" s="11" t="s">
        <v>588</v>
      </c>
      <c r="BK11" s="11" t="s">
        <v>588</v>
      </c>
      <c r="BL11" s="11">
        <v>10</v>
      </c>
      <c r="BM11" s="11">
        <v>10</v>
      </c>
      <c r="BN11" s="11" t="s">
        <v>8</v>
      </c>
      <c r="BO11" s="11">
        <v>1</v>
      </c>
      <c r="BP11" s="13">
        <v>39852</v>
      </c>
      <c r="BQ11" s="11" t="s">
        <v>21</v>
      </c>
      <c r="BR11" s="11" t="s">
        <v>8</v>
      </c>
      <c r="BS11" s="11" t="s">
        <v>2625</v>
      </c>
      <c r="BT11" s="11" t="s">
        <v>8</v>
      </c>
      <c r="BU11" s="11" t="s">
        <v>2622</v>
      </c>
      <c r="BV11" s="11" t="s">
        <v>588</v>
      </c>
      <c r="BW11" s="11" t="s">
        <v>588</v>
      </c>
    </row>
    <row r="12" spans="1:75" x14ac:dyDescent="0.25">
      <c r="A12" s="11">
        <v>200809</v>
      </c>
      <c r="B12" s="11" t="s">
        <v>23</v>
      </c>
      <c r="C12" s="11" t="s">
        <v>23</v>
      </c>
      <c r="D12" s="11" t="s">
        <v>1844</v>
      </c>
      <c r="E12" s="11" t="s">
        <v>1844</v>
      </c>
      <c r="F12" s="11">
        <v>1</v>
      </c>
      <c r="G12" s="11" t="s">
        <v>2618</v>
      </c>
      <c r="H12" s="13">
        <v>39753</v>
      </c>
      <c r="I12" s="11">
        <f t="shared" si="12"/>
        <v>1</v>
      </c>
      <c r="J12" s="11">
        <f t="shared" si="13"/>
        <v>11</v>
      </c>
      <c r="K12" s="11">
        <f t="shared" si="14"/>
        <v>2008</v>
      </c>
      <c r="L12" s="11" t="str">
        <f t="shared" si="15"/>
        <v>01112008</v>
      </c>
      <c r="M12" s="11" t="s">
        <v>17</v>
      </c>
      <c r="N12" s="11" t="s">
        <v>10</v>
      </c>
      <c r="O12" s="11" t="s">
        <v>588</v>
      </c>
      <c r="P12" s="11" t="s">
        <v>588</v>
      </c>
      <c r="Q12" s="11" t="s">
        <v>588</v>
      </c>
      <c r="R12" s="11" t="s">
        <v>588</v>
      </c>
      <c r="S12" s="11">
        <v>1</v>
      </c>
      <c r="T12" s="11">
        <v>3</v>
      </c>
      <c r="U12" s="11" t="s">
        <v>588</v>
      </c>
      <c r="V12" s="11" t="s">
        <v>2619</v>
      </c>
      <c r="W12" s="11">
        <v>2</v>
      </c>
      <c r="X12" s="11">
        <v>2</v>
      </c>
      <c r="Y12" s="11" t="s">
        <v>41</v>
      </c>
      <c r="Z12" s="13">
        <v>39753</v>
      </c>
      <c r="AA12" s="11">
        <f t="shared" si="16"/>
        <v>1</v>
      </c>
      <c r="AB12" s="11">
        <f t="shared" si="17"/>
        <v>11</v>
      </c>
      <c r="AC12" s="11">
        <f t="shared" si="18"/>
        <v>2008</v>
      </c>
      <c r="AD12" s="13" t="str">
        <f t="shared" si="19"/>
        <v>01112008</v>
      </c>
      <c r="AE12" s="11" t="s">
        <v>17</v>
      </c>
      <c r="AF12" s="13">
        <v>39757</v>
      </c>
      <c r="AG12" s="11">
        <f t="shared" si="20"/>
        <v>5</v>
      </c>
      <c r="AH12" s="11">
        <f t="shared" si="21"/>
        <v>11</v>
      </c>
      <c r="AI12" s="11">
        <f t="shared" si="22"/>
        <v>2008</v>
      </c>
      <c r="AJ12" s="13" t="str">
        <f t="shared" si="23"/>
        <v>05112008</v>
      </c>
      <c r="AK12" s="11" t="s">
        <v>17</v>
      </c>
      <c r="AL12" s="11" t="s">
        <v>41</v>
      </c>
      <c r="AM12" s="11" t="s">
        <v>8</v>
      </c>
      <c r="AN12" s="11" t="s">
        <v>32</v>
      </c>
      <c r="AO12" s="11" t="s">
        <v>588</v>
      </c>
      <c r="AP12" s="11" t="s">
        <v>588</v>
      </c>
      <c r="AQ12" s="11" t="s">
        <v>588</v>
      </c>
      <c r="AR12" s="11" t="s">
        <v>588</v>
      </c>
      <c r="AS12" s="11" t="s">
        <v>588</v>
      </c>
      <c r="AT12" s="11" t="s">
        <v>588</v>
      </c>
      <c r="AU12" s="11" t="s">
        <v>588</v>
      </c>
      <c r="AV12" s="11" t="s">
        <v>588</v>
      </c>
      <c r="AW12" s="11" t="s">
        <v>588</v>
      </c>
      <c r="AX12" s="11" t="s">
        <v>588</v>
      </c>
      <c r="AY12" s="11" t="s">
        <v>588</v>
      </c>
      <c r="AZ12" s="11" t="s">
        <v>588</v>
      </c>
      <c r="BA12" s="11" t="s">
        <v>588</v>
      </c>
      <c r="BB12" s="11" t="s">
        <v>588</v>
      </c>
      <c r="BC12" s="11" t="s">
        <v>588</v>
      </c>
      <c r="BD12" s="11" t="s">
        <v>588</v>
      </c>
      <c r="BE12" s="11" t="s">
        <v>588</v>
      </c>
      <c r="BF12" s="11" t="s">
        <v>588</v>
      </c>
      <c r="BG12" s="11" t="s">
        <v>588</v>
      </c>
      <c r="BH12" s="11" t="s">
        <v>588</v>
      </c>
      <c r="BI12" s="11" t="s">
        <v>588</v>
      </c>
      <c r="BJ12" s="11" t="s">
        <v>588</v>
      </c>
      <c r="BK12" s="11" t="s">
        <v>588</v>
      </c>
      <c r="BL12" s="11" t="s">
        <v>588</v>
      </c>
      <c r="BM12" s="11" t="s">
        <v>588</v>
      </c>
      <c r="BN12" s="11" t="s">
        <v>588</v>
      </c>
      <c r="BO12" s="11" t="s">
        <v>588</v>
      </c>
      <c r="BP12" s="11" t="s">
        <v>588</v>
      </c>
      <c r="BQ12" s="11" t="s">
        <v>588</v>
      </c>
      <c r="BR12" s="11" t="s">
        <v>41</v>
      </c>
      <c r="BS12" s="11" t="s">
        <v>42</v>
      </c>
      <c r="BT12" s="11" t="s">
        <v>588</v>
      </c>
      <c r="BU12" s="11" t="s">
        <v>588</v>
      </c>
      <c r="BV12" s="11" t="s">
        <v>588</v>
      </c>
      <c r="BW12" s="11" t="s">
        <v>588</v>
      </c>
    </row>
    <row r="13" spans="1:75" x14ac:dyDescent="0.25">
      <c r="A13" s="11">
        <v>200809</v>
      </c>
      <c r="B13" s="11" t="s">
        <v>23</v>
      </c>
      <c r="C13" s="11" t="s">
        <v>23</v>
      </c>
      <c r="D13" s="11" t="s">
        <v>1844</v>
      </c>
      <c r="E13" s="11" t="s">
        <v>1844</v>
      </c>
      <c r="F13" s="11">
        <v>2</v>
      </c>
      <c r="G13" s="11" t="s">
        <v>2620</v>
      </c>
      <c r="H13" s="13">
        <v>39764</v>
      </c>
      <c r="I13" s="11">
        <f t="shared" si="12"/>
        <v>12</v>
      </c>
      <c r="J13" s="11">
        <f t="shared" si="13"/>
        <v>11</v>
      </c>
      <c r="K13" s="11">
        <f t="shared" si="14"/>
        <v>2008</v>
      </c>
      <c r="L13" s="11" t="str">
        <f t="shared" si="15"/>
        <v>12112008</v>
      </c>
      <c r="M13" s="11" t="s">
        <v>17</v>
      </c>
      <c r="N13" s="11" t="s">
        <v>51</v>
      </c>
      <c r="O13" s="11" t="s">
        <v>588</v>
      </c>
      <c r="P13" s="11" t="s">
        <v>588</v>
      </c>
      <c r="Q13" s="11" t="s">
        <v>588</v>
      </c>
      <c r="R13" s="11" t="s">
        <v>588</v>
      </c>
      <c r="S13" s="11">
        <v>1</v>
      </c>
      <c r="T13" s="11">
        <v>3</v>
      </c>
      <c r="U13" s="11" t="s">
        <v>588</v>
      </c>
      <c r="V13" s="11" t="s">
        <v>588</v>
      </c>
      <c r="W13" s="11">
        <v>2</v>
      </c>
      <c r="X13" s="11">
        <v>2</v>
      </c>
      <c r="Y13" s="11" t="s">
        <v>41</v>
      </c>
      <c r="Z13" s="13">
        <v>39764</v>
      </c>
      <c r="AA13" s="11">
        <f t="shared" si="16"/>
        <v>12</v>
      </c>
      <c r="AB13" s="11">
        <f t="shared" si="17"/>
        <v>11</v>
      </c>
      <c r="AC13" s="11">
        <f t="shared" si="18"/>
        <v>2008</v>
      </c>
      <c r="AD13" s="13" t="str">
        <f t="shared" si="19"/>
        <v>12112008</v>
      </c>
      <c r="AE13" s="11" t="s">
        <v>17</v>
      </c>
      <c r="AF13" s="13">
        <v>39781</v>
      </c>
      <c r="AG13" s="11">
        <f t="shared" si="20"/>
        <v>29</v>
      </c>
      <c r="AH13" s="11">
        <f t="shared" si="21"/>
        <v>11</v>
      </c>
      <c r="AI13" s="11">
        <f t="shared" si="22"/>
        <v>2008</v>
      </c>
      <c r="AJ13" s="13" t="str">
        <f t="shared" si="23"/>
        <v>29112008</v>
      </c>
      <c r="AK13" s="11" t="s">
        <v>17</v>
      </c>
      <c r="AL13" s="11" t="s">
        <v>11</v>
      </c>
      <c r="AM13" s="11" t="s">
        <v>8</v>
      </c>
      <c r="AN13" s="11" t="s">
        <v>588</v>
      </c>
      <c r="AO13" s="11" t="s">
        <v>588</v>
      </c>
      <c r="AP13" s="11" t="s">
        <v>588</v>
      </c>
      <c r="AQ13" s="11" t="s">
        <v>588</v>
      </c>
      <c r="AR13" s="11" t="s">
        <v>588</v>
      </c>
      <c r="AS13" s="11" t="s">
        <v>588</v>
      </c>
      <c r="AT13" s="11" t="s">
        <v>588</v>
      </c>
      <c r="AU13" s="11" t="s">
        <v>588</v>
      </c>
      <c r="AV13" s="11" t="s">
        <v>588</v>
      </c>
      <c r="AW13" s="11" t="s">
        <v>588</v>
      </c>
      <c r="AX13" s="11" t="s">
        <v>588</v>
      </c>
      <c r="AY13" s="11" t="s">
        <v>588</v>
      </c>
      <c r="AZ13" s="13" t="s">
        <v>588</v>
      </c>
      <c r="BA13" s="13" t="s">
        <v>588</v>
      </c>
      <c r="BB13" s="11" t="s">
        <v>588</v>
      </c>
      <c r="BC13" s="11" t="s">
        <v>588</v>
      </c>
      <c r="BD13" s="11" t="s">
        <v>588</v>
      </c>
      <c r="BE13" s="11" t="s">
        <v>588</v>
      </c>
      <c r="BF13" s="11" t="s">
        <v>588</v>
      </c>
      <c r="BG13" s="11" t="s">
        <v>588</v>
      </c>
      <c r="BH13" s="11" t="s">
        <v>588</v>
      </c>
      <c r="BI13" s="11" t="s">
        <v>588</v>
      </c>
      <c r="BJ13" s="11" t="s">
        <v>588</v>
      </c>
      <c r="BK13" s="11" t="s">
        <v>588</v>
      </c>
      <c r="BL13" s="11" t="s">
        <v>588</v>
      </c>
      <c r="BM13" s="11" t="s">
        <v>588</v>
      </c>
      <c r="BN13" s="11" t="s">
        <v>588</v>
      </c>
      <c r="BO13" s="11" t="s">
        <v>588</v>
      </c>
      <c r="BP13" s="11" t="s">
        <v>588</v>
      </c>
      <c r="BQ13" s="11" t="s">
        <v>588</v>
      </c>
      <c r="BR13" s="11" t="s">
        <v>41</v>
      </c>
      <c r="BS13" s="11" t="s">
        <v>42</v>
      </c>
      <c r="BT13" s="11" t="s">
        <v>588</v>
      </c>
      <c r="BU13" s="11" t="s">
        <v>588</v>
      </c>
      <c r="BV13" s="11" t="s">
        <v>588</v>
      </c>
      <c r="BW13" s="11" t="s">
        <v>588</v>
      </c>
    </row>
    <row r="14" spans="1:75" x14ac:dyDescent="0.25">
      <c r="A14" s="11">
        <v>200809</v>
      </c>
      <c r="B14" s="11" t="s">
        <v>23</v>
      </c>
      <c r="C14" s="11" t="s">
        <v>23</v>
      </c>
      <c r="D14" s="11" t="s">
        <v>1844</v>
      </c>
      <c r="E14" s="11" t="s">
        <v>1844</v>
      </c>
      <c r="F14" s="11">
        <v>3</v>
      </c>
      <c r="G14" s="11" t="s">
        <v>2621</v>
      </c>
      <c r="H14" s="13">
        <v>39791</v>
      </c>
      <c r="I14" s="11">
        <f t="shared" si="12"/>
        <v>9</v>
      </c>
      <c r="J14" s="11">
        <f t="shared" si="13"/>
        <v>12</v>
      </c>
      <c r="K14" s="11">
        <f t="shared" si="14"/>
        <v>2008</v>
      </c>
      <c r="L14" s="11" t="str">
        <f t="shared" si="15"/>
        <v>09122008</v>
      </c>
      <c r="M14" s="11" t="s">
        <v>7</v>
      </c>
      <c r="N14" s="11" t="s">
        <v>36</v>
      </c>
      <c r="O14" s="11" t="s">
        <v>588</v>
      </c>
      <c r="P14" s="11" t="s">
        <v>588</v>
      </c>
      <c r="Q14" s="11" t="s">
        <v>588</v>
      </c>
      <c r="R14" s="11" t="s">
        <v>588</v>
      </c>
      <c r="S14" s="11">
        <v>3</v>
      </c>
      <c r="T14" s="11">
        <v>3</v>
      </c>
      <c r="U14" s="11" t="s">
        <v>588</v>
      </c>
      <c r="V14" s="11" t="s">
        <v>588</v>
      </c>
      <c r="W14" s="11">
        <v>3</v>
      </c>
      <c r="X14" s="11">
        <v>3</v>
      </c>
      <c r="Y14" s="11" t="s">
        <v>8</v>
      </c>
      <c r="Z14" s="13">
        <v>39813</v>
      </c>
      <c r="AA14" s="11">
        <f t="shared" si="16"/>
        <v>31</v>
      </c>
      <c r="AB14" s="11">
        <f t="shared" si="17"/>
        <v>12</v>
      </c>
      <c r="AC14" s="11">
        <f t="shared" si="18"/>
        <v>2008</v>
      </c>
      <c r="AD14" s="13" t="str">
        <f t="shared" si="19"/>
        <v>31122008</v>
      </c>
      <c r="AE14" s="11" t="s">
        <v>7</v>
      </c>
      <c r="AF14" s="13" t="s">
        <v>588</v>
      </c>
      <c r="AG14" s="13" t="s">
        <v>588</v>
      </c>
      <c r="AH14" s="13" t="s">
        <v>588</v>
      </c>
      <c r="AI14" s="13" t="s">
        <v>588</v>
      </c>
      <c r="AJ14" s="13" t="s">
        <v>588</v>
      </c>
      <c r="AK14" s="11" t="s">
        <v>588</v>
      </c>
      <c r="AL14" s="11" t="s">
        <v>588</v>
      </c>
      <c r="AM14" s="11" t="s">
        <v>588</v>
      </c>
      <c r="AN14" s="11" t="s">
        <v>588</v>
      </c>
      <c r="AO14" s="13">
        <v>39817</v>
      </c>
      <c r="AP14" s="11" t="s">
        <v>12</v>
      </c>
      <c r="AQ14" s="11" t="s">
        <v>195</v>
      </c>
      <c r="AR14" s="11">
        <v>3</v>
      </c>
      <c r="AS14" s="11">
        <v>3</v>
      </c>
      <c r="AT14" s="13">
        <v>39818</v>
      </c>
      <c r="AU14" s="13">
        <v>39831</v>
      </c>
      <c r="AV14" s="11" t="s">
        <v>12</v>
      </c>
      <c r="AW14" s="11" t="s">
        <v>41</v>
      </c>
      <c r="AX14" s="11" t="s">
        <v>41</v>
      </c>
      <c r="AY14" s="11" t="s">
        <v>20</v>
      </c>
      <c r="AZ14" s="13">
        <v>39838</v>
      </c>
      <c r="BA14" s="13">
        <v>39843</v>
      </c>
      <c r="BB14" s="11" t="s">
        <v>12</v>
      </c>
      <c r="BC14" s="11" t="s">
        <v>41</v>
      </c>
      <c r="BD14" s="11" t="s">
        <v>41</v>
      </c>
      <c r="BE14" s="11" t="s">
        <v>20</v>
      </c>
      <c r="BF14" s="11" t="s">
        <v>588</v>
      </c>
      <c r="BG14" s="11" t="s">
        <v>588</v>
      </c>
      <c r="BH14" s="11" t="s">
        <v>588</v>
      </c>
      <c r="BI14" s="11" t="s">
        <v>588</v>
      </c>
      <c r="BJ14" s="11" t="s">
        <v>588</v>
      </c>
      <c r="BK14" s="11" t="s">
        <v>588</v>
      </c>
      <c r="BL14" s="11">
        <v>22</v>
      </c>
      <c r="BM14" s="11">
        <v>19</v>
      </c>
      <c r="BN14" s="11" t="s">
        <v>8</v>
      </c>
      <c r="BO14" s="11">
        <v>1</v>
      </c>
      <c r="BP14" s="13">
        <v>39865</v>
      </c>
      <c r="BQ14" s="11" t="s">
        <v>21</v>
      </c>
      <c r="BR14" s="11" t="s">
        <v>8</v>
      </c>
      <c r="BS14" s="11" t="s">
        <v>2596</v>
      </c>
      <c r="BT14" s="11" t="s">
        <v>8</v>
      </c>
      <c r="BU14" s="11" t="s">
        <v>2626</v>
      </c>
      <c r="BV14" s="11" t="s">
        <v>588</v>
      </c>
      <c r="BW14" s="11" t="s">
        <v>588</v>
      </c>
    </row>
  </sheetData>
  <phoneticPr fontId="2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5A13-3031-4D70-82E5-368AD8051DDD}">
  <dimension ref="A1:BV14"/>
  <sheetViews>
    <sheetView zoomScale="80" zoomScaleNormal="80" workbookViewId="0">
      <selection activeCell="B1" sqref="B1"/>
    </sheetView>
  </sheetViews>
  <sheetFormatPr defaultRowHeight="15" x14ac:dyDescent="0.25"/>
  <cols>
    <col min="1" max="5" width="9.140625" style="11"/>
    <col min="6" max="6" width="55.85546875" style="11" bestFit="1" customWidth="1"/>
    <col min="7" max="7" width="9.140625" style="11"/>
    <col min="8" max="8" width="4.5703125" style="11" bestFit="1" customWidth="1"/>
    <col min="9" max="9" width="6.7109375" style="11" bestFit="1" customWidth="1"/>
    <col min="10" max="10" width="5.5703125" style="11" bestFit="1" customWidth="1"/>
    <col min="11" max="11" width="21" style="11" bestFit="1" customWidth="1"/>
    <col min="12" max="19" width="9.140625" style="11"/>
    <col min="20" max="20" width="12.28515625" style="11" customWidth="1"/>
    <col min="21" max="25" width="9.140625" style="11"/>
    <col min="26" max="26" width="4.5703125" style="11" bestFit="1" customWidth="1"/>
    <col min="27" max="27" width="6.7109375" style="11" bestFit="1" customWidth="1"/>
    <col min="28" max="28" width="5.5703125" style="11" bestFit="1" customWidth="1"/>
    <col min="29" max="29" width="21" style="11" bestFit="1" customWidth="1"/>
    <col min="30" max="30" width="9.140625" style="11"/>
    <col min="31" max="31" width="14" style="11" customWidth="1"/>
    <col min="32" max="34" width="8.42578125" style="11" bestFit="1" customWidth="1"/>
    <col min="35" max="35" width="22.7109375" style="11" bestFit="1" customWidth="1"/>
    <col min="36" max="69" width="9.140625" style="11"/>
    <col min="70" max="70" width="41.140625" style="11" bestFit="1" customWidth="1"/>
    <col min="71" max="71" width="9.140625" style="11"/>
    <col min="72" max="72" width="49.42578125" style="11" bestFit="1" customWidth="1"/>
    <col min="73" max="16384" width="9.140625" style="11"/>
  </cols>
  <sheetData>
    <row r="1" spans="1:74" s="15" customFormat="1" x14ac:dyDescent="0.25">
      <c r="A1" s="12" t="s">
        <v>0</v>
      </c>
      <c r="B1" s="49" t="s">
        <v>231</v>
      </c>
      <c r="C1" s="12" t="s">
        <v>1</v>
      </c>
      <c r="D1" s="12" t="s">
        <v>2</v>
      </c>
      <c r="E1" s="12" t="s">
        <v>140</v>
      </c>
      <c r="F1" s="49" t="s">
        <v>593</v>
      </c>
      <c r="G1" s="12" t="s">
        <v>142</v>
      </c>
      <c r="H1" s="12" t="s">
        <v>589</v>
      </c>
      <c r="I1" s="12" t="s">
        <v>590</v>
      </c>
      <c r="J1" s="12" t="s">
        <v>591</v>
      </c>
      <c r="K1" s="49" t="s">
        <v>592</v>
      </c>
      <c r="L1" s="12" t="s">
        <v>143</v>
      </c>
      <c r="M1" s="12" t="s">
        <v>3</v>
      </c>
      <c r="N1" s="12" t="s">
        <v>212</v>
      </c>
      <c r="O1" s="12" t="s">
        <v>213</v>
      </c>
      <c r="P1" s="12" t="s">
        <v>144</v>
      </c>
      <c r="Q1" s="12" t="s">
        <v>145</v>
      </c>
      <c r="R1" s="12" t="s">
        <v>146</v>
      </c>
      <c r="S1" s="12" t="s">
        <v>147</v>
      </c>
      <c r="T1" s="12" t="s">
        <v>148</v>
      </c>
      <c r="U1" s="12" t="s">
        <v>149</v>
      </c>
      <c r="V1" s="12" t="s">
        <v>150</v>
      </c>
      <c r="W1" s="12" t="s">
        <v>151</v>
      </c>
      <c r="X1" s="12" t="s">
        <v>152</v>
      </c>
      <c r="Y1" s="12" t="s">
        <v>153</v>
      </c>
      <c r="Z1" s="12" t="s">
        <v>589</v>
      </c>
      <c r="AA1" s="12" t="s">
        <v>590</v>
      </c>
      <c r="AB1" s="12" t="s">
        <v>591</v>
      </c>
      <c r="AC1" s="49" t="s">
        <v>594</v>
      </c>
      <c r="AD1" s="12" t="s">
        <v>154</v>
      </c>
      <c r="AE1" s="12" t="s">
        <v>155</v>
      </c>
      <c r="AF1" s="12" t="s">
        <v>589</v>
      </c>
      <c r="AG1" s="12" t="s">
        <v>590</v>
      </c>
      <c r="AH1" s="12" t="s">
        <v>591</v>
      </c>
      <c r="AI1" s="49" t="s">
        <v>595</v>
      </c>
      <c r="AJ1" s="12" t="s">
        <v>156</v>
      </c>
      <c r="AK1" s="12" t="s">
        <v>157</v>
      </c>
      <c r="AL1" s="12" t="s">
        <v>158</v>
      </c>
      <c r="AM1" s="12" t="s">
        <v>159</v>
      </c>
      <c r="AN1" s="12" t="s">
        <v>160</v>
      </c>
      <c r="AO1" s="12" t="s">
        <v>161</v>
      </c>
      <c r="AP1" s="12" t="s">
        <v>162</v>
      </c>
      <c r="AQ1" s="12" t="s">
        <v>163</v>
      </c>
      <c r="AR1" s="12" t="s">
        <v>164</v>
      </c>
      <c r="AS1" s="6" t="s">
        <v>165</v>
      </c>
      <c r="AT1" s="12" t="s">
        <v>166</v>
      </c>
      <c r="AU1" s="12" t="s">
        <v>167</v>
      </c>
      <c r="AV1" s="12" t="s">
        <v>168</v>
      </c>
      <c r="AW1" s="12" t="s">
        <v>169</v>
      </c>
      <c r="AX1" s="12" t="s">
        <v>170</v>
      </c>
      <c r="AY1" s="6" t="s">
        <v>171</v>
      </c>
      <c r="AZ1" s="12" t="s">
        <v>172</v>
      </c>
      <c r="BA1" s="12" t="s">
        <v>173</v>
      </c>
      <c r="BB1" s="12" t="s">
        <v>174</v>
      </c>
      <c r="BC1" s="12" t="s">
        <v>175</v>
      </c>
      <c r="BD1" s="12" t="s">
        <v>176</v>
      </c>
      <c r="BE1" s="6" t="s">
        <v>177</v>
      </c>
      <c r="BF1" s="12" t="s">
        <v>178</v>
      </c>
      <c r="BG1" s="12" t="s">
        <v>179</v>
      </c>
      <c r="BH1" s="12" t="s">
        <v>180</v>
      </c>
      <c r="BI1" s="12" t="s">
        <v>181</v>
      </c>
      <c r="BJ1" s="12" t="s">
        <v>182</v>
      </c>
      <c r="BK1" s="12" t="s">
        <v>183</v>
      </c>
      <c r="BL1" s="12" t="s">
        <v>184</v>
      </c>
      <c r="BM1" s="12" t="s">
        <v>185</v>
      </c>
      <c r="BN1" s="12" t="s">
        <v>4</v>
      </c>
      <c r="BO1" s="12" t="s">
        <v>186</v>
      </c>
      <c r="BP1" s="12" t="s">
        <v>187</v>
      </c>
      <c r="BQ1" s="12" t="s">
        <v>188</v>
      </c>
      <c r="BR1" s="12" t="s">
        <v>596</v>
      </c>
      <c r="BS1" s="12" t="s">
        <v>190</v>
      </c>
      <c r="BT1" s="12" t="s">
        <v>597</v>
      </c>
      <c r="BU1" s="12" t="s">
        <v>192</v>
      </c>
      <c r="BV1" s="12" t="s">
        <v>193</v>
      </c>
    </row>
    <row r="2" spans="1:74" s="28" customFormat="1" x14ac:dyDescent="0.25">
      <c r="A2" s="28">
        <v>200708</v>
      </c>
      <c r="B2" s="11" t="s">
        <v>35</v>
      </c>
      <c r="C2" s="11" t="s">
        <v>2627</v>
      </c>
      <c r="D2" s="28" t="s">
        <v>2628</v>
      </c>
      <c r="E2" s="28">
        <v>1</v>
      </c>
      <c r="F2" s="28" t="s">
        <v>2629</v>
      </c>
      <c r="G2" s="51">
        <v>39413</v>
      </c>
      <c r="H2" s="11">
        <f t="shared" ref="H2:H14" si="0">DAY(G2)</f>
        <v>27</v>
      </c>
      <c r="I2" s="11">
        <f t="shared" ref="I2:I14" si="1">MONTH(G2)</f>
        <v>11</v>
      </c>
      <c r="J2" s="11">
        <f t="shared" ref="J2:J14" si="2">YEAR(G2)</f>
        <v>2007</v>
      </c>
      <c r="K2" s="11" t="str">
        <f t="shared" ref="K2:K14" si="3">CONCATENATE(TEXT(H2,"00"),TEXT(I2,"00"),TEXT(J2,"0000"))</f>
        <v>27112007</v>
      </c>
      <c r="L2" s="28" t="s">
        <v>17</v>
      </c>
      <c r="M2" s="28" t="s">
        <v>51</v>
      </c>
      <c r="N2" s="32" t="s">
        <v>588</v>
      </c>
      <c r="O2" s="32" t="s">
        <v>588</v>
      </c>
      <c r="P2" s="28" t="s">
        <v>588</v>
      </c>
      <c r="Q2" s="28" t="s">
        <v>588</v>
      </c>
      <c r="R2" s="28">
        <v>3</v>
      </c>
      <c r="S2" s="28">
        <v>3</v>
      </c>
      <c r="T2" s="29" t="s">
        <v>588</v>
      </c>
      <c r="U2" s="28" t="s">
        <v>588</v>
      </c>
      <c r="V2" s="28">
        <v>6</v>
      </c>
      <c r="W2" s="28">
        <v>6</v>
      </c>
      <c r="X2" s="28" t="s">
        <v>8</v>
      </c>
      <c r="Y2" s="51">
        <v>39431</v>
      </c>
      <c r="Z2" s="11">
        <f t="shared" ref="Z2" si="4">DAY(Y2)</f>
        <v>15</v>
      </c>
      <c r="AA2" s="11">
        <f t="shared" ref="AA2" si="5">MONTH(Y2)</f>
        <v>12</v>
      </c>
      <c r="AB2" s="11">
        <f t="shared" ref="AB2" si="6">YEAR(Y2)</f>
        <v>2007</v>
      </c>
      <c r="AC2" s="11" t="str">
        <f t="shared" ref="AC2" si="7">CONCATENATE(TEXT(Z2,"00"),TEXT(AA2,"00"),TEXT(AB2,"0000"))</f>
        <v>15122007</v>
      </c>
      <c r="AD2" s="28" t="s">
        <v>7</v>
      </c>
      <c r="AE2" s="29" t="s">
        <v>588</v>
      </c>
      <c r="AF2" s="29" t="s">
        <v>588</v>
      </c>
      <c r="AG2" s="29" t="s">
        <v>588</v>
      </c>
      <c r="AH2" s="29" t="s">
        <v>588</v>
      </c>
      <c r="AI2" s="29" t="s">
        <v>588</v>
      </c>
      <c r="AJ2" s="28" t="s">
        <v>588</v>
      </c>
      <c r="AK2" s="29" t="s">
        <v>588</v>
      </c>
      <c r="AL2" s="28" t="s">
        <v>2630</v>
      </c>
      <c r="AM2" s="29" t="s">
        <v>588</v>
      </c>
      <c r="AN2" s="51">
        <v>39439</v>
      </c>
      <c r="AO2" s="29" t="s">
        <v>7</v>
      </c>
      <c r="AP2" s="33" t="s">
        <v>195</v>
      </c>
      <c r="AQ2" s="28">
        <v>1</v>
      </c>
      <c r="AR2" s="28">
        <v>1</v>
      </c>
      <c r="AS2" s="34" t="s">
        <v>588</v>
      </c>
      <c r="AT2" s="34" t="s">
        <v>588</v>
      </c>
      <c r="AU2" s="29" t="s">
        <v>588</v>
      </c>
      <c r="AV2" s="29" t="s">
        <v>588</v>
      </c>
      <c r="AW2" s="29" t="s">
        <v>588</v>
      </c>
      <c r="AX2" s="29" t="s">
        <v>588</v>
      </c>
      <c r="AY2" s="34" t="s">
        <v>588</v>
      </c>
      <c r="AZ2" s="34" t="s">
        <v>588</v>
      </c>
      <c r="BA2" s="29" t="s">
        <v>588</v>
      </c>
      <c r="BB2" s="29" t="s">
        <v>588</v>
      </c>
      <c r="BC2" s="29" t="s">
        <v>588</v>
      </c>
      <c r="BD2" s="29" t="s">
        <v>588</v>
      </c>
      <c r="BE2" s="29" t="s">
        <v>588</v>
      </c>
      <c r="BF2" s="29" t="s">
        <v>588</v>
      </c>
      <c r="BG2" s="29" t="s">
        <v>588</v>
      </c>
      <c r="BH2" s="29" t="s">
        <v>588</v>
      </c>
      <c r="BI2" s="29" t="s">
        <v>588</v>
      </c>
      <c r="BJ2" s="29" t="s">
        <v>588</v>
      </c>
      <c r="BK2" s="28">
        <v>14</v>
      </c>
      <c r="BL2" s="28">
        <v>12</v>
      </c>
      <c r="BM2" s="29" t="s">
        <v>8</v>
      </c>
      <c r="BN2" s="28">
        <v>1</v>
      </c>
      <c r="BO2" s="51">
        <v>39470</v>
      </c>
      <c r="BP2" s="29" t="s">
        <v>12</v>
      </c>
      <c r="BQ2" s="28" t="s">
        <v>8</v>
      </c>
      <c r="BR2" s="11" t="s">
        <v>2622</v>
      </c>
      <c r="BS2" s="29" t="s">
        <v>8</v>
      </c>
      <c r="BT2" s="11" t="s">
        <v>2622</v>
      </c>
      <c r="BU2" s="29" t="s">
        <v>588</v>
      </c>
      <c r="BV2" s="29" t="s">
        <v>588</v>
      </c>
    </row>
    <row r="3" spans="1:74" s="28" customFormat="1" x14ac:dyDescent="0.25">
      <c r="A3" s="28">
        <v>200708</v>
      </c>
      <c r="B3" s="11" t="s">
        <v>23</v>
      </c>
      <c r="C3" s="28" t="s">
        <v>1844</v>
      </c>
      <c r="D3" s="33" t="s">
        <v>1844</v>
      </c>
      <c r="E3" s="28">
        <v>1</v>
      </c>
      <c r="F3" s="28" t="s">
        <v>2631</v>
      </c>
      <c r="G3" s="52">
        <v>39409</v>
      </c>
      <c r="H3" s="11">
        <f t="shared" si="0"/>
        <v>23</v>
      </c>
      <c r="I3" s="11">
        <f t="shared" si="1"/>
        <v>11</v>
      </c>
      <c r="J3" s="11">
        <f t="shared" si="2"/>
        <v>2007</v>
      </c>
      <c r="K3" s="11" t="str">
        <f t="shared" si="3"/>
        <v>23112007</v>
      </c>
      <c r="L3" s="28" t="s">
        <v>17</v>
      </c>
      <c r="M3" s="28" t="s">
        <v>19</v>
      </c>
      <c r="N3" s="32" t="s">
        <v>588</v>
      </c>
      <c r="O3" s="32" t="s">
        <v>588</v>
      </c>
      <c r="P3" s="28" t="s">
        <v>588</v>
      </c>
      <c r="Q3" s="28" t="s">
        <v>588</v>
      </c>
      <c r="R3" s="28">
        <v>3</v>
      </c>
      <c r="S3" s="28">
        <v>3</v>
      </c>
      <c r="T3" s="29" t="s">
        <v>588</v>
      </c>
      <c r="U3" s="28" t="s">
        <v>588</v>
      </c>
      <c r="V3" s="28">
        <v>4</v>
      </c>
      <c r="W3" s="28">
        <v>4</v>
      </c>
      <c r="X3" s="28" t="s">
        <v>41</v>
      </c>
      <c r="Y3" s="51">
        <v>39419</v>
      </c>
      <c r="Z3" s="11">
        <f t="shared" ref="Z3:Z14" si="8">DAY(Y3)</f>
        <v>3</v>
      </c>
      <c r="AA3" s="11">
        <f t="shared" ref="AA3:AA14" si="9">MONTH(Y3)</f>
        <v>12</v>
      </c>
      <c r="AB3" s="11">
        <f t="shared" ref="AB3:AB14" si="10">YEAR(Y3)</f>
        <v>2007</v>
      </c>
      <c r="AC3" s="11" t="str">
        <f t="shared" ref="AC3:AC14" si="11">CONCATENATE(TEXT(Z3,"00"),TEXT(AA3,"00"),TEXT(AB3,"0000"))</f>
        <v>03122007</v>
      </c>
      <c r="AD3" s="28" t="s">
        <v>7</v>
      </c>
      <c r="AE3" s="51">
        <v>39431</v>
      </c>
      <c r="AF3" s="11">
        <f t="shared" ref="AF3:AF14" si="12">DAY(AE3)</f>
        <v>15</v>
      </c>
      <c r="AG3" s="11">
        <f t="shared" ref="AG3:AG14" si="13">MONTH(AE3)</f>
        <v>12</v>
      </c>
      <c r="AH3" s="11">
        <f t="shared" ref="AH3:AH14" si="14">YEAR(AE3)</f>
        <v>2007</v>
      </c>
      <c r="AI3" s="11" t="str">
        <f t="shared" ref="AI3:AI14" si="15">CONCATENATE(TEXT(AF3,"00"),TEXT(AG3,"00"),TEXT(AH3,"0000"))</f>
        <v>15122007</v>
      </c>
      <c r="AJ3" s="28" t="s">
        <v>7</v>
      </c>
      <c r="AK3" s="29" t="s">
        <v>41</v>
      </c>
      <c r="AL3" s="29" t="s">
        <v>41</v>
      </c>
      <c r="AM3" s="28" t="s">
        <v>20</v>
      </c>
      <c r="AN3" s="28" t="s">
        <v>588</v>
      </c>
      <c r="AO3" s="29" t="s">
        <v>588</v>
      </c>
      <c r="AP3" s="28" t="s">
        <v>588</v>
      </c>
      <c r="AQ3" s="28" t="s">
        <v>588</v>
      </c>
      <c r="AR3" s="28" t="s">
        <v>588</v>
      </c>
      <c r="AS3" s="29" t="s">
        <v>588</v>
      </c>
      <c r="AT3" s="28" t="s">
        <v>588</v>
      </c>
      <c r="AU3" s="29" t="s">
        <v>588</v>
      </c>
      <c r="AV3" s="28" t="s">
        <v>588</v>
      </c>
      <c r="AW3" s="29" t="s">
        <v>588</v>
      </c>
      <c r="AX3" s="28" t="s">
        <v>588</v>
      </c>
      <c r="AY3" s="29" t="s">
        <v>588</v>
      </c>
      <c r="AZ3" s="28" t="s">
        <v>588</v>
      </c>
      <c r="BA3" s="29" t="s">
        <v>588</v>
      </c>
      <c r="BB3" s="28" t="s">
        <v>588</v>
      </c>
      <c r="BC3" s="29" t="s">
        <v>588</v>
      </c>
      <c r="BD3" s="28" t="s">
        <v>588</v>
      </c>
      <c r="BE3" s="29" t="s">
        <v>588</v>
      </c>
      <c r="BF3" s="28" t="s">
        <v>588</v>
      </c>
      <c r="BG3" s="29" t="s">
        <v>588</v>
      </c>
      <c r="BH3" s="28" t="s">
        <v>588</v>
      </c>
      <c r="BI3" s="29" t="s">
        <v>588</v>
      </c>
      <c r="BJ3" s="28" t="s">
        <v>588</v>
      </c>
      <c r="BK3" s="28" t="s">
        <v>588</v>
      </c>
      <c r="BL3" s="28" t="s">
        <v>588</v>
      </c>
      <c r="BM3" s="29" t="s">
        <v>588</v>
      </c>
      <c r="BN3" s="28" t="s">
        <v>588</v>
      </c>
      <c r="BO3" s="29" t="s">
        <v>588</v>
      </c>
      <c r="BP3" s="28" t="s">
        <v>588</v>
      </c>
      <c r="BQ3" s="28" t="s">
        <v>41</v>
      </c>
      <c r="BR3" s="33" t="s">
        <v>42</v>
      </c>
      <c r="BS3" s="33" t="s">
        <v>588</v>
      </c>
      <c r="BT3" s="28" t="s">
        <v>588</v>
      </c>
      <c r="BU3" s="33" t="s">
        <v>588</v>
      </c>
      <c r="BV3" s="33" t="s">
        <v>588</v>
      </c>
    </row>
    <row r="4" spans="1:74" s="28" customFormat="1" x14ac:dyDescent="0.25">
      <c r="A4" s="28">
        <v>200708</v>
      </c>
      <c r="B4" s="11" t="s">
        <v>23</v>
      </c>
      <c r="C4" s="28" t="s">
        <v>1844</v>
      </c>
      <c r="D4" s="33" t="s">
        <v>1844</v>
      </c>
      <c r="E4" s="28">
        <v>2</v>
      </c>
      <c r="F4" s="28" t="s">
        <v>2632</v>
      </c>
      <c r="G4" s="51">
        <v>39431</v>
      </c>
      <c r="H4" s="11">
        <f t="shared" si="0"/>
        <v>15</v>
      </c>
      <c r="I4" s="11">
        <f t="shared" si="1"/>
        <v>12</v>
      </c>
      <c r="J4" s="11">
        <f t="shared" si="2"/>
        <v>2007</v>
      </c>
      <c r="K4" s="11" t="str">
        <f t="shared" si="3"/>
        <v>15122007</v>
      </c>
      <c r="L4" s="28" t="s">
        <v>7</v>
      </c>
      <c r="M4" s="28" t="s">
        <v>19</v>
      </c>
      <c r="N4" s="28" t="s">
        <v>588</v>
      </c>
      <c r="O4" s="28" t="s">
        <v>588</v>
      </c>
      <c r="P4" s="28" t="s">
        <v>588</v>
      </c>
      <c r="Q4" s="28" t="s">
        <v>588</v>
      </c>
      <c r="R4" s="28">
        <v>3</v>
      </c>
      <c r="S4" s="28">
        <v>3</v>
      </c>
      <c r="T4" s="13">
        <v>39430</v>
      </c>
      <c r="U4" s="28" t="s">
        <v>219</v>
      </c>
      <c r="V4" s="28">
        <v>7</v>
      </c>
      <c r="W4" s="28">
        <v>7</v>
      </c>
      <c r="X4" s="28" t="s">
        <v>8</v>
      </c>
      <c r="Y4" s="51">
        <v>39457</v>
      </c>
      <c r="Z4" s="11">
        <f t="shared" si="8"/>
        <v>10</v>
      </c>
      <c r="AA4" s="11">
        <f t="shared" si="9"/>
        <v>1</v>
      </c>
      <c r="AB4" s="11">
        <f t="shared" si="10"/>
        <v>2008</v>
      </c>
      <c r="AC4" s="11" t="str">
        <f t="shared" si="11"/>
        <v>10012008</v>
      </c>
      <c r="AD4" s="28" t="s">
        <v>12</v>
      </c>
      <c r="AE4" s="29" t="s">
        <v>588</v>
      </c>
      <c r="AF4" s="29" t="s">
        <v>588</v>
      </c>
      <c r="AG4" s="29" t="s">
        <v>588</v>
      </c>
      <c r="AH4" s="29" t="s">
        <v>588</v>
      </c>
      <c r="AI4" s="29" t="s">
        <v>588</v>
      </c>
      <c r="AJ4" s="28" t="s">
        <v>588</v>
      </c>
      <c r="AK4" s="29" t="s">
        <v>588</v>
      </c>
      <c r="AL4" s="28" t="s">
        <v>588</v>
      </c>
      <c r="AM4" s="29" t="s">
        <v>588</v>
      </c>
      <c r="AN4" s="51">
        <v>39459</v>
      </c>
      <c r="AO4" s="29" t="s">
        <v>12</v>
      </c>
      <c r="AP4" s="33" t="s">
        <v>195</v>
      </c>
      <c r="AQ4" s="28">
        <v>2</v>
      </c>
      <c r="AR4" s="28">
        <v>3</v>
      </c>
      <c r="AS4" s="51">
        <v>39475</v>
      </c>
      <c r="AT4" s="51">
        <v>39483</v>
      </c>
      <c r="AU4" s="29" t="s">
        <v>41</v>
      </c>
      <c r="AV4" s="28" t="s">
        <v>8</v>
      </c>
      <c r="AW4" s="29" t="s">
        <v>32</v>
      </c>
      <c r="AX4" s="28" t="s">
        <v>588</v>
      </c>
      <c r="AY4" s="29" t="s">
        <v>588</v>
      </c>
      <c r="AZ4" s="28" t="s">
        <v>588</v>
      </c>
      <c r="BA4" s="29" t="s">
        <v>588</v>
      </c>
      <c r="BB4" s="28" t="s">
        <v>588</v>
      </c>
      <c r="BC4" s="29" t="s">
        <v>588</v>
      </c>
      <c r="BD4" s="28" t="s">
        <v>588</v>
      </c>
      <c r="BE4" s="29" t="s">
        <v>588</v>
      </c>
      <c r="BF4" s="28" t="s">
        <v>588</v>
      </c>
      <c r="BG4" s="29" t="s">
        <v>588</v>
      </c>
      <c r="BH4" s="28" t="s">
        <v>588</v>
      </c>
      <c r="BI4" s="29" t="s">
        <v>588</v>
      </c>
      <c r="BJ4" s="28" t="s">
        <v>588</v>
      </c>
      <c r="BK4" s="28">
        <v>9</v>
      </c>
      <c r="BL4" s="28">
        <v>8</v>
      </c>
      <c r="BM4" s="29" t="s">
        <v>8</v>
      </c>
      <c r="BN4" s="28">
        <v>1</v>
      </c>
      <c r="BO4" s="51">
        <v>39507</v>
      </c>
      <c r="BP4" s="28" t="s">
        <v>21</v>
      </c>
      <c r="BQ4" s="28" t="s">
        <v>8</v>
      </c>
      <c r="BR4" s="11" t="s">
        <v>2596</v>
      </c>
      <c r="BS4" s="29" t="s">
        <v>8</v>
      </c>
      <c r="BT4" s="11" t="s">
        <v>2633</v>
      </c>
      <c r="BU4" s="29" t="s">
        <v>588</v>
      </c>
      <c r="BV4" s="28" t="s">
        <v>588</v>
      </c>
    </row>
    <row r="5" spans="1:74" s="28" customFormat="1" x14ac:dyDescent="0.25">
      <c r="A5" s="28">
        <v>200708</v>
      </c>
      <c r="B5" s="11" t="s">
        <v>553</v>
      </c>
      <c r="C5" s="28" t="s">
        <v>1844</v>
      </c>
      <c r="D5" s="33" t="s">
        <v>1844</v>
      </c>
      <c r="E5" s="28">
        <v>1</v>
      </c>
      <c r="F5" s="28" t="s">
        <v>2634</v>
      </c>
      <c r="G5" s="51">
        <v>39411</v>
      </c>
      <c r="H5" s="11">
        <f t="shared" si="0"/>
        <v>25</v>
      </c>
      <c r="I5" s="11">
        <f t="shared" si="1"/>
        <v>11</v>
      </c>
      <c r="J5" s="11">
        <f t="shared" si="2"/>
        <v>2007</v>
      </c>
      <c r="K5" s="11" t="str">
        <f t="shared" si="3"/>
        <v>25112007</v>
      </c>
      <c r="L5" s="28" t="s">
        <v>17</v>
      </c>
      <c r="M5" s="33" t="s">
        <v>10</v>
      </c>
      <c r="N5" s="11" t="s">
        <v>2635</v>
      </c>
      <c r="O5" s="11" t="s">
        <v>2636</v>
      </c>
      <c r="P5" s="28" t="s">
        <v>588</v>
      </c>
      <c r="Q5" s="28" t="s">
        <v>588</v>
      </c>
      <c r="R5" s="28">
        <v>3</v>
      </c>
      <c r="S5" s="28">
        <v>3</v>
      </c>
      <c r="T5" s="29" t="s">
        <v>588</v>
      </c>
      <c r="U5" s="28" t="s">
        <v>588</v>
      </c>
      <c r="V5" s="28">
        <v>6</v>
      </c>
      <c r="W5" s="28">
        <v>6</v>
      </c>
      <c r="X5" s="28" t="s">
        <v>41</v>
      </c>
      <c r="Y5" s="51">
        <v>39432</v>
      </c>
      <c r="Z5" s="11">
        <f t="shared" si="8"/>
        <v>16</v>
      </c>
      <c r="AA5" s="11">
        <f t="shared" si="9"/>
        <v>12</v>
      </c>
      <c r="AB5" s="11">
        <f t="shared" si="10"/>
        <v>2007</v>
      </c>
      <c r="AC5" s="11" t="str">
        <f t="shared" si="11"/>
        <v>16122007</v>
      </c>
      <c r="AD5" s="28" t="s">
        <v>7</v>
      </c>
      <c r="AE5" s="51">
        <v>39444</v>
      </c>
      <c r="AF5" s="11">
        <f t="shared" si="12"/>
        <v>28</v>
      </c>
      <c r="AG5" s="11">
        <f t="shared" si="13"/>
        <v>12</v>
      </c>
      <c r="AH5" s="11">
        <f t="shared" si="14"/>
        <v>2007</v>
      </c>
      <c r="AI5" s="11" t="str">
        <f t="shared" si="15"/>
        <v>28122007</v>
      </c>
      <c r="AJ5" s="28" t="s">
        <v>7</v>
      </c>
      <c r="AK5" s="29" t="s">
        <v>11</v>
      </c>
      <c r="AL5" s="33" t="s">
        <v>8</v>
      </c>
      <c r="AM5" s="28" t="s">
        <v>588</v>
      </c>
      <c r="AN5" s="29" t="s">
        <v>588</v>
      </c>
      <c r="AO5" s="29" t="s">
        <v>588</v>
      </c>
      <c r="AP5" s="29" t="s">
        <v>588</v>
      </c>
      <c r="AQ5" s="28" t="s">
        <v>588</v>
      </c>
      <c r="AR5" s="28" t="s">
        <v>588</v>
      </c>
      <c r="AS5" s="29" t="s">
        <v>588</v>
      </c>
      <c r="AT5" s="29" t="s">
        <v>588</v>
      </c>
      <c r="AU5" s="29" t="s">
        <v>588</v>
      </c>
      <c r="AV5" s="29" t="s">
        <v>588</v>
      </c>
      <c r="AW5" s="29" t="s">
        <v>588</v>
      </c>
      <c r="AX5" s="29" t="s">
        <v>588</v>
      </c>
      <c r="AY5" s="29" t="s">
        <v>588</v>
      </c>
      <c r="AZ5" s="29" t="s">
        <v>588</v>
      </c>
      <c r="BA5" s="29" t="s">
        <v>588</v>
      </c>
      <c r="BB5" s="29" t="s">
        <v>588</v>
      </c>
      <c r="BC5" s="29" t="s">
        <v>588</v>
      </c>
      <c r="BD5" s="29" t="s">
        <v>588</v>
      </c>
      <c r="BE5" s="29" t="s">
        <v>588</v>
      </c>
      <c r="BF5" s="29" t="s">
        <v>588</v>
      </c>
      <c r="BG5" s="29" t="s">
        <v>588</v>
      </c>
      <c r="BH5" s="29" t="s">
        <v>588</v>
      </c>
      <c r="BI5" s="29" t="s">
        <v>588</v>
      </c>
      <c r="BJ5" s="29" t="s">
        <v>588</v>
      </c>
      <c r="BK5" s="28" t="s">
        <v>588</v>
      </c>
      <c r="BL5" s="28" t="s">
        <v>588</v>
      </c>
      <c r="BM5" s="29" t="s">
        <v>588</v>
      </c>
      <c r="BN5" s="28" t="s">
        <v>588</v>
      </c>
      <c r="BO5" s="29" t="s">
        <v>588</v>
      </c>
      <c r="BP5" s="29" t="s">
        <v>588</v>
      </c>
      <c r="BQ5" s="28" t="s">
        <v>8</v>
      </c>
      <c r="BR5" s="11" t="s">
        <v>2637</v>
      </c>
      <c r="BS5" s="29" t="s">
        <v>588</v>
      </c>
      <c r="BT5" s="29" t="s">
        <v>588</v>
      </c>
      <c r="BU5" s="29" t="s">
        <v>588</v>
      </c>
      <c r="BV5" s="29" t="s">
        <v>588</v>
      </c>
    </row>
    <row r="6" spans="1:74" s="28" customFormat="1" x14ac:dyDescent="0.25">
      <c r="A6" s="28">
        <v>200708</v>
      </c>
      <c r="B6" s="11" t="s">
        <v>553</v>
      </c>
      <c r="C6" s="28" t="s">
        <v>1844</v>
      </c>
      <c r="D6" s="33" t="s">
        <v>1844</v>
      </c>
      <c r="E6" s="28">
        <v>2</v>
      </c>
      <c r="F6" s="28" t="s">
        <v>2638</v>
      </c>
      <c r="G6" s="51">
        <v>39444</v>
      </c>
      <c r="H6" s="11">
        <f t="shared" si="0"/>
        <v>28</v>
      </c>
      <c r="I6" s="11">
        <f t="shared" si="1"/>
        <v>12</v>
      </c>
      <c r="J6" s="11">
        <f t="shared" si="2"/>
        <v>2007</v>
      </c>
      <c r="K6" s="11" t="str">
        <f t="shared" si="3"/>
        <v>28122007</v>
      </c>
      <c r="L6" s="28" t="s">
        <v>7</v>
      </c>
      <c r="M6" s="28" t="s">
        <v>51</v>
      </c>
      <c r="N6" s="28" t="s">
        <v>588</v>
      </c>
      <c r="O6" s="28" t="s">
        <v>588</v>
      </c>
      <c r="P6" s="28" t="s">
        <v>588</v>
      </c>
      <c r="Q6" s="28" t="s">
        <v>588</v>
      </c>
      <c r="R6" s="28">
        <v>2</v>
      </c>
      <c r="S6" s="28">
        <v>3</v>
      </c>
      <c r="T6" s="29">
        <v>39447</v>
      </c>
      <c r="U6" s="28" t="s">
        <v>223</v>
      </c>
      <c r="V6" s="28">
        <v>4</v>
      </c>
      <c r="W6" s="28">
        <v>4</v>
      </c>
      <c r="X6" s="28" t="s">
        <v>41</v>
      </c>
      <c r="Y6" s="51">
        <v>39446</v>
      </c>
      <c r="Z6" s="11">
        <f t="shared" si="8"/>
        <v>30</v>
      </c>
      <c r="AA6" s="11">
        <f t="shared" si="9"/>
        <v>12</v>
      </c>
      <c r="AB6" s="11">
        <f t="shared" si="10"/>
        <v>2007</v>
      </c>
      <c r="AC6" s="11" t="str">
        <f t="shared" si="11"/>
        <v>30122007</v>
      </c>
      <c r="AD6" s="28" t="s">
        <v>7</v>
      </c>
      <c r="AE6" s="51">
        <v>39458</v>
      </c>
      <c r="AF6" s="11">
        <f t="shared" si="12"/>
        <v>11</v>
      </c>
      <c r="AG6" s="11">
        <f t="shared" si="13"/>
        <v>1</v>
      </c>
      <c r="AH6" s="11">
        <f t="shared" si="14"/>
        <v>2008</v>
      </c>
      <c r="AI6" s="11" t="str">
        <f t="shared" si="15"/>
        <v>11012008</v>
      </c>
      <c r="AJ6" s="28" t="s">
        <v>12</v>
      </c>
      <c r="AK6" s="29" t="s">
        <v>11</v>
      </c>
      <c r="AL6" s="28" t="s">
        <v>8</v>
      </c>
      <c r="AM6" s="33" t="s">
        <v>588</v>
      </c>
      <c r="AN6" s="29" t="s">
        <v>588</v>
      </c>
      <c r="AO6" s="29" t="s">
        <v>588</v>
      </c>
      <c r="AP6" s="28" t="s">
        <v>588</v>
      </c>
      <c r="AQ6" s="28" t="s">
        <v>588</v>
      </c>
      <c r="AR6" s="28" t="s">
        <v>588</v>
      </c>
      <c r="AS6" s="29" t="s">
        <v>588</v>
      </c>
      <c r="AT6" s="29" t="s">
        <v>588</v>
      </c>
      <c r="AU6" s="29" t="s">
        <v>588</v>
      </c>
      <c r="AV6" s="29" t="s">
        <v>588</v>
      </c>
      <c r="AW6" s="29" t="s">
        <v>588</v>
      </c>
      <c r="AX6" s="29" t="s">
        <v>588</v>
      </c>
      <c r="AY6" s="29" t="s">
        <v>588</v>
      </c>
      <c r="AZ6" s="29" t="s">
        <v>588</v>
      </c>
      <c r="BA6" s="29" t="s">
        <v>588</v>
      </c>
      <c r="BB6" s="29" t="s">
        <v>588</v>
      </c>
      <c r="BC6" s="29" t="s">
        <v>588</v>
      </c>
      <c r="BD6" s="29" t="s">
        <v>588</v>
      </c>
      <c r="BE6" s="29" t="s">
        <v>588</v>
      </c>
      <c r="BF6" s="29" t="s">
        <v>588</v>
      </c>
      <c r="BG6" s="29" t="s">
        <v>588</v>
      </c>
      <c r="BH6" s="29" t="s">
        <v>588</v>
      </c>
      <c r="BI6" s="29" t="s">
        <v>588</v>
      </c>
      <c r="BJ6" s="29" t="s">
        <v>588</v>
      </c>
      <c r="BK6" s="28" t="s">
        <v>588</v>
      </c>
      <c r="BL6" s="28" t="s">
        <v>588</v>
      </c>
      <c r="BM6" s="29" t="s">
        <v>588</v>
      </c>
      <c r="BN6" s="28" t="s">
        <v>588</v>
      </c>
      <c r="BO6" s="29" t="s">
        <v>588</v>
      </c>
      <c r="BP6" s="29" t="s">
        <v>588</v>
      </c>
      <c r="BQ6" s="28" t="s">
        <v>8</v>
      </c>
      <c r="BR6" s="11" t="s">
        <v>2637</v>
      </c>
      <c r="BS6" s="28" t="s">
        <v>588</v>
      </c>
      <c r="BT6" s="28" t="s">
        <v>588</v>
      </c>
      <c r="BU6" s="29" t="s">
        <v>588</v>
      </c>
      <c r="BV6" s="29" t="s">
        <v>588</v>
      </c>
    </row>
    <row r="7" spans="1:74" s="28" customFormat="1" x14ac:dyDescent="0.25">
      <c r="A7" s="28">
        <v>200708</v>
      </c>
      <c r="B7" s="11" t="s">
        <v>553</v>
      </c>
      <c r="C7" s="28" t="s">
        <v>1844</v>
      </c>
      <c r="D7" s="33" t="s">
        <v>1844</v>
      </c>
      <c r="E7" s="28">
        <v>3</v>
      </c>
      <c r="F7" s="28" t="s">
        <v>2639</v>
      </c>
      <c r="G7" s="51">
        <v>39467</v>
      </c>
      <c r="H7" s="11">
        <f t="shared" si="0"/>
        <v>20</v>
      </c>
      <c r="I7" s="11">
        <f t="shared" si="1"/>
        <v>1</v>
      </c>
      <c r="J7" s="11">
        <f t="shared" si="2"/>
        <v>2008</v>
      </c>
      <c r="K7" s="11" t="str">
        <f t="shared" si="3"/>
        <v>20012008</v>
      </c>
      <c r="L7" s="28" t="s">
        <v>12</v>
      </c>
      <c r="M7" s="28" t="s">
        <v>36</v>
      </c>
      <c r="N7" s="11" t="s">
        <v>2640</v>
      </c>
      <c r="O7" s="11" t="s">
        <v>2641</v>
      </c>
      <c r="P7" s="28" t="s">
        <v>588</v>
      </c>
      <c r="Q7" s="28" t="s">
        <v>588</v>
      </c>
      <c r="R7" s="28">
        <v>3</v>
      </c>
      <c r="S7" s="28">
        <v>3</v>
      </c>
      <c r="T7" s="29" t="s">
        <v>588</v>
      </c>
      <c r="U7" s="28" t="s">
        <v>588</v>
      </c>
      <c r="V7" s="28">
        <v>2</v>
      </c>
      <c r="W7" s="28">
        <v>2</v>
      </c>
      <c r="X7" s="28" t="s">
        <v>41</v>
      </c>
      <c r="Y7" s="51">
        <v>39467</v>
      </c>
      <c r="Z7" s="11">
        <f t="shared" si="8"/>
        <v>20</v>
      </c>
      <c r="AA7" s="11">
        <f t="shared" si="9"/>
        <v>1</v>
      </c>
      <c r="AB7" s="11">
        <f t="shared" si="10"/>
        <v>2008</v>
      </c>
      <c r="AC7" s="11" t="str">
        <f t="shared" si="11"/>
        <v>20012008</v>
      </c>
      <c r="AD7" s="28" t="s">
        <v>12</v>
      </c>
      <c r="AE7" s="51">
        <v>39480</v>
      </c>
      <c r="AF7" s="11">
        <f t="shared" si="12"/>
        <v>2</v>
      </c>
      <c r="AG7" s="11">
        <f t="shared" si="13"/>
        <v>2</v>
      </c>
      <c r="AH7" s="11">
        <f t="shared" si="14"/>
        <v>2008</v>
      </c>
      <c r="AI7" s="11" t="str">
        <f t="shared" si="15"/>
        <v>02022008</v>
      </c>
      <c r="AJ7" s="28" t="s">
        <v>21</v>
      </c>
      <c r="AK7" s="29" t="s">
        <v>41</v>
      </c>
      <c r="AL7" s="29" t="s">
        <v>41</v>
      </c>
      <c r="AM7" s="28" t="s">
        <v>20</v>
      </c>
      <c r="AN7" s="29" t="s">
        <v>588</v>
      </c>
      <c r="AO7" s="29" t="s">
        <v>588</v>
      </c>
      <c r="AP7" s="29" t="s">
        <v>588</v>
      </c>
      <c r="AQ7" s="28" t="s">
        <v>588</v>
      </c>
      <c r="AR7" s="28" t="s">
        <v>588</v>
      </c>
      <c r="AS7" s="29" t="s">
        <v>588</v>
      </c>
      <c r="AT7" s="29" t="s">
        <v>588</v>
      </c>
      <c r="AU7" s="29" t="s">
        <v>588</v>
      </c>
      <c r="AV7" s="29" t="s">
        <v>588</v>
      </c>
      <c r="AW7" s="29" t="s">
        <v>588</v>
      </c>
      <c r="AX7" s="29" t="s">
        <v>588</v>
      </c>
      <c r="AY7" s="29" t="s">
        <v>588</v>
      </c>
      <c r="AZ7" s="29" t="s">
        <v>588</v>
      </c>
      <c r="BA7" s="29" t="s">
        <v>588</v>
      </c>
      <c r="BB7" s="29" t="s">
        <v>588</v>
      </c>
      <c r="BC7" s="29" t="s">
        <v>588</v>
      </c>
      <c r="BD7" s="29" t="s">
        <v>588</v>
      </c>
      <c r="BE7" s="29" t="s">
        <v>588</v>
      </c>
      <c r="BF7" s="29" t="s">
        <v>588</v>
      </c>
      <c r="BG7" s="29" t="s">
        <v>588</v>
      </c>
      <c r="BH7" s="29" t="s">
        <v>588</v>
      </c>
      <c r="BI7" s="29" t="s">
        <v>588</v>
      </c>
      <c r="BJ7" s="29" t="s">
        <v>588</v>
      </c>
      <c r="BK7" s="28" t="s">
        <v>588</v>
      </c>
      <c r="BL7" s="28" t="s">
        <v>588</v>
      </c>
      <c r="BM7" s="29" t="s">
        <v>588</v>
      </c>
      <c r="BN7" s="28" t="s">
        <v>588</v>
      </c>
      <c r="BO7" s="29" t="s">
        <v>588</v>
      </c>
      <c r="BP7" s="29" t="s">
        <v>588</v>
      </c>
      <c r="BQ7" s="28" t="s">
        <v>8</v>
      </c>
      <c r="BR7" s="11" t="s">
        <v>2637</v>
      </c>
      <c r="BS7" s="29" t="s">
        <v>588</v>
      </c>
      <c r="BT7" s="29" t="s">
        <v>588</v>
      </c>
      <c r="BU7" s="29" t="s">
        <v>588</v>
      </c>
      <c r="BV7" s="29" t="s">
        <v>588</v>
      </c>
    </row>
    <row r="8" spans="1:74" s="28" customFormat="1" x14ac:dyDescent="0.25">
      <c r="A8" s="28">
        <v>200708</v>
      </c>
      <c r="B8" s="11" t="s">
        <v>552</v>
      </c>
      <c r="C8" s="28" t="s">
        <v>1844</v>
      </c>
      <c r="D8" s="33" t="s">
        <v>1844</v>
      </c>
      <c r="E8" s="28">
        <v>1</v>
      </c>
      <c r="F8" s="28" t="s">
        <v>2642</v>
      </c>
      <c r="G8" s="51">
        <v>39375</v>
      </c>
      <c r="H8" s="11">
        <f t="shared" si="0"/>
        <v>20</v>
      </c>
      <c r="I8" s="11">
        <f t="shared" si="1"/>
        <v>10</v>
      </c>
      <c r="J8" s="11">
        <f t="shared" si="2"/>
        <v>2007</v>
      </c>
      <c r="K8" s="11" t="str">
        <f t="shared" si="3"/>
        <v>20102007</v>
      </c>
      <c r="L8" s="28" t="s">
        <v>29</v>
      </c>
      <c r="M8" s="33" t="s">
        <v>36</v>
      </c>
      <c r="N8" s="37" t="s">
        <v>2643</v>
      </c>
      <c r="O8" s="37" t="s">
        <v>2644</v>
      </c>
      <c r="P8" s="28" t="s">
        <v>588</v>
      </c>
      <c r="Q8" s="28" t="s">
        <v>588</v>
      </c>
      <c r="R8" s="28">
        <v>3</v>
      </c>
      <c r="S8" s="28">
        <v>3</v>
      </c>
      <c r="T8" s="29" t="s">
        <v>588</v>
      </c>
      <c r="U8" s="28" t="s">
        <v>588</v>
      </c>
      <c r="V8" s="28">
        <v>2</v>
      </c>
      <c r="W8" s="28">
        <v>2</v>
      </c>
      <c r="X8" s="28" t="s">
        <v>41</v>
      </c>
      <c r="Y8" s="51">
        <v>39375</v>
      </c>
      <c r="Z8" s="11">
        <f t="shared" si="8"/>
        <v>20</v>
      </c>
      <c r="AA8" s="11">
        <f t="shared" si="9"/>
        <v>10</v>
      </c>
      <c r="AB8" s="11">
        <f t="shared" si="10"/>
        <v>2007</v>
      </c>
      <c r="AC8" s="11" t="str">
        <f t="shared" si="11"/>
        <v>20102007</v>
      </c>
      <c r="AD8" s="28" t="s">
        <v>29</v>
      </c>
      <c r="AE8" s="51">
        <v>39426</v>
      </c>
      <c r="AF8" s="11">
        <f t="shared" si="12"/>
        <v>10</v>
      </c>
      <c r="AG8" s="11">
        <f t="shared" si="13"/>
        <v>12</v>
      </c>
      <c r="AH8" s="11">
        <f t="shared" si="14"/>
        <v>2007</v>
      </c>
      <c r="AI8" s="11" t="str">
        <f t="shared" si="15"/>
        <v>10122007</v>
      </c>
      <c r="AJ8" s="28" t="s">
        <v>7</v>
      </c>
      <c r="AK8" s="29" t="s">
        <v>41</v>
      </c>
      <c r="AL8" s="29" t="s">
        <v>41</v>
      </c>
      <c r="AM8" s="28" t="s">
        <v>20</v>
      </c>
      <c r="AN8" s="29" t="s">
        <v>588</v>
      </c>
      <c r="AO8" s="29" t="s">
        <v>588</v>
      </c>
      <c r="AP8" s="28" t="s">
        <v>588</v>
      </c>
      <c r="AQ8" s="28" t="s">
        <v>588</v>
      </c>
      <c r="AR8" s="28" t="s">
        <v>588</v>
      </c>
      <c r="AS8" s="29" t="s">
        <v>588</v>
      </c>
      <c r="AT8" s="29" t="s">
        <v>588</v>
      </c>
      <c r="AU8" s="29" t="s">
        <v>588</v>
      </c>
      <c r="AV8" s="29" t="s">
        <v>588</v>
      </c>
      <c r="AW8" s="29" t="s">
        <v>588</v>
      </c>
      <c r="AX8" s="29" t="s">
        <v>588</v>
      </c>
      <c r="AY8" s="29" t="s">
        <v>588</v>
      </c>
      <c r="AZ8" s="29" t="s">
        <v>588</v>
      </c>
      <c r="BA8" s="29" t="s">
        <v>588</v>
      </c>
      <c r="BB8" s="29" t="s">
        <v>588</v>
      </c>
      <c r="BC8" s="29" t="s">
        <v>588</v>
      </c>
      <c r="BD8" s="29" t="s">
        <v>588</v>
      </c>
      <c r="BE8" s="29" t="s">
        <v>588</v>
      </c>
      <c r="BF8" s="29" t="s">
        <v>588</v>
      </c>
      <c r="BG8" s="29" t="s">
        <v>588</v>
      </c>
      <c r="BH8" s="29" t="s">
        <v>588</v>
      </c>
      <c r="BI8" s="29" t="s">
        <v>588</v>
      </c>
      <c r="BJ8" s="29" t="s">
        <v>588</v>
      </c>
      <c r="BK8" s="28" t="s">
        <v>588</v>
      </c>
      <c r="BL8" s="28" t="s">
        <v>588</v>
      </c>
      <c r="BM8" s="29" t="s">
        <v>588</v>
      </c>
      <c r="BN8" s="28" t="s">
        <v>588</v>
      </c>
      <c r="BO8" s="29" t="s">
        <v>588</v>
      </c>
      <c r="BP8" s="29" t="s">
        <v>588</v>
      </c>
      <c r="BQ8" s="28" t="s">
        <v>41</v>
      </c>
      <c r="BR8" s="33" t="s">
        <v>42</v>
      </c>
      <c r="BS8" s="28" t="s">
        <v>588</v>
      </c>
      <c r="BT8" s="28" t="s">
        <v>588</v>
      </c>
      <c r="BU8" s="29" t="s">
        <v>588</v>
      </c>
      <c r="BV8" s="29" t="s">
        <v>588</v>
      </c>
    </row>
    <row r="9" spans="1:74" s="28" customFormat="1" x14ac:dyDescent="0.25">
      <c r="A9" s="28">
        <v>200708</v>
      </c>
      <c r="B9" s="11" t="s">
        <v>552</v>
      </c>
      <c r="C9" s="28" t="s">
        <v>1844</v>
      </c>
      <c r="D9" s="33" t="s">
        <v>1844</v>
      </c>
      <c r="E9" s="28">
        <v>2</v>
      </c>
      <c r="F9" s="28" t="s">
        <v>2645</v>
      </c>
      <c r="G9" s="51">
        <v>39432</v>
      </c>
      <c r="H9" s="11">
        <f t="shared" si="0"/>
        <v>16</v>
      </c>
      <c r="I9" s="11">
        <f t="shared" si="1"/>
        <v>12</v>
      </c>
      <c r="J9" s="11">
        <f t="shared" si="2"/>
        <v>2007</v>
      </c>
      <c r="K9" s="11" t="str">
        <f t="shared" si="3"/>
        <v>16122007</v>
      </c>
      <c r="L9" s="28" t="s">
        <v>7</v>
      </c>
      <c r="M9" s="28" t="s">
        <v>10</v>
      </c>
      <c r="N9" s="28" t="s">
        <v>588</v>
      </c>
      <c r="O9" s="28" t="s">
        <v>588</v>
      </c>
      <c r="P9" s="28" t="s">
        <v>588</v>
      </c>
      <c r="Q9" s="28" t="s">
        <v>588</v>
      </c>
      <c r="R9" s="28">
        <v>2</v>
      </c>
      <c r="S9" s="28">
        <v>3</v>
      </c>
      <c r="T9" s="29" t="s">
        <v>588</v>
      </c>
      <c r="U9" s="28" t="s">
        <v>588</v>
      </c>
      <c r="V9" s="28">
        <v>2</v>
      </c>
      <c r="W9" s="28">
        <v>2</v>
      </c>
      <c r="X9" s="28" t="s">
        <v>41</v>
      </c>
      <c r="Y9" s="51">
        <v>39432</v>
      </c>
      <c r="Z9" s="11">
        <f t="shared" si="8"/>
        <v>16</v>
      </c>
      <c r="AA9" s="11">
        <f t="shared" si="9"/>
        <v>12</v>
      </c>
      <c r="AB9" s="11">
        <f t="shared" si="10"/>
        <v>2007</v>
      </c>
      <c r="AC9" s="11" t="str">
        <f t="shared" si="11"/>
        <v>16122007</v>
      </c>
      <c r="AD9" s="28" t="s">
        <v>7</v>
      </c>
      <c r="AE9" s="51">
        <v>39444</v>
      </c>
      <c r="AF9" s="11">
        <f t="shared" si="12"/>
        <v>28</v>
      </c>
      <c r="AG9" s="11">
        <f t="shared" si="13"/>
        <v>12</v>
      </c>
      <c r="AH9" s="11">
        <f t="shared" si="14"/>
        <v>2007</v>
      </c>
      <c r="AI9" s="11" t="str">
        <f t="shared" si="15"/>
        <v>28122007</v>
      </c>
      <c r="AJ9" s="28" t="s">
        <v>7</v>
      </c>
      <c r="AK9" s="29" t="s">
        <v>41</v>
      </c>
      <c r="AL9" s="29" t="s">
        <v>41</v>
      </c>
      <c r="AM9" s="28" t="s">
        <v>20</v>
      </c>
      <c r="AN9" s="29" t="s">
        <v>588</v>
      </c>
      <c r="AO9" s="29" t="s">
        <v>588</v>
      </c>
      <c r="AP9" s="29" t="s">
        <v>588</v>
      </c>
      <c r="AQ9" s="28" t="s">
        <v>588</v>
      </c>
      <c r="AR9" s="28" t="s">
        <v>588</v>
      </c>
      <c r="AS9" s="29" t="s">
        <v>588</v>
      </c>
      <c r="AT9" s="29" t="s">
        <v>588</v>
      </c>
      <c r="AU9" s="29" t="s">
        <v>588</v>
      </c>
      <c r="AV9" s="29" t="s">
        <v>588</v>
      </c>
      <c r="AW9" s="29" t="s">
        <v>588</v>
      </c>
      <c r="AX9" s="29" t="s">
        <v>588</v>
      </c>
      <c r="AY9" s="29" t="s">
        <v>588</v>
      </c>
      <c r="AZ9" s="29" t="s">
        <v>588</v>
      </c>
      <c r="BA9" s="29" t="s">
        <v>588</v>
      </c>
      <c r="BB9" s="29" t="s">
        <v>588</v>
      </c>
      <c r="BC9" s="29" t="s">
        <v>588</v>
      </c>
      <c r="BD9" s="29" t="s">
        <v>588</v>
      </c>
      <c r="BE9" s="29" t="s">
        <v>588</v>
      </c>
      <c r="BF9" s="29" t="s">
        <v>588</v>
      </c>
      <c r="BG9" s="29" t="s">
        <v>588</v>
      </c>
      <c r="BH9" s="29" t="s">
        <v>588</v>
      </c>
      <c r="BI9" s="29" t="s">
        <v>588</v>
      </c>
      <c r="BJ9" s="29" t="s">
        <v>588</v>
      </c>
      <c r="BK9" s="28" t="s">
        <v>588</v>
      </c>
      <c r="BL9" s="28" t="s">
        <v>588</v>
      </c>
      <c r="BM9" s="29" t="s">
        <v>588</v>
      </c>
      <c r="BN9" s="28" t="s">
        <v>588</v>
      </c>
      <c r="BO9" s="29" t="s">
        <v>588</v>
      </c>
      <c r="BP9" s="29" t="s">
        <v>588</v>
      </c>
      <c r="BQ9" s="28" t="s">
        <v>41</v>
      </c>
      <c r="BR9" s="33" t="s">
        <v>42</v>
      </c>
      <c r="BS9" s="29" t="s">
        <v>588</v>
      </c>
      <c r="BT9" s="29" t="s">
        <v>588</v>
      </c>
      <c r="BU9" s="29" t="s">
        <v>588</v>
      </c>
      <c r="BV9" s="29" t="s">
        <v>588</v>
      </c>
    </row>
    <row r="10" spans="1:74" s="28" customFormat="1" x14ac:dyDescent="0.25">
      <c r="A10" s="28">
        <v>200708</v>
      </c>
      <c r="B10" s="11" t="s">
        <v>552</v>
      </c>
      <c r="C10" s="28" t="s">
        <v>1844</v>
      </c>
      <c r="D10" s="33" t="s">
        <v>1844</v>
      </c>
      <c r="E10" s="28">
        <v>3</v>
      </c>
      <c r="F10" s="28" t="s">
        <v>2646</v>
      </c>
      <c r="G10" s="51">
        <v>39444</v>
      </c>
      <c r="H10" s="11">
        <f t="shared" si="0"/>
        <v>28</v>
      </c>
      <c r="I10" s="11">
        <f t="shared" si="1"/>
        <v>12</v>
      </c>
      <c r="J10" s="11">
        <f t="shared" si="2"/>
        <v>2007</v>
      </c>
      <c r="K10" s="11" t="str">
        <f t="shared" si="3"/>
        <v>28122007</v>
      </c>
      <c r="L10" s="28" t="s">
        <v>7</v>
      </c>
      <c r="M10" s="33" t="s">
        <v>36</v>
      </c>
      <c r="N10" s="11" t="s">
        <v>2647</v>
      </c>
      <c r="O10" s="37" t="s">
        <v>2648</v>
      </c>
      <c r="P10" s="33" t="s">
        <v>588</v>
      </c>
      <c r="Q10" s="33" t="s">
        <v>588</v>
      </c>
      <c r="R10" s="28">
        <v>1</v>
      </c>
      <c r="S10" s="28">
        <v>3</v>
      </c>
      <c r="T10" s="29" t="s">
        <v>588</v>
      </c>
      <c r="U10" s="28" t="s">
        <v>588</v>
      </c>
      <c r="V10" s="28">
        <v>4</v>
      </c>
      <c r="W10" s="28">
        <v>4</v>
      </c>
      <c r="X10" s="28" t="s">
        <v>647</v>
      </c>
      <c r="Y10" s="51">
        <v>39446</v>
      </c>
      <c r="Z10" s="11">
        <f t="shared" si="8"/>
        <v>30</v>
      </c>
      <c r="AA10" s="11">
        <f t="shared" si="9"/>
        <v>12</v>
      </c>
      <c r="AB10" s="11">
        <f t="shared" si="10"/>
        <v>2007</v>
      </c>
      <c r="AC10" s="11" t="str">
        <f t="shared" si="11"/>
        <v>30122007</v>
      </c>
      <c r="AD10" s="28" t="s">
        <v>7</v>
      </c>
      <c r="AE10" s="51">
        <v>39480</v>
      </c>
      <c r="AF10" s="11">
        <f t="shared" si="12"/>
        <v>2</v>
      </c>
      <c r="AG10" s="11">
        <f t="shared" si="13"/>
        <v>2</v>
      </c>
      <c r="AH10" s="11">
        <f t="shared" si="14"/>
        <v>2008</v>
      </c>
      <c r="AI10" s="11" t="str">
        <f t="shared" si="15"/>
        <v>02022008</v>
      </c>
      <c r="AJ10" s="28" t="s">
        <v>21</v>
      </c>
      <c r="AK10" s="29" t="s">
        <v>41</v>
      </c>
      <c r="AL10" s="29" t="s">
        <v>41</v>
      </c>
      <c r="AM10" s="28" t="s">
        <v>20</v>
      </c>
      <c r="AN10" s="29" t="s">
        <v>588</v>
      </c>
      <c r="AO10" s="29" t="s">
        <v>588</v>
      </c>
      <c r="AP10" s="29" t="s">
        <v>588</v>
      </c>
      <c r="AQ10" s="28" t="s">
        <v>588</v>
      </c>
      <c r="AR10" s="28" t="s">
        <v>588</v>
      </c>
      <c r="AS10" s="29" t="s">
        <v>588</v>
      </c>
      <c r="AT10" s="29" t="s">
        <v>588</v>
      </c>
      <c r="AU10" s="29" t="s">
        <v>588</v>
      </c>
      <c r="AV10" s="29" t="s">
        <v>588</v>
      </c>
      <c r="AW10" s="29" t="s">
        <v>588</v>
      </c>
      <c r="AX10" s="29" t="s">
        <v>588</v>
      </c>
      <c r="AY10" s="29" t="s">
        <v>588</v>
      </c>
      <c r="AZ10" s="29" t="s">
        <v>588</v>
      </c>
      <c r="BA10" s="29" t="s">
        <v>588</v>
      </c>
      <c r="BB10" s="29" t="s">
        <v>588</v>
      </c>
      <c r="BC10" s="29" t="s">
        <v>588</v>
      </c>
      <c r="BD10" s="29" t="s">
        <v>588</v>
      </c>
      <c r="BE10" s="29" t="s">
        <v>588</v>
      </c>
      <c r="BF10" s="29" t="s">
        <v>588</v>
      </c>
      <c r="BG10" s="29" t="s">
        <v>588</v>
      </c>
      <c r="BH10" s="29" t="s">
        <v>588</v>
      </c>
      <c r="BI10" s="29" t="s">
        <v>588</v>
      </c>
      <c r="BJ10" s="29" t="s">
        <v>588</v>
      </c>
      <c r="BK10" s="28" t="s">
        <v>588</v>
      </c>
      <c r="BL10" s="28" t="s">
        <v>588</v>
      </c>
      <c r="BM10" s="29" t="s">
        <v>588</v>
      </c>
      <c r="BN10" s="28" t="s">
        <v>588</v>
      </c>
      <c r="BO10" s="29" t="s">
        <v>588</v>
      </c>
      <c r="BP10" s="29" t="s">
        <v>588</v>
      </c>
      <c r="BQ10" s="28" t="s">
        <v>41</v>
      </c>
      <c r="BR10" s="33" t="s">
        <v>42</v>
      </c>
      <c r="BS10" s="29" t="s">
        <v>588</v>
      </c>
      <c r="BT10" s="29" t="s">
        <v>588</v>
      </c>
      <c r="BU10" s="29" t="s">
        <v>588</v>
      </c>
      <c r="BV10" s="29" t="s">
        <v>588</v>
      </c>
    </row>
    <row r="11" spans="1:74" s="28" customFormat="1" x14ac:dyDescent="0.25">
      <c r="A11" s="28">
        <v>200708</v>
      </c>
      <c r="B11" s="11" t="s">
        <v>320</v>
      </c>
      <c r="C11" s="11" t="s">
        <v>2649</v>
      </c>
      <c r="D11" s="28" t="s">
        <v>2650</v>
      </c>
      <c r="E11" s="28">
        <v>2</v>
      </c>
      <c r="F11" s="28" t="s">
        <v>2651</v>
      </c>
      <c r="G11" s="51">
        <v>39349</v>
      </c>
      <c r="H11" s="11">
        <f t="shared" si="0"/>
        <v>24</v>
      </c>
      <c r="I11" s="11">
        <f t="shared" si="1"/>
        <v>9</v>
      </c>
      <c r="J11" s="11">
        <f t="shared" si="2"/>
        <v>2007</v>
      </c>
      <c r="K11" s="11" t="str">
        <f t="shared" si="3"/>
        <v>24092007</v>
      </c>
      <c r="L11" s="28" t="s">
        <v>28</v>
      </c>
      <c r="M11" s="33" t="s">
        <v>36</v>
      </c>
      <c r="N11" s="37" t="s">
        <v>588</v>
      </c>
      <c r="O11" s="37" t="s">
        <v>588</v>
      </c>
      <c r="P11" s="33" t="s">
        <v>588</v>
      </c>
      <c r="Q11" s="33" t="s">
        <v>588</v>
      </c>
      <c r="R11" s="28">
        <v>1</v>
      </c>
      <c r="S11" s="28">
        <v>3</v>
      </c>
      <c r="T11" s="29" t="s">
        <v>588</v>
      </c>
      <c r="U11" s="28" t="s">
        <v>588</v>
      </c>
      <c r="V11" s="28">
        <v>2</v>
      </c>
      <c r="W11" s="28">
        <v>2</v>
      </c>
      <c r="X11" s="28" t="s">
        <v>41</v>
      </c>
      <c r="Y11" s="51">
        <v>39349</v>
      </c>
      <c r="Z11" s="11">
        <f t="shared" si="8"/>
        <v>24</v>
      </c>
      <c r="AA11" s="11">
        <f t="shared" si="9"/>
        <v>9</v>
      </c>
      <c r="AB11" s="11">
        <f t="shared" si="10"/>
        <v>2007</v>
      </c>
      <c r="AC11" s="11" t="str">
        <f t="shared" si="11"/>
        <v>24092007</v>
      </c>
      <c r="AD11" s="28" t="s">
        <v>28</v>
      </c>
      <c r="AE11" s="51">
        <v>39352</v>
      </c>
      <c r="AF11" s="11">
        <f t="shared" si="12"/>
        <v>27</v>
      </c>
      <c r="AG11" s="11">
        <f t="shared" si="13"/>
        <v>9</v>
      </c>
      <c r="AH11" s="11">
        <f t="shared" si="14"/>
        <v>2007</v>
      </c>
      <c r="AI11" s="11" t="str">
        <f t="shared" si="15"/>
        <v>27092007</v>
      </c>
      <c r="AJ11" s="28" t="s">
        <v>28</v>
      </c>
      <c r="AK11" s="29" t="s">
        <v>11</v>
      </c>
      <c r="AL11" s="28" t="s">
        <v>8</v>
      </c>
      <c r="AM11" s="29" t="s">
        <v>588</v>
      </c>
      <c r="AN11" s="34" t="s">
        <v>588</v>
      </c>
      <c r="AO11" s="29" t="s">
        <v>588</v>
      </c>
      <c r="AP11" s="33" t="s">
        <v>588</v>
      </c>
      <c r="AQ11" s="28" t="s">
        <v>588</v>
      </c>
      <c r="AR11" s="28" t="s">
        <v>588</v>
      </c>
      <c r="AS11" s="34" t="s">
        <v>588</v>
      </c>
      <c r="AT11" s="29" t="s">
        <v>588</v>
      </c>
      <c r="AU11" s="29" t="s">
        <v>588</v>
      </c>
      <c r="AV11" s="29" t="s">
        <v>588</v>
      </c>
      <c r="AW11" s="29" t="s">
        <v>588</v>
      </c>
      <c r="AX11" s="29" t="s">
        <v>588</v>
      </c>
      <c r="AY11" s="29" t="s">
        <v>588</v>
      </c>
      <c r="AZ11" s="29" t="s">
        <v>588</v>
      </c>
      <c r="BA11" s="29" t="s">
        <v>588</v>
      </c>
      <c r="BB11" s="29" t="s">
        <v>588</v>
      </c>
      <c r="BC11" s="29" t="s">
        <v>588</v>
      </c>
      <c r="BD11" s="29" t="s">
        <v>588</v>
      </c>
      <c r="BE11" s="29" t="s">
        <v>588</v>
      </c>
      <c r="BF11" s="29" t="s">
        <v>588</v>
      </c>
      <c r="BG11" s="29" t="s">
        <v>588</v>
      </c>
      <c r="BH11" s="29" t="s">
        <v>588</v>
      </c>
      <c r="BI11" s="29" t="s">
        <v>588</v>
      </c>
      <c r="BJ11" s="29" t="s">
        <v>588</v>
      </c>
      <c r="BK11" s="28" t="s">
        <v>588</v>
      </c>
      <c r="BL11" s="28" t="s">
        <v>588</v>
      </c>
      <c r="BM11" s="29" t="s">
        <v>588</v>
      </c>
      <c r="BN11" s="28" t="s">
        <v>588</v>
      </c>
      <c r="BO11" s="29" t="s">
        <v>588</v>
      </c>
      <c r="BP11" s="29" t="s">
        <v>588</v>
      </c>
      <c r="BQ11" s="28" t="s">
        <v>41</v>
      </c>
      <c r="BR11" s="33" t="s">
        <v>42</v>
      </c>
      <c r="BS11" s="28" t="s">
        <v>588</v>
      </c>
      <c r="BT11" s="33" t="s">
        <v>588</v>
      </c>
      <c r="BU11" s="29" t="s">
        <v>588</v>
      </c>
      <c r="BV11" s="29" t="s">
        <v>588</v>
      </c>
    </row>
    <row r="12" spans="1:74" s="28" customFormat="1" x14ac:dyDescent="0.25">
      <c r="A12" s="28">
        <v>200708</v>
      </c>
      <c r="B12" s="11" t="s">
        <v>320</v>
      </c>
      <c r="C12" s="11" t="s">
        <v>2649</v>
      </c>
      <c r="D12" s="28" t="s">
        <v>2650</v>
      </c>
      <c r="E12" s="28">
        <v>3</v>
      </c>
      <c r="F12" s="28" t="s">
        <v>2652</v>
      </c>
      <c r="G12" s="51">
        <v>39375</v>
      </c>
      <c r="H12" s="11">
        <f t="shared" si="0"/>
        <v>20</v>
      </c>
      <c r="I12" s="11">
        <f t="shared" si="1"/>
        <v>10</v>
      </c>
      <c r="J12" s="11">
        <f t="shared" si="2"/>
        <v>2007</v>
      </c>
      <c r="K12" s="11" t="str">
        <f t="shared" si="3"/>
        <v>20102007</v>
      </c>
      <c r="L12" s="28" t="s">
        <v>29</v>
      </c>
      <c r="M12" s="33" t="s">
        <v>36</v>
      </c>
      <c r="N12" s="32" t="s">
        <v>588</v>
      </c>
      <c r="O12" s="32" t="s">
        <v>588</v>
      </c>
      <c r="P12" s="33" t="s">
        <v>588</v>
      </c>
      <c r="Q12" s="33" t="s">
        <v>588</v>
      </c>
      <c r="R12" s="28">
        <v>3</v>
      </c>
      <c r="S12" s="28">
        <v>3</v>
      </c>
      <c r="T12" s="29" t="s">
        <v>588</v>
      </c>
      <c r="U12" s="28" t="s">
        <v>588</v>
      </c>
      <c r="V12" s="28">
        <v>2</v>
      </c>
      <c r="W12" s="28">
        <v>2</v>
      </c>
      <c r="X12" s="28" t="s">
        <v>41</v>
      </c>
      <c r="Y12" s="51">
        <v>39375</v>
      </c>
      <c r="Z12" s="11">
        <f t="shared" si="8"/>
        <v>20</v>
      </c>
      <c r="AA12" s="11">
        <f t="shared" si="9"/>
        <v>10</v>
      </c>
      <c r="AB12" s="11">
        <f t="shared" si="10"/>
        <v>2007</v>
      </c>
      <c r="AC12" s="11" t="str">
        <f t="shared" si="11"/>
        <v>20102007</v>
      </c>
      <c r="AD12" s="28" t="s">
        <v>29</v>
      </c>
      <c r="AE12" s="51">
        <v>39384</v>
      </c>
      <c r="AF12" s="11">
        <f t="shared" si="12"/>
        <v>29</v>
      </c>
      <c r="AG12" s="11">
        <f t="shared" si="13"/>
        <v>10</v>
      </c>
      <c r="AH12" s="11">
        <f t="shared" si="14"/>
        <v>2007</v>
      </c>
      <c r="AI12" s="11" t="str">
        <f t="shared" si="15"/>
        <v>29102007</v>
      </c>
      <c r="AJ12" s="28" t="s">
        <v>29</v>
      </c>
      <c r="AK12" s="29" t="s">
        <v>41</v>
      </c>
      <c r="AL12" s="29" t="s">
        <v>41</v>
      </c>
      <c r="AM12" s="28" t="s">
        <v>20</v>
      </c>
      <c r="AN12" s="29" t="s">
        <v>588</v>
      </c>
      <c r="AO12" s="29" t="s">
        <v>588</v>
      </c>
      <c r="AP12" s="28" t="s">
        <v>588</v>
      </c>
      <c r="AQ12" s="28" t="s">
        <v>588</v>
      </c>
      <c r="AR12" s="28" t="s">
        <v>588</v>
      </c>
      <c r="AS12" s="29" t="s">
        <v>588</v>
      </c>
      <c r="AT12" s="29" t="s">
        <v>588</v>
      </c>
      <c r="AU12" s="29" t="s">
        <v>588</v>
      </c>
      <c r="AV12" s="29" t="s">
        <v>588</v>
      </c>
      <c r="AW12" s="29" t="s">
        <v>588</v>
      </c>
      <c r="AX12" s="29" t="s">
        <v>588</v>
      </c>
      <c r="AY12" s="29" t="s">
        <v>588</v>
      </c>
      <c r="AZ12" s="29" t="s">
        <v>588</v>
      </c>
      <c r="BA12" s="29" t="s">
        <v>588</v>
      </c>
      <c r="BB12" s="29" t="s">
        <v>588</v>
      </c>
      <c r="BC12" s="29" t="s">
        <v>588</v>
      </c>
      <c r="BD12" s="29" t="s">
        <v>588</v>
      </c>
      <c r="BE12" s="29" t="s">
        <v>588</v>
      </c>
      <c r="BF12" s="29" t="s">
        <v>588</v>
      </c>
      <c r="BG12" s="29" t="s">
        <v>588</v>
      </c>
      <c r="BH12" s="29" t="s">
        <v>588</v>
      </c>
      <c r="BI12" s="29" t="s">
        <v>588</v>
      </c>
      <c r="BJ12" s="29" t="s">
        <v>588</v>
      </c>
      <c r="BK12" s="28" t="s">
        <v>588</v>
      </c>
      <c r="BL12" s="28" t="s">
        <v>588</v>
      </c>
      <c r="BM12" s="29" t="s">
        <v>588</v>
      </c>
      <c r="BN12" s="28" t="s">
        <v>588</v>
      </c>
      <c r="BO12" s="29" t="s">
        <v>588</v>
      </c>
      <c r="BP12" s="29" t="s">
        <v>588</v>
      </c>
      <c r="BQ12" s="28" t="s">
        <v>41</v>
      </c>
      <c r="BR12" s="33" t="s">
        <v>42</v>
      </c>
      <c r="BS12" s="29" t="s">
        <v>588</v>
      </c>
      <c r="BT12" s="28" t="s">
        <v>588</v>
      </c>
      <c r="BU12" s="29" t="s">
        <v>588</v>
      </c>
      <c r="BV12" s="29" t="s">
        <v>588</v>
      </c>
    </row>
    <row r="13" spans="1:74" s="28" customFormat="1" x14ac:dyDescent="0.25">
      <c r="A13" s="28">
        <v>200708</v>
      </c>
      <c r="B13" s="11" t="s">
        <v>320</v>
      </c>
      <c r="C13" s="11" t="s">
        <v>2649</v>
      </c>
      <c r="D13" s="28" t="s">
        <v>2650</v>
      </c>
      <c r="E13" s="28">
        <v>4</v>
      </c>
      <c r="F13" s="28" t="s">
        <v>2653</v>
      </c>
      <c r="G13" s="51">
        <v>39411</v>
      </c>
      <c r="H13" s="11">
        <f t="shared" si="0"/>
        <v>25</v>
      </c>
      <c r="I13" s="11">
        <f t="shared" si="1"/>
        <v>11</v>
      </c>
      <c r="J13" s="11">
        <f t="shared" si="2"/>
        <v>2007</v>
      </c>
      <c r="K13" s="11" t="str">
        <f t="shared" si="3"/>
        <v>25112007</v>
      </c>
      <c r="L13" s="28" t="s">
        <v>17</v>
      </c>
      <c r="M13" s="33" t="s">
        <v>36</v>
      </c>
      <c r="N13" s="32" t="s">
        <v>588</v>
      </c>
      <c r="O13" s="32" t="s">
        <v>588</v>
      </c>
      <c r="P13" s="33" t="s">
        <v>588</v>
      </c>
      <c r="Q13" s="33" t="s">
        <v>588</v>
      </c>
      <c r="R13" s="28">
        <v>1</v>
      </c>
      <c r="S13" s="28">
        <v>3</v>
      </c>
      <c r="T13" s="29" t="s">
        <v>588</v>
      </c>
      <c r="U13" s="28" t="s">
        <v>588</v>
      </c>
      <c r="V13" s="28">
        <v>2</v>
      </c>
      <c r="W13" s="28">
        <v>2</v>
      </c>
      <c r="X13" s="28" t="s">
        <v>41</v>
      </c>
      <c r="Y13" s="51">
        <v>39411</v>
      </c>
      <c r="Z13" s="11">
        <f t="shared" si="8"/>
        <v>25</v>
      </c>
      <c r="AA13" s="11">
        <f t="shared" si="9"/>
        <v>11</v>
      </c>
      <c r="AB13" s="11">
        <f t="shared" si="10"/>
        <v>2007</v>
      </c>
      <c r="AC13" s="11" t="str">
        <f t="shared" si="11"/>
        <v>25112007</v>
      </c>
      <c r="AD13" s="28" t="s">
        <v>17</v>
      </c>
      <c r="AE13" s="51">
        <v>39426</v>
      </c>
      <c r="AF13" s="11">
        <f t="shared" si="12"/>
        <v>10</v>
      </c>
      <c r="AG13" s="11">
        <f t="shared" si="13"/>
        <v>12</v>
      </c>
      <c r="AH13" s="11">
        <f t="shared" si="14"/>
        <v>2007</v>
      </c>
      <c r="AI13" s="11" t="str">
        <f t="shared" si="15"/>
        <v>10122007</v>
      </c>
      <c r="AJ13" s="28" t="s">
        <v>7</v>
      </c>
      <c r="AK13" s="29" t="s">
        <v>41</v>
      </c>
      <c r="AL13" s="29" t="s">
        <v>41</v>
      </c>
      <c r="AM13" s="28" t="s">
        <v>20</v>
      </c>
      <c r="AN13" s="29" t="s">
        <v>588</v>
      </c>
      <c r="AO13" s="29" t="s">
        <v>588</v>
      </c>
      <c r="AP13" s="29" t="s">
        <v>588</v>
      </c>
      <c r="AQ13" s="28" t="s">
        <v>588</v>
      </c>
      <c r="AR13" s="28" t="s">
        <v>588</v>
      </c>
      <c r="AS13" s="29" t="s">
        <v>588</v>
      </c>
      <c r="AT13" s="29" t="s">
        <v>588</v>
      </c>
      <c r="AU13" s="29" t="s">
        <v>588</v>
      </c>
      <c r="AV13" s="29" t="s">
        <v>588</v>
      </c>
      <c r="AW13" s="29" t="s">
        <v>588</v>
      </c>
      <c r="AX13" s="29" t="s">
        <v>588</v>
      </c>
      <c r="AY13" s="29" t="s">
        <v>588</v>
      </c>
      <c r="AZ13" s="29" t="s">
        <v>588</v>
      </c>
      <c r="BA13" s="29" t="s">
        <v>588</v>
      </c>
      <c r="BB13" s="29" t="s">
        <v>588</v>
      </c>
      <c r="BC13" s="29" t="s">
        <v>588</v>
      </c>
      <c r="BD13" s="29" t="s">
        <v>588</v>
      </c>
      <c r="BE13" s="29" t="s">
        <v>588</v>
      </c>
      <c r="BF13" s="29" t="s">
        <v>588</v>
      </c>
      <c r="BG13" s="29" t="s">
        <v>588</v>
      </c>
      <c r="BH13" s="29" t="s">
        <v>588</v>
      </c>
      <c r="BI13" s="29" t="s">
        <v>588</v>
      </c>
      <c r="BJ13" s="29" t="s">
        <v>588</v>
      </c>
      <c r="BK13" s="28" t="s">
        <v>588</v>
      </c>
      <c r="BL13" s="28" t="s">
        <v>588</v>
      </c>
      <c r="BM13" s="29" t="s">
        <v>588</v>
      </c>
      <c r="BN13" s="28" t="s">
        <v>588</v>
      </c>
      <c r="BO13" s="29" t="s">
        <v>588</v>
      </c>
      <c r="BP13" s="29" t="s">
        <v>588</v>
      </c>
      <c r="BQ13" s="28" t="s">
        <v>41</v>
      </c>
      <c r="BR13" s="33" t="s">
        <v>42</v>
      </c>
      <c r="BS13" s="29" t="s">
        <v>588</v>
      </c>
      <c r="BT13" s="29" t="s">
        <v>588</v>
      </c>
      <c r="BU13" s="29" t="s">
        <v>588</v>
      </c>
      <c r="BV13" s="29" t="s">
        <v>588</v>
      </c>
    </row>
    <row r="14" spans="1:74" s="28" customFormat="1" x14ac:dyDescent="0.25">
      <c r="A14" s="28">
        <v>200708</v>
      </c>
      <c r="B14" s="11" t="s">
        <v>320</v>
      </c>
      <c r="C14" s="28" t="s">
        <v>1844</v>
      </c>
      <c r="D14" s="33" t="s">
        <v>1844</v>
      </c>
      <c r="E14" s="28">
        <v>1</v>
      </c>
      <c r="F14" s="28" t="s">
        <v>2654</v>
      </c>
      <c r="G14" s="51">
        <v>39345</v>
      </c>
      <c r="H14" s="11">
        <f t="shared" si="0"/>
        <v>20</v>
      </c>
      <c r="I14" s="11">
        <f t="shared" si="1"/>
        <v>9</v>
      </c>
      <c r="J14" s="11">
        <f t="shared" si="2"/>
        <v>2007</v>
      </c>
      <c r="K14" s="11" t="str">
        <f t="shared" si="3"/>
        <v>20092007</v>
      </c>
      <c r="L14" s="28" t="s">
        <v>28</v>
      </c>
      <c r="M14" s="28" t="s">
        <v>2126</v>
      </c>
      <c r="N14" s="37" t="s">
        <v>588</v>
      </c>
      <c r="O14" s="37" t="s">
        <v>588</v>
      </c>
      <c r="P14" s="33" t="s">
        <v>588</v>
      </c>
      <c r="Q14" s="33" t="s">
        <v>588</v>
      </c>
      <c r="R14" s="28">
        <v>3</v>
      </c>
      <c r="S14" s="28">
        <v>3</v>
      </c>
      <c r="T14" s="29" t="s">
        <v>588</v>
      </c>
      <c r="U14" s="28" t="s">
        <v>588</v>
      </c>
      <c r="V14" s="28">
        <v>3</v>
      </c>
      <c r="W14" s="28">
        <v>3</v>
      </c>
      <c r="X14" s="28" t="s">
        <v>41</v>
      </c>
      <c r="Y14" s="51">
        <v>39349</v>
      </c>
      <c r="Z14" s="11">
        <f t="shared" si="8"/>
        <v>24</v>
      </c>
      <c r="AA14" s="11">
        <f t="shared" si="9"/>
        <v>9</v>
      </c>
      <c r="AB14" s="11">
        <f t="shared" si="10"/>
        <v>2007</v>
      </c>
      <c r="AC14" s="11" t="str">
        <f t="shared" si="11"/>
        <v>24092007</v>
      </c>
      <c r="AD14" s="28" t="s">
        <v>28</v>
      </c>
      <c r="AE14" s="51">
        <v>39352</v>
      </c>
      <c r="AF14" s="11">
        <f t="shared" si="12"/>
        <v>27</v>
      </c>
      <c r="AG14" s="11">
        <f t="shared" si="13"/>
        <v>9</v>
      </c>
      <c r="AH14" s="11">
        <f t="shared" si="14"/>
        <v>2007</v>
      </c>
      <c r="AI14" s="11" t="str">
        <f t="shared" si="15"/>
        <v>27092007</v>
      </c>
      <c r="AJ14" s="28" t="s">
        <v>28</v>
      </c>
      <c r="AK14" s="29" t="s">
        <v>41</v>
      </c>
      <c r="AL14" s="29" t="s">
        <v>41</v>
      </c>
      <c r="AM14" s="28" t="s">
        <v>20</v>
      </c>
      <c r="AN14" s="29" t="s">
        <v>588</v>
      </c>
      <c r="AO14" s="29" t="s">
        <v>588</v>
      </c>
      <c r="AP14" s="28" t="s">
        <v>588</v>
      </c>
      <c r="AQ14" s="28" t="s">
        <v>588</v>
      </c>
      <c r="AR14" s="28" t="s">
        <v>588</v>
      </c>
      <c r="AS14" s="29" t="s">
        <v>588</v>
      </c>
      <c r="AT14" s="29" t="s">
        <v>588</v>
      </c>
      <c r="AU14" s="29" t="s">
        <v>588</v>
      </c>
      <c r="AV14" s="29" t="s">
        <v>588</v>
      </c>
      <c r="AW14" s="29" t="s">
        <v>588</v>
      </c>
      <c r="AX14" s="29" t="s">
        <v>588</v>
      </c>
      <c r="AY14" s="29" t="s">
        <v>588</v>
      </c>
      <c r="AZ14" s="29" t="s">
        <v>588</v>
      </c>
      <c r="BA14" s="29" t="s">
        <v>588</v>
      </c>
      <c r="BB14" s="29" t="s">
        <v>588</v>
      </c>
      <c r="BC14" s="29" t="s">
        <v>588</v>
      </c>
      <c r="BD14" s="29" t="s">
        <v>588</v>
      </c>
      <c r="BE14" s="29" t="s">
        <v>588</v>
      </c>
      <c r="BF14" s="29" t="s">
        <v>588</v>
      </c>
      <c r="BG14" s="29" t="s">
        <v>588</v>
      </c>
      <c r="BH14" s="29" t="s">
        <v>588</v>
      </c>
      <c r="BI14" s="29" t="s">
        <v>588</v>
      </c>
      <c r="BJ14" s="29" t="s">
        <v>588</v>
      </c>
      <c r="BK14" s="28" t="s">
        <v>588</v>
      </c>
      <c r="BL14" s="28" t="s">
        <v>588</v>
      </c>
      <c r="BM14" s="29" t="s">
        <v>588</v>
      </c>
      <c r="BN14" s="28" t="s">
        <v>588</v>
      </c>
      <c r="BO14" s="29" t="s">
        <v>588</v>
      </c>
      <c r="BP14" s="29" t="s">
        <v>588</v>
      </c>
      <c r="BQ14" s="28" t="s">
        <v>41</v>
      </c>
      <c r="BR14" s="33" t="s">
        <v>42</v>
      </c>
      <c r="BS14" s="28" t="s">
        <v>588</v>
      </c>
      <c r="BT14" s="28" t="s">
        <v>588</v>
      </c>
      <c r="BU14" s="29" t="s">
        <v>588</v>
      </c>
      <c r="BV14" s="29" t="s">
        <v>588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2156-F88C-4FD3-8C2B-00F53FB4A3F6}">
  <dimension ref="A1:BV17"/>
  <sheetViews>
    <sheetView zoomScale="80" zoomScaleNormal="80" workbookViewId="0">
      <pane xSplit="6" ySplit="1" topLeftCell="G2" activePane="bottomRight" state="frozen"/>
      <selection pane="topRight" activeCell="G1" sqref="G1"/>
      <selection pane="bottomLeft" activeCell="A2" sqref="A2"/>
      <selection pane="bottomRight" activeCell="B19" sqref="B19"/>
    </sheetView>
  </sheetViews>
  <sheetFormatPr defaultRowHeight="15" x14ac:dyDescent="0.25"/>
  <cols>
    <col min="1" max="1" width="9.28515625" style="11" bestFit="1" customWidth="1"/>
    <col min="2" max="2" width="39.42578125" style="11" bestFit="1" customWidth="1"/>
    <col min="3" max="4" width="9.140625" style="11"/>
    <col min="5" max="5" width="9.28515625" style="11" bestFit="1" customWidth="1"/>
    <col min="6" max="6" width="49.140625" style="11" bestFit="1" customWidth="1"/>
    <col min="7" max="7" width="11.140625" style="11" customWidth="1"/>
    <col min="8" max="8" width="4.5703125" style="11" bestFit="1" customWidth="1"/>
    <col min="9" max="9" width="6.7109375" style="11" bestFit="1" customWidth="1"/>
    <col min="10" max="10" width="5.5703125" style="11" bestFit="1" customWidth="1"/>
    <col min="11" max="11" width="21" style="11" bestFit="1" customWidth="1"/>
    <col min="12" max="13" width="9.140625" style="11"/>
    <col min="14" max="14" width="12.140625" style="11" customWidth="1"/>
    <col min="15" max="15" width="12.42578125" style="11" customWidth="1"/>
    <col min="16" max="17" width="9.140625" style="11"/>
    <col min="18" max="19" width="9.28515625" style="11" bestFit="1" customWidth="1"/>
    <col min="20" max="20" width="11.42578125" style="11" customWidth="1"/>
    <col min="21" max="21" width="9.140625" style="11"/>
    <col min="22" max="23" width="9.28515625" style="11" bestFit="1" customWidth="1"/>
    <col min="24" max="24" width="9.140625" style="11"/>
    <col min="25" max="25" width="12.5703125" style="11" customWidth="1"/>
    <col min="26" max="26" width="4.5703125" style="11" bestFit="1" customWidth="1"/>
    <col min="27" max="27" width="6.7109375" style="11" bestFit="1" customWidth="1"/>
    <col min="28" max="28" width="5.5703125" style="11" bestFit="1" customWidth="1"/>
    <col min="29" max="29" width="24.28515625" style="11" bestFit="1" customWidth="1"/>
    <col min="30" max="30" width="9.140625" style="11"/>
    <col min="31" max="31" width="11.42578125" style="11" customWidth="1"/>
    <col min="32" max="34" width="8.42578125" style="11" bestFit="1" customWidth="1"/>
    <col min="35" max="35" width="22.7109375" style="11" bestFit="1" customWidth="1"/>
    <col min="36" max="39" width="9.140625" style="11"/>
    <col min="40" max="40" width="11.28515625" style="11" bestFit="1" customWidth="1"/>
    <col min="41" max="42" width="9.140625" style="11"/>
    <col min="43" max="44" width="9.28515625" style="11" bestFit="1" customWidth="1"/>
    <col min="45" max="46" width="11.28515625" style="11" bestFit="1" customWidth="1"/>
    <col min="47" max="50" width="9.140625" style="11"/>
    <col min="51" max="52" width="11.28515625" style="11" bestFit="1" customWidth="1"/>
    <col min="53" max="56" width="9.140625" style="11"/>
    <col min="57" max="58" width="11.28515625" style="11" bestFit="1" customWidth="1"/>
    <col min="59" max="62" width="9.140625" style="11"/>
    <col min="63" max="64" width="9.28515625" style="11" bestFit="1" customWidth="1"/>
    <col min="65" max="65" width="9.140625" style="11"/>
    <col min="66" max="66" width="9.28515625" style="11" bestFit="1" customWidth="1"/>
    <col min="67" max="67" width="11.28515625" style="11" bestFit="1" customWidth="1"/>
    <col min="68" max="16384" width="9.140625" style="11"/>
  </cols>
  <sheetData>
    <row r="1" spans="1:74" s="15" customFormat="1" x14ac:dyDescent="0.25">
      <c r="A1" s="12" t="s">
        <v>0</v>
      </c>
      <c r="B1" s="49" t="s">
        <v>231</v>
      </c>
      <c r="C1" s="12" t="s">
        <v>1</v>
      </c>
      <c r="D1" s="12" t="s">
        <v>2</v>
      </c>
      <c r="E1" s="12" t="s">
        <v>140</v>
      </c>
      <c r="F1" s="49" t="s">
        <v>593</v>
      </c>
      <c r="G1" s="12" t="s">
        <v>142</v>
      </c>
      <c r="H1" s="12" t="s">
        <v>589</v>
      </c>
      <c r="I1" s="12" t="s">
        <v>590</v>
      </c>
      <c r="J1" s="12" t="s">
        <v>591</v>
      </c>
      <c r="K1" s="9" t="s">
        <v>592</v>
      </c>
      <c r="L1" s="12" t="s">
        <v>143</v>
      </c>
      <c r="M1" s="12" t="s">
        <v>3</v>
      </c>
      <c r="N1" s="12" t="s">
        <v>212</v>
      </c>
      <c r="O1" s="12" t="s">
        <v>213</v>
      </c>
      <c r="P1" s="12" t="s">
        <v>144</v>
      </c>
      <c r="Q1" s="12" t="s">
        <v>145</v>
      </c>
      <c r="R1" s="12" t="s">
        <v>146</v>
      </c>
      <c r="S1" s="12" t="s">
        <v>147</v>
      </c>
      <c r="T1" s="12" t="s">
        <v>148</v>
      </c>
      <c r="U1" s="12" t="s">
        <v>149</v>
      </c>
      <c r="V1" s="12" t="s">
        <v>150</v>
      </c>
      <c r="W1" s="12" t="s">
        <v>151</v>
      </c>
      <c r="X1" s="12" t="s">
        <v>152</v>
      </c>
      <c r="Y1" s="12" t="s">
        <v>153</v>
      </c>
      <c r="Z1" s="12" t="s">
        <v>589</v>
      </c>
      <c r="AA1" s="12" t="s">
        <v>590</v>
      </c>
      <c r="AB1" s="12" t="s">
        <v>591</v>
      </c>
      <c r="AC1" s="9" t="s">
        <v>594</v>
      </c>
      <c r="AD1" s="12" t="s">
        <v>154</v>
      </c>
      <c r="AE1" s="12" t="s">
        <v>155</v>
      </c>
      <c r="AF1" s="12" t="s">
        <v>589</v>
      </c>
      <c r="AG1" s="12" t="s">
        <v>590</v>
      </c>
      <c r="AH1" s="12" t="s">
        <v>591</v>
      </c>
      <c r="AI1" s="9" t="s">
        <v>595</v>
      </c>
      <c r="AJ1" s="12" t="s">
        <v>156</v>
      </c>
      <c r="AK1" s="12" t="s">
        <v>157</v>
      </c>
      <c r="AL1" s="12" t="s">
        <v>158</v>
      </c>
      <c r="AM1" s="12" t="s">
        <v>159</v>
      </c>
      <c r="AN1" s="12" t="s">
        <v>160</v>
      </c>
      <c r="AO1" s="12" t="s">
        <v>161</v>
      </c>
      <c r="AP1" s="12" t="s">
        <v>162</v>
      </c>
      <c r="AQ1" s="12" t="s">
        <v>163</v>
      </c>
      <c r="AR1" s="12" t="s">
        <v>164</v>
      </c>
      <c r="AS1" s="6" t="s">
        <v>165</v>
      </c>
      <c r="AT1" s="12" t="s">
        <v>166</v>
      </c>
      <c r="AU1" s="12" t="s">
        <v>167</v>
      </c>
      <c r="AV1" s="12" t="s">
        <v>168</v>
      </c>
      <c r="AW1" s="12" t="s">
        <v>169</v>
      </c>
      <c r="AX1" s="12" t="s">
        <v>170</v>
      </c>
      <c r="AY1" s="6" t="s">
        <v>171</v>
      </c>
      <c r="AZ1" s="12" t="s">
        <v>172</v>
      </c>
      <c r="BA1" s="12" t="s">
        <v>173</v>
      </c>
      <c r="BB1" s="12" t="s">
        <v>174</v>
      </c>
      <c r="BC1" s="12" t="s">
        <v>175</v>
      </c>
      <c r="BD1" s="12" t="s">
        <v>176</v>
      </c>
      <c r="BE1" s="6" t="s">
        <v>177</v>
      </c>
      <c r="BF1" s="12" t="s">
        <v>178</v>
      </c>
      <c r="BG1" s="12" t="s">
        <v>179</v>
      </c>
      <c r="BH1" s="12" t="s">
        <v>180</v>
      </c>
      <c r="BI1" s="12" t="s">
        <v>181</v>
      </c>
      <c r="BJ1" s="12" t="s">
        <v>182</v>
      </c>
      <c r="BK1" s="12" t="s">
        <v>183</v>
      </c>
      <c r="BL1" s="12" t="s">
        <v>184</v>
      </c>
      <c r="BM1" s="12" t="s">
        <v>185</v>
      </c>
      <c r="BN1" s="12" t="s">
        <v>4</v>
      </c>
      <c r="BO1" s="12" t="s">
        <v>186</v>
      </c>
      <c r="BP1" s="12" t="s">
        <v>187</v>
      </c>
      <c r="BQ1" s="12" t="s">
        <v>188</v>
      </c>
      <c r="BR1" s="12" t="s">
        <v>596</v>
      </c>
      <c r="BS1" s="12" t="s">
        <v>190</v>
      </c>
      <c r="BT1" s="12" t="s">
        <v>597</v>
      </c>
      <c r="BU1" s="12" t="s">
        <v>192</v>
      </c>
      <c r="BV1" s="12" t="s">
        <v>193</v>
      </c>
    </row>
    <row r="2" spans="1:74" s="28" customFormat="1" x14ac:dyDescent="0.25">
      <c r="A2" s="28">
        <v>200607</v>
      </c>
      <c r="B2" s="11" t="s">
        <v>274</v>
      </c>
      <c r="C2" s="28" t="s">
        <v>1844</v>
      </c>
      <c r="D2" s="28" t="s">
        <v>1844</v>
      </c>
      <c r="E2" s="28">
        <v>1</v>
      </c>
      <c r="F2" s="28" t="s">
        <v>2655</v>
      </c>
      <c r="G2" s="53">
        <v>39069</v>
      </c>
      <c r="H2" s="11">
        <v>18</v>
      </c>
      <c r="I2" s="11">
        <v>12</v>
      </c>
      <c r="J2" s="11">
        <v>2006</v>
      </c>
      <c r="K2" s="11" t="s">
        <v>2679</v>
      </c>
      <c r="L2" s="28" t="s">
        <v>7</v>
      </c>
      <c r="M2" s="28" t="s">
        <v>36</v>
      </c>
      <c r="N2" s="39">
        <v>-38.638190000000002</v>
      </c>
      <c r="O2" s="39">
        <v>145.55444</v>
      </c>
      <c r="P2" s="28" t="s">
        <v>588</v>
      </c>
      <c r="Q2" s="28" t="s">
        <v>588</v>
      </c>
      <c r="R2" s="28">
        <v>1</v>
      </c>
      <c r="S2" s="28">
        <v>3</v>
      </c>
      <c r="T2" s="28" t="s">
        <v>588</v>
      </c>
      <c r="U2" s="28" t="s">
        <v>588</v>
      </c>
      <c r="V2" s="28">
        <v>4</v>
      </c>
      <c r="W2" s="28">
        <v>4</v>
      </c>
      <c r="X2" s="28" t="s">
        <v>647</v>
      </c>
      <c r="Y2" s="53">
        <v>39083</v>
      </c>
      <c r="Z2" s="11">
        <v>1</v>
      </c>
      <c r="AA2" s="11">
        <v>1</v>
      </c>
      <c r="AB2" s="11">
        <v>2007</v>
      </c>
      <c r="AC2" s="13" t="s">
        <v>2680</v>
      </c>
      <c r="AD2" s="28" t="s">
        <v>12</v>
      </c>
      <c r="AE2" s="53">
        <v>39099</v>
      </c>
      <c r="AF2" s="11">
        <v>17</v>
      </c>
      <c r="AG2" s="11">
        <v>1</v>
      </c>
      <c r="AH2" s="11">
        <v>2007</v>
      </c>
      <c r="AI2" s="13" t="s">
        <v>2681</v>
      </c>
      <c r="AJ2" s="28" t="s">
        <v>12</v>
      </c>
      <c r="AK2" s="29" t="s">
        <v>41</v>
      </c>
      <c r="AL2" s="29" t="s">
        <v>41</v>
      </c>
      <c r="AM2" s="29" t="s">
        <v>20</v>
      </c>
      <c r="AN2" s="34" t="s">
        <v>588</v>
      </c>
      <c r="AO2" s="29" t="s">
        <v>588</v>
      </c>
      <c r="AP2" s="33" t="s">
        <v>588</v>
      </c>
      <c r="AQ2" s="28" t="s">
        <v>588</v>
      </c>
      <c r="AR2" s="28" t="s">
        <v>588</v>
      </c>
      <c r="AS2" s="34" t="s">
        <v>588</v>
      </c>
      <c r="AT2" s="34" t="s">
        <v>588</v>
      </c>
      <c r="AU2" s="29" t="s">
        <v>588</v>
      </c>
      <c r="AV2" s="29" t="s">
        <v>588</v>
      </c>
      <c r="AW2" s="29" t="s">
        <v>588</v>
      </c>
      <c r="AX2" s="29" t="s">
        <v>588</v>
      </c>
      <c r="AY2" s="34" t="s">
        <v>588</v>
      </c>
      <c r="AZ2" s="34" t="s">
        <v>588</v>
      </c>
      <c r="BA2" s="29" t="s">
        <v>588</v>
      </c>
      <c r="BB2" s="29" t="s">
        <v>588</v>
      </c>
      <c r="BC2" s="29" t="s">
        <v>588</v>
      </c>
      <c r="BD2" s="29" t="s">
        <v>588</v>
      </c>
      <c r="BE2" s="29" t="s">
        <v>588</v>
      </c>
      <c r="BF2" s="29" t="s">
        <v>588</v>
      </c>
      <c r="BG2" s="29" t="s">
        <v>588</v>
      </c>
      <c r="BH2" s="29" t="s">
        <v>588</v>
      </c>
      <c r="BI2" s="29" t="s">
        <v>588</v>
      </c>
      <c r="BJ2" s="29" t="s">
        <v>588</v>
      </c>
      <c r="BK2" s="28" t="s">
        <v>588</v>
      </c>
      <c r="BL2" s="28" t="s">
        <v>588</v>
      </c>
      <c r="BM2" s="29" t="s">
        <v>588</v>
      </c>
      <c r="BN2" s="29" t="s">
        <v>588</v>
      </c>
      <c r="BO2" s="29" t="s">
        <v>588</v>
      </c>
      <c r="BP2" s="29" t="s">
        <v>588</v>
      </c>
      <c r="BQ2" s="28" t="s">
        <v>41</v>
      </c>
      <c r="BR2" s="28" t="s">
        <v>42</v>
      </c>
      <c r="BS2" s="29" t="s">
        <v>588</v>
      </c>
      <c r="BT2" s="33" t="s">
        <v>588</v>
      </c>
      <c r="BU2" s="29" t="s">
        <v>588</v>
      </c>
      <c r="BV2" s="29" t="s">
        <v>588</v>
      </c>
    </row>
    <row r="3" spans="1:74" s="28" customFormat="1" x14ac:dyDescent="0.25">
      <c r="A3" s="28">
        <v>200607</v>
      </c>
      <c r="B3" s="11" t="s">
        <v>274</v>
      </c>
      <c r="C3" s="28" t="s">
        <v>1844</v>
      </c>
      <c r="D3" s="28" t="s">
        <v>1844</v>
      </c>
      <c r="E3" s="28">
        <v>2</v>
      </c>
      <c r="F3" s="28" t="s">
        <v>2656</v>
      </c>
      <c r="G3" s="53">
        <v>39111</v>
      </c>
      <c r="H3" s="11">
        <v>29</v>
      </c>
      <c r="I3" s="11">
        <v>1</v>
      </c>
      <c r="J3" s="11">
        <v>2007</v>
      </c>
      <c r="K3" s="11" t="s">
        <v>2682</v>
      </c>
      <c r="L3" s="28" t="s">
        <v>12</v>
      </c>
      <c r="M3" s="28" t="s">
        <v>10</v>
      </c>
      <c r="N3" s="39">
        <v>-38.638289999999998</v>
      </c>
      <c r="O3" s="39">
        <v>145.55458999999999</v>
      </c>
      <c r="P3" s="28" t="s">
        <v>588</v>
      </c>
      <c r="Q3" s="28" t="s">
        <v>588</v>
      </c>
      <c r="R3" s="28">
        <v>2</v>
      </c>
      <c r="S3" s="28">
        <v>3</v>
      </c>
      <c r="T3" s="29">
        <v>39108</v>
      </c>
      <c r="U3" s="28" t="s">
        <v>219</v>
      </c>
      <c r="V3" s="28">
        <v>2</v>
      </c>
      <c r="W3" s="28">
        <v>2</v>
      </c>
      <c r="X3" s="28" t="s">
        <v>8</v>
      </c>
      <c r="Y3" s="53">
        <v>39137</v>
      </c>
      <c r="Z3" s="11">
        <v>24</v>
      </c>
      <c r="AA3" s="11">
        <v>2</v>
      </c>
      <c r="AB3" s="11">
        <v>2007</v>
      </c>
      <c r="AC3" s="13" t="s">
        <v>2683</v>
      </c>
      <c r="AD3" s="28" t="s">
        <v>21</v>
      </c>
      <c r="AE3" s="34" t="s">
        <v>588</v>
      </c>
      <c r="AF3" s="11" t="s">
        <v>588</v>
      </c>
      <c r="AG3" s="11" t="s">
        <v>588</v>
      </c>
      <c r="AH3" s="11" t="s">
        <v>588</v>
      </c>
      <c r="AI3" s="13" t="s">
        <v>588</v>
      </c>
      <c r="AJ3" s="28" t="s">
        <v>588</v>
      </c>
      <c r="AK3" s="29" t="s">
        <v>588</v>
      </c>
      <c r="AL3" s="28" t="s">
        <v>588</v>
      </c>
      <c r="AM3" s="28" t="s">
        <v>588</v>
      </c>
      <c r="AN3" s="53">
        <v>39137</v>
      </c>
      <c r="AO3" s="29" t="s">
        <v>21</v>
      </c>
      <c r="AP3" s="28" t="s">
        <v>195</v>
      </c>
      <c r="AQ3" s="28">
        <v>2</v>
      </c>
      <c r="AR3" s="28">
        <v>2</v>
      </c>
      <c r="AS3" s="53">
        <v>39152</v>
      </c>
      <c r="AT3" s="53">
        <v>39160</v>
      </c>
      <c r="AU3" s="29" t="s">
        <v>22</v>
      </c>
      <c r="AV3" s="28" t="s">
        <v>41</v>
      </c>
      <c r="AW3" s="29" t="s">
        <v>41</v>
      </c>
      <c r="AX3" s="28" t="s">
        <v>20</v>
      </c>
      <c r="AY3" s="53">
        <v>39160</v>
      </c>
      <c r="AZ3" s="28" t="s">
        <v>1996</v>
      </c>
      <c r="BA3" s="29" t="s">
        <v>588</v>
      </c>
      <c r="BB3" s="28" t="s">
        <v>588</v>
      </c>
      <c r="BC3" s="29" t="s">
        <v>588</v>
      </c>
      <c r="BD3" s="28" t="s">
        <v>588</v>
      </c>
      <c r="BE3" s="29" t="s">
        <v>588</v>
      </c>
      <c r="BF3" s="28" t="s">
        <v>588</v>
      </c>
      <c r="BG3" s="29" t="s">
        <v>588</v>
      </c>
      <c r="BH3" s="28" t="s">
        <v>588</v>
      </c>
      <c r="BI3" s="29" t="s">
        <v>588</v>
      </c>
      <c r="BJ3" s="28" t="s">
        <v>588</v>
      </c>
      <c r="BK3" s="28">
        <v>6</v>
      </c>
      <c r="BL3" s="28">
        <v>6</v>
      </c>
      <c r="BM3" s="29" t="s">
        <v>647</v>
      </c>
      <c r="BN3" s="28" t="s">
        <v>588</v>
      </c>
      <c r="BO3" s="29" t="s">
        <v>588</v>
      </c>
      <c r="BP3" s="28" t="s">
        <v>588</v>
      </c>
      <c r="BQ3" s="28" t="s">
        <v>41</v>
      </c>
      <c r="BR3" s="28" t="s">
        <v>42</v>
      </c>
      <c r="BS3" s="28" t="s">
        <v>8</v>
      </c>
      <c r="BT3" s="28" t="s">
        <v>2657</v>
      </c>
      <c r="BU3" s="33" t="s">
        <v>588</v>
      </c>
      <c r="BV3" s="33" t="s">
        <v>588</v>
      </c>
    </row>
    <row r="4" spans="1:74" s="28" customFormat="1" x14ac:dyDescent="0.25">
      <c r="A4" s="28">
        <v>200607</v>
      </c>
      <c r="B4" s="11" t="s">
        <v>14</v>
      </c>
      <c r="C4" s="28" t="s">
        <v>1844</v>
      </c>
      <c r="D4" s="28" t="s">
        <v>1844</v>
      </c>
      <c r="E4" s="28">
        <v>1</v>
      </c>
      <c r="F4" s="28" t="s">
        <v>2658</v>
      </c>
      <c r="G4" s="13">
        <v>39020</v>
      </c>
      <c r="H4" s="11">
        <v>30</v>
      </c>
      <c r="I4" s="11">
        <v>10</v>
      </c>
      <c r="J4" s="11">
        <v>2006</v>
      </c>
      <c r="K4" s="11" t="s">
        <v>2684</v>
      </c>
      <c r="L4" s="28" t="s">
        <v>29</v>
      </c>
      <c r="M4" s="28" t="s">
        <v>19</v>
      </c>
      <c r="N4" s="39">
        <v>-38.659480000000002</v>
      </c>
      <c r="O4" s="39">
        <v>145.58090000000001</v>
      </c>
      <c r="P4" s="28" t="s">
        <v>588</v>
      </c>
      <c r="Q4" s="28" t="s">
        <v>588</v>
      </c>
      <c r="R4" s="28">
        <v>3</v>
      </c>
      <c r="S4" s="28">
        <v>3</v>
      </c>
      <c r="T4" s="28" t="s">
        <v>588</v>
      </c>
      <c r="U4" s="28" t="s">
        <v>588</v>
      </c>
      <c r="V4" s="28">
        <v>6</v>
      </c>
      <c r="W4" s="28">
        <v>6</v>
      </c>
      <c r="X4" s="28" t="s">
        <v>8</v>
      </c>
      <c r="Y4" s="13">
        <v>39050</v>
      </c>
      <c r="Z4" s="11">
        <v>29</v>
      </c>
      <c r="AA4" s="11">
        <v>11</v>
      </c>
      <c r="AB4" s="11">
        <v>2006</v>
      </c>
      <c r="AC4" s="13" t="s">
        <v>2685</v>
      </c>
      <c r="AD4" s="28" t="s">
        <v>17</v>
      </c>
      <c r="AE4" s="29" t="s">
        <v>588</v>
      </c>
      <c r="AF4" s="11" t="s">
        <v>588</v>
      </c>
      <c r="AG4" s="11" t="s">
        <v>588</v>
      </c>
      <c r="AH4" s="11" t="s">
        <v>588</v>
      </c>
      <c r="AI4" s="13" t="s">
        <v>588</v>
      </c>
      <c r="AJ4" s="28" t="s">
        <v>588</v>
      </c>
      <c r="AK4" s="29" t="s">
        <v>588</v>
      </c>
      <c r="AL4" s="28" t="s">
        <v>588</v>
      </c>
      <c r="AM4" s="29" t="s">
        <v>588</v>
      </c>
      <c r="AN4" s="53">
        <v>39053</v>
      </c>
      <c r="AO4" s="29" t="s">
        <v>7</v>
      </c>
      <c r="AP4" s="28" t="s">
        <v>195</v>
      </c>
      <c r="AQ4" s="28">
        <v>2</v>
      </c>
      <c r="AR4" s="28">
        <v>3</v>
      </c>
      <c r="AS4" s="13">
        <v>39060</v>
      </c>
      <c r="AT4" s="53">
        <v>39063</v>
      </c>
      <c r="AU4" s="29" t="s">
        <v>7</v>
      </c>
      <c r="AV4" s="28" t="s">
        <v>41</v>
      </c>
      <c r="AW4" s="29" t="s">
        <v>8</v>
      </c>
      <c r="AX4" s="28" t="s">
        <v>32</v>
      </c>
      <c r="AY4" s="29" t="s">
        <v>588</v>
      </c>
      <c r="AZ4" s="28" t="s">
        <v>588</v>
      </c>
      <c r="BA4" s="29" t="s">
        <v>588</v>
      </c>
      <c r="BB4" s="28" t="s">
        <v>588</v>
      </c>
      <c r="BC4" s="29" t="s">
        <v>588</v>
      </c>
      <c r="BD4" s="28" t="s">
        <v>588</v>
      </c>
      <c r="BE4" s="29" t="s">
        <v>588</v>
      </c>
      <c r="BF4" s="28" t="s">
        <v>588</v>
      </c>
      <c r="BG4" s="29" t="s">
        <v>588</v>
      </c>
      <c r="BH4" s="28" t="s">
        <v>588</v>
      </c>
      <c r="BI4" s="29" t="s">
        <v>588</v>
      </c>
      <c r="BJ4" s="28" t="s">
        <v>588</v>
      </c>
      <c r="BK4" s="28">
        <v>15</v>
      </c>
      <c r="BL4" s="28">
        <v>14</v>
      </c>
      <c r="BM4" s="29" t="s">
        <v>8</v>
      </c>
      <c r="BN4" s="28">
        <v>1</v>
      </c>
      <c r="BO4" s="13">
        <v>39093</v>
      </c>
      <c r="BP4" s="28" t="s">
        <v>17</v>
      </c>
      <c r="BQ4" s="28" t="s">
        <v>8</v>
      </c>
      <c r="BR4" s="28" t="s">
        <v>2623</v>
      </c>
      <c r="BS4" s="28" t="s">
        <v>41</v>
      </c>
      <c r="BT4" s="28" t="s">
        <v>42</v>
      </c>
      <c r="BU4" s="29" t="s">
        <v>588</v>
      </c>
      <c r="BV4" s="28" t="s">
        <v>588</v>
      </c>
    </row>
    <row r="5" spans="1:74" s="28" customFormat="1" x14ac:dyDescent="0.25">
      <c r="A5" s="28">
        <v>200607</v>
      </c>
      <c r="B5" s="11" t="s">
        <v>14</v>
      </c>
      <c r="C5" s="28" t="s">
        <v>1844</v>
      </c>
      <c r="D5" s="28" t="s">
        <v>1844</v>
      </c>
      <c r="E5" s="28">
        <v>2</v>
      </c>
      <c r="F5" s="28" t="s">
        <v>2659</v>
      </c>
      <c r="G5" s="13">
        <v>39094</v>
      </c>
      <c r="H5" s="11">
        <v>12</v>
      </c>
      <c r="I5" s="11">
        <v>1</v>
      </c>
      <c r="J5" s="11">
        <v>2007</v>
      </c>
      <c r="K5" s="11" t="s">
        <v>2686</v>
      </c>
      <c r="L5" s="28" t="s">
        <v>12</v>
      </c>
      <c r="M5" s="28" t="s">
        <v>19</v>
      </c>
      <c r="N5" s="39">
        <v>-38.659480000000002</v>
      </c>
      <c r="O5" s="39">
        <v>145.58090000000001</v>
      </c>
      <c r="P5" s="28" t="s">
        <v>588</v>
      </c>
      <c r="Q5" s="28" t="s">
        <v>588</v>
      </c>
      <c r="R5" s="28">
        <v>3</v>
      </c>
      <c r="S5" s="28">
        <v>3</v>
      </c>
      <c r="T5" s="53">
        <v>39096</v>
      </c>
      <c r="U5" s="28" t="s">
        <v>223</v>
      </c>
      <c r="V5" s="28">
        <v>10</v>
      </c>
      <c r="W5" s="28">
        <v>8</v>
      </c>
      <c r="X5" s="28" t="s">
        <v>8</v>
      </c>
      <c r="Y5" s="53">
        <v>39121</v>
      </c>
      <c r="Z5" s="11">
        <v>8</v>
      </c>
      <c r="AA5" s="11">
        <v>2</v>
      </c>
      <c r="AB5" s="11">
        <v>2007</v>
      </c>
      <c r="AC5" s="13" t="s">
        <v>2687</v>
      </c>
      <c r="AD5" s="28" t="s">
        <v>21</v>
      </c>
      <c r="AE5" s="29" t="s">
        <v>588</v>
      </c>
      <c r="AF5" s="11" t="s">
        <v>588</v>
      </c>
      <c r="AG5" s="11" t="s">
        <v>588</v>
      </c>
      <c r="AH5" s="11" t="s">
        <v>588</v>
      </c>
      <c r="AI5" s="13" t="s">
        <v>588</v>
      </c>
      <c r="AJ5" s="28" t="s">
        <v>588</v>
      </c>
      <c r="AK5" s="33" t="s">
        <v>588</v>
      </c>
      <c r="AL5" s="33" t="s">
        <v>588</v>
      </c>
      <c r="AM5" s="29" t="s">
        <v>588</v>
      </c>
      <c r="AN5" s="53">
        <v>39125</v>
      </c>
      <c r="AO5" s="29" t="s">
        <v>21</v>
      </c>
      <c r="AP5" s="28" t="s">
        <v>195</v>
      </c>
      <c r="AQ5" s="28">
        <v>3</v>
      </c>
      <c r="AR5" s="28">
        <v>3</v>
      </c>
      <c r="AS5" s="29" t="s">
        <v>588</v>
      </c>
      <c r="AT5" s="29" t="s">
        <v>588</v>
      </c>
      <c r="AU5" s="29" t="s">
        <v>588</v>
      </c>
      <c r="AV5" s="29" t="s">
        <v>588</v>
      </c>
      <c r="AW5" s="29" t="s">
        <v>588</v>
      </c>
      <c r="AX5" s="29" t="s">
        <v>588</v>
      </c>
      <c r="AY5" s="29" t="s">
        <v>588</v>
      </c>
      <c r="AZ5" s="29" t="s">
        <v>588</v>
      </c>
      <c r="BA5" s="29" t="s">
        <v>588</v>
      </c>
      <c r="BB5" s="29" t="s">
        <v>588</v>
      </c>
      <c r="BC5" s="29" t="s">
        <v>588</v>
      </c>
      <c r="BD5" s="29" t="s">
        <v>588</v>
      </c>
      <c r="BE5" s="29" t="s">
        <v>588</v>
      </c>
      <c r="BF5" s="29" t="s">
        <v>588</v>
      </c>
      <c r="BG5" s="29" t="s">
        <v>588</v>
      </c>
      <c r="BH5" s="29" t="s">
        <v>588</v>
      </c>
      <c r="BI5" s="29" t="s">
        <v>588</v>
      </c>
      <c r="BJ5" s="29" t="s">
        <v>588</v>
      </c>
      <c r="BK5" s="28">
        <v>9</v>
      </c>
      <c r="BL5" s="28">
        <v>9</v>
      </c>
      <c r="BM5" s="29" t="s">
        <v>8</v>
      </c>
      <c r="BN5" s="28">
        <v>3</v>
      </c>
      <c r="BO5" s="53">
        <v>39167</v>
      </c>
      <c r="BP5" s="29" t="s">
        <v>22</v>
      </c>
      <c r="BQ5" s="28" t="s">
        <v>8</v>
      </c>
      <c r="BR5" s="28" t="s">
        <v>47</v>
      </c>
      <c r="BS5" s="28" t="s">
        <v>8</v>
      </c>
      <c r="BT5" s="28" t="s">
        <v>47</v>
      </c>
      <c r="BU5" s="29" t="s">
        <v>588</v>
      </c>
      <c r="BV5" s="29" t="s">
        <v>588</v>
      </c>
    </row>
    <row r="6" spans="1:74" s="28" customFormat="1" x14ac:dyDescent="0.25">
      <c r="A6" s="28">
        <v>200607</v>
      </c>
      <c r="B6" s="11" t="s">
        <v>37</v>
      </c>
      <c r="C6" s="11" t="s">
        <v>2660</v>
      </c>
      <c r="D6" s="28" t="s">
        <v>2661</v>
      </c>
      <c r="E6" s="28">
        <v>1</v>
      </c>
      <c r="F6" s="28" t="s">
        <v>2662</v>
      </c>
      <c r="G6" s="13">
        <v>39058</v>
      </c>
      <c r="H6" s="11">
        <v>7</v>
      </c>
      <c r="I6" s="11">
        <v>12</v>
      </c>
      <c r="J6" s="11">
        <v>2006</v>
      </c>
      <c r="K6" s="11" t="s">
        <v>2688</v>
      </c>
      <c r="L6" s="28" t="s">
        <v>7</v>
      </c>
      <c r="M6" s="28" t="s">
        <v>2663</v>
      </c>
      <c r="N6" s="39">
        <v>-38.65681</v>
      </c>
      <c r="O6" s="39">
        <v>145.57532</v>
      </c>
      <c r="P6" s="28" t="s">
        <v>588</v>
      </c>
      <c r="Q6" s="28" t="s">
        <v>588</v>
      </c>
      <c r="R6" s="28">
        <v>3</v>
      </c>
      <c r="S6" s="28">
        <v>3</v>
      </c>
      <c r="T6" s="29" t="s">
        <v>588</v>
      </c>
      <c r="U6" s="28" t="s">
        <v>588</v>
      </c>
      <c r="V6" s="28">
        <v>12</v>
      </c>
      <c r="W6" s="28">
        <v>11</v>
      </c>
      <c r="X6" s="28" t="s">
        <v>41</v>
      </c>
      <c r="Y6" s="53">
        <v>39082</v>
      </c>
      <c r="Z6" s="11">
        <v>31</v>
      </c>
      <c r="AA6" s="11">
        <v>12</v>
      </c>
      <c r="AB6" s="11">
        <v>2006</v>
      </c>
      <c r="AC6" s="13" t="s">
        <v>2689</v>
      </c>
      <c r="AD6" s="28" t="s">
        <v>7</v>
      </c>
      <c r="AE6" s="13">
        <v>39083</v>
      </c>
      <c r="AF6" s="11">
        <v>1</v>
      </c>
      <c r="AG6" s="11">
        <v>1</v>
      </c>
      <c r="AH6" s="11">
        <v>2007</v>
      </c>
      <c r="AI6" s="13" t="s">
        <v>2680</v>
      </c>
      <c r="AJ6" s="28" t="s">
        <v>12</v>
      </c>
      <c r="AK6" s="29" t="s">
        <v>41</v>
      </c>
      <c r="AL6" s="28" t="s">
        <v>8</v>
      </c>
      <c r="AM6" s="33" t="s">
        <v>32</v>
      </c>
      <c r="AN6" s="29" t="s">
        <v>588</v>
      </c>
      <c r="AO6" s="29" t="s">
        <v>588</v>
      </c>
      <c r="AP6" s="28" t="s">
        <v>588</v>
      </c>
      <c r="AQ6" s="28" t="s">
        <v>588</v>
      </c>
      <c r="AR6" s="28" t="s">
        <v>588</v>
      </c>
      <c r="AS6" s="29" t="s">
        <v>588</v>
      </c>
      <c r="AT6" s="29" t="s">
        <v>588</v>
      </c>
      <c r="AU6" s="29" t="s">
        <v>588</v>
      </c>
      <c r="AV6" s="29" t="s">
        <v>588</v>
      </c>
      <c r="AW6" s="29" t="s">
        <v>588</v>
      </c>
      <c r="AX6" s="29" t="s">
        <v>588</v>
      </c>
      <c r="AY6" s="29" t="s">
        <v>588</v>
      </c>
      <c r="AZ6" s="29" t="s">
        <v>588</v>
      </c>
      <c r="BA6" s="29" t="s">
        <v>588</v>
      </c>
      <c r="BB6" s="29" t="s">
        <v>588</v>
      </c>
      <c r="BC6" s="29" t="s">
        <v>588</v>
      </c>
      <c r="BD6" s="29" t="s">
        <v>588</v>
      </c>
      <c r="BE6" s="29" t="s">
        <v>588</v>
      </c>
      <c r="BF6" s="29" t="s">
        <v>588</v>
      </c>
      <c r="BG6" s="29" t="s">
        <v>588</v>
      </c>
      <c r="BH6" s="29" t="s">
        <v>588</v>
      </c>
      <c r="BI6" s="29" t="s">
        <v>588</v>
      </c>
      <c r="BJ6" s="29" t="s">
        <v>588</v>
      </c>
      <c r="BK6" s="28" t="s">
        <v>588</v>
      </c>
      <c r="BL6" s="28" t="s">
        <v>588</v>
      </c>
      <c r="BM6" s="29" t="s">
        <v>588</v>
      </c>
      <c r="BN6" s="28" t="s">
        <v>588</v>
      </c>
      <c r="BO6" s="29" t="s">
        <v>588</v>
      </c>
      <c r="BP6" s="29" t="s">
        <v>588</v>
      </c>
      <c r="BQ6" s="28" t="s">
        <v>8</v>
      </c>
      <c r="BR6" s="28" t="s">
        <v>2664</v>
      </c>
      <c r="BS6" s="28" t="s">
        <v>588</v>
      </c>
      <c r="BT6" s="28" t="s">
        <v>588</v>
      </c>
      <c r="BU6" s="29" t="s">
        <v>588</v>
      </c>
      <c r="BV6" s="29" t="s">
        <v>588</v>
      </c>
    </row>
    <row r="7" spans="1:74" s="28" customFormat="1" x14ac:dyDescent="0.25">
      <c r="A7" s="28">
        <v>200607</v>
      </c>
      <c r="B7" s="11" t="s">
        <v>37</v>
      </c>
      <c r="C7" s="11" t="s">
        <v>2660</v>
      </c>
      <c r="D7" s="28" t="s">
        <v>2661</v>
      </c>
      <c r="E7" s="28">
        <v>2</v>
      </c>
      <c r="F7" s="28" t="s">
        <v>2665</v>
      </c>
      <c r="G7" s="53">
        <v>39096</v>
      </c>
      <c r="H7" s="11">
        <v>14</v>
      </c>
      <c r="I7" s="11">
        <v>1</v>
      </c>
      <c r="J7" s="11">
        <v>2007</v>
      </c>
      <c r="K7" s="11" t="s">
        <v>2690</v>
      </c>
      <c r="L7" s="28" t="s">
        <v>12</v>
      </c>
      <c r="M7" s="28" t="s">
        <v>10</v>
      </c>
      <c r="N7" s="39">
        <v>-38.656610000000001</v>
      </c>
      <c r="O7" s="39">
        <v>145.57486</v>
      </c>
      <c r="P7" s="28" t="s">
        <v>588</v>
      </c>
      <c r="Q7" s="28" t="s">
        <v>588</v>
      </c>
      <c r="R7" s="28">
        <v>3</v>
      </c>
      <c r="S7" s="28">
        <v>3</v>
      </c>
      <c r="T7" s="29" t="s">
        <v>588</v>
      </c>
      <c r="U7" s="28" t="s">
        <v>588</v>
      </c>
      <c r="V7" s="28">
        <v>4</v>
      </c>
      <c r="W7" s="28">
        <v>4</v>
      </c>
      <c r="X7" s="28" t="s">
        <v>41</v>
      </c>
      <c r="Y7" s="53">
        <v>39101</v>
      </c>
      <c r="Z7" s="11">
        <v>19</v>
      </c>
      <c r="AA7" s="11">
        <v>1</v>
      </c>
      <c r="AB7" s="11">
        <v>2007</v>
      </c>
      <c r="AC7" s="13" t="s">
        <v>2691</v>
      </c>
      <c r="AD7" s="28" t="s">
        <v>12</v>
      </c>
      <c r="AE7" s="53">
        <v>39103</v>
      </c>
      <c r="AF7" s="11">
        <v>21</v>
      </c>
      <c r="AG7" s="11">
        <v>1</v>
      </c>
      <c r="AH7" s="11">
        <v>2007</v>
      </c>
      <c r="AI7" s="13" t="s">
        <v>2692</v>
      </c>
      <c r="AJ7" s="28" t="s">
        <v>12</v>
      </c>
      <c r="AK7" s="29" t="s">
        <v>41</v>
      </c>
      <c r="AL7" s="29" t="s">
        <v>41</v>
      </c>
      <c r="AM7" s="29" t="s">
        <v>20</v>
      </c>
      <c r="AN7" s="29" t="s">
        <v>588</v>
      </c>
      <c r="AO7" s="29" t="s">
        <v>588</v>
      </c>
      <c r="AP7" s="29" t="s">
        <v>588</v>
      </c>
      <c r="AQ7" s="28" t="s">
        <v>588</v>
      </c>
      <c r="AR7" s="28" t="s">
        <v>588</v>
      </c>
      <c r="AS7" s="29" t="s">
        <v>588</v>
      </c>
      <c r="AT7" s="29" t="s">
        <v>588</v>
      </c>
      <c r="AU7" s="29" t="s">
        <v>588</v>
      </c>
      <c r="AV7" s="29" t="s">
        <v>588</v>
      </c>
      <c r="AW7" s="29" t="s">
        <v>588</v>
      </c>
      <c r="AX7" s="29" t="s">
        <v>588</v>
      </c>
      <c r="AY7" s="29" t="s">
        <v>588</v>
      </c>
      <c r="AZ7" s="29" t="s">
        <v>588</v>
      </c>
      <c r="BA7" s="29" t="s">
        <v>588</v>
      </c>
      <c r="BB7" s="29" t="s">
        <v>588</v>
      </c>
      <c r="BC7" s="29" t="s">
        <v>588</v>
      </c>
      <c r="BD7" s="29" t="s">
        <v>588</v>
      </c>
      <c r="BE7" s="29" t="s">
        <v>588</v>
      </c>
      <c r="BF7" s="29" t="s">
        <v>588</v>
      </c>
      <c r="BG7" s="29" t="s">
        <v>588</v>
      </c>
      <c r="BH7" s="29" t="s">
        <v>588</v>
      </c>
      <c r="BI7" s="29" t="s">
        <v>588</v>
      </c>
      <c r="BJ7" s="29" t="s">
        <v>588</v>
      </c>
      <c r="BK7" s="28" t="s">
        <v>588</v>
      </c>
      <c r="BL7" s="28" t="s">
        <v>588</v>
      </c>
      <c r="BM7" s="29" t="s">
        <v>588</v>
      </c>
      <c r="BN7" s="28" t="s">
        <v>588</v>
      </c>
      <c r="BO7" s="29" t="s">
        <v>588</v>
      </c>
      <c r="BP7" s="29" t="s">
        <v>588</v>
      </c>
      <c r="BQ7" s="28" t="s">
        <v>8</v>
      </c>
      <c r="BR7" s="28" t="s">
        <v>2664</v>
      </c>
      <c r="BS7" s="29" t="s">
        <v>588</v>
      </c>
      <c r="BT7" s="29" t="s">
        <v>588</v>
      </c>
      <c r="BU7" s="29" t="s">
        <v>588</v>
      </c>
      <c r="BV7" s="29" t="s">
        <v>588</v>
      </c>
    </row>
    <row r="8" spans="1:74" s="28" customFormat="1" x14ac:dyDescent="0.25">
      <c r="A8" s="28">
        <v>200607</v>
      </c>
      <c r="B8" s="11" t="s">
        <v>37</v>
      </c>
      <c r="C8" s="11" t="s">
        <v>2660</v>
      </c>
      <c r="D8" s="28" t="s">
        <v>2661</v>
      </c>
      <c r="E8" s="28">
        <v>3</v>
      </c>
      <c r="F8" s="28" t="s">
        <v>2666</v>
      </c>
      <c r="G8" s="53">
        <v>39121</v>
      </c>
      <c r="H8" s="11">
        <v>8</v>
      </c>
      <c r="I8" s="11">
        <v>2</v>
      </c>
      <c r="J8" s="11">
        <v>2007</v>
      </c>
      <c r="K8" s="11" t="s">
        <v>2687</v>
      </c>
      <c r="L8" s="28" t="s">
        <v>21</v>
      </c>
      <c r="M8" s="33" t="s">
        <v>2126</v>
      </c>
      <c r="N8" s="39">
        <v>-38.656460000000003</v>
      </c>
      <c r="O8" s="39">
        <v>145.57461000000001</v>
      </c>
      <c r="P8" s="28" t="s">
        <v>588</v>
      </c>
      <c r="Q8" s="28" t="s">
        <v>588</v>
      </c>
      <c r="R8" s="28">
        <v>3</v>
      </c>
      <c r="S8" s="28">
        <v>3</v>
      </c>
      <c r="T8" s="29" t="s">
        <v>588</v>
      </c>
      <c r="U8" s="28" t="s">
        <v>588</v>
      </c>
      <c r="V8" s="28">
        <v>2</v>
      </c>
      <c r="W8" s="28">
        <v>2</v>
      </c>
      <c r="X8" s="28" t="s">
        <v>41</v>
      </c>
      <c r="Y8" s="53">
        <v>39121</v>
      </c>
      <c r="Z8" s="11">
        <v>8</v>
      </c>
      <c r="AA8" s="11">
        <v>2</v>
      </c>
      <c r="AB8" s="11">
        <v>2007</v>
      </c>
      <c r="AC8" s="13" t="s">
        <v>2687</v>
      </c>
      <c r="AD8" s="28" t="s">
        <v>21</v>
      </c>
      <c r="AE8" s="53">
        <v>39125</v>
      </c>
      <c r="AF8" s="11">
        <v>12</v>
      </c>
      <c r="AG8" s="11">
        <v>2</v>
      </c>
      <c r="AH8" s="11">
        <v>2007</v>
      </c>
      <c r="AI8" s="13" t="s">
        <v>2693</v>
      </c>
      <c r="AJ8" s="28" t="s">
        <v>21</v>
      </c>
      <c r="AK8" s="29" t="s">
        <v>41</v>
      </c>
      <c r="AL8" s="29" t="s">
        <v>41</v>
      </c>
      <c r="AM8" s="29" t="s">
        <v>20</v>
      </c>
      <c r="AN8" s="29" t="s">
        <v>588</v>
      </c>
      <c r="AO8" s="29" t="s">
        <v>588</v>
      </c>
      <c r="AP8" s="28" t="s">
        <v>588</v>
      </c>
      <c r="AQ8" s="28" t="s">
        <v>588</v>
      </c>
      <c r="AR8" s="28" t="s">
        <v>588</v>
      </c>
      <c r="AS8" s="29" t="s">
        <v>588</v>
      </c>
      <c r="AT8" s="29" t="s">
        <v>588</v>
      </c>
      <c r="AU8" s="29" t="s">
        <v>588</v>
      </c>
      <c r="AV8" s="29" t="s">
        <v>588</v>
      </c>
      <c r="AW8" s="29" t="s">
        <v>588</v>
      </c>
      <c r="AX8" s="29" t="s">
        <v>588</v>
      </c>
      <c r="AY8" s="29" t="s">
        <v>588</v>
      </c>
      <c r="AZ8" s="29" t="s">
        <v>588</v>
      </c>
      <c r="BA8" s="29" t="s">
        <v>588</v>
      </c>
      <c r="BB8" s="29" t="s">
        <v>588</v>
      </c>
      <c r="BC8" s="29" t="s">
        <v>588</v>
      </c>
      <c r="BD8" s="29" t="s">
        <v>588</v>
      </c>
      <c r="BE8" s="29" t="s">
        <v>588</v>
      </c>
      <c r="BF8" s="29" t="s">
        <v>588</v>
      </c>
      <c r="BG8" s="29" t="s">
        <v>588</v>
      </c>
      <c r="BH8" s="29" t="s">
        <v>588</v>
      </c>
      <c r="BI8" s="29" t="s">
        <v>588</v>
      </c>
      <c r="BJ8" s="29" t="s">
        <v>588</v>
      </c>
      <c r="BK8" s="28" t="s">
        <v>588</v>
      </c>
      <c r="BL8" s="28" t="s">
        <v>588</v>
      </c>
      <c r="BM8" s="29" t="s">
        <v>588</v>
      </c>
      <c r="BN8" s="28" t="s">
        <v>588</v>
      </c>
      <c r="BO8" s="29" t="s">
        <v>588</v>
      </c>
      <c r="BP8" s="29" t="s">
        <v>588</v>
      </c>
      <c r="BQ8" s="28" t="s">
        <v>8</v>
      </c>
      <c r="BR8" s="28" t="s">
        <v>2664</v>
      </c>
      <c r="BS8" s="28" t="s">
        <v>588</v>
      </c>
      <c r="BT8" s="28" t="s">
        <v>588</v>
      </c>
      <c r="BU8" s="29" t="s">
        <v>588</v>
      </c>
      <c r="BV8" s="29" t="s">
        <v>588</v>
      </c>
    </row>
    <row r="9" spans="1:74" s="28" customFormat="1" x14ac:dyDescent="0.25">
      <c r="A9" s="28">
        <v>200607</v>
      </c>
      <c r="B9" s="11" t="s">
        <v>1906</v>
      </c>
      <c r="C9" s="11" t="s">
        <v>2667</v>
      </c>
      <c r="D9" s="28" t="s">
        <v>1844</v>
      </c>
      <c r="E9" s="28">
        <v>1</v>
      </c>
      <c r="F9" s="28" t="s">
        <v>2668</v>
      </c>
      <c r="G9" s="13">
        <v>38979</v>
      </c>
      <c r="H9" s="11">
        <v>19</v>
      </c>
      <c r="I9" s="11">
        <v>9</v>
      </c>
      <c r="J9" s="11">
        <v>2006</v>
      </c>
      <c r="K9" s="11" t="s">
        <v>2694</v>
      </c>
      <c r="L9" s="28" t="s">
        <v>28</v>
      </c>
      <c r="M9" s="28" t="s">
        <v>10</v>
      </c>
      <c r="N9" s="39">
        <v>-38.646990000000002</v>
      </c>
      <c r="O9" s="39">
        <v>145.70631</v>
      </c>
      <c r="P9" s="28" t="s">
        <v>588</v>
      </c>
      <c r="Q9" s="28" t="s">
        <v>588</v>
      </c>
      <c r="R9" s="28">
        <v>3</v>
      </c>
      <c r="S9" s="28">
        <v>3</v>
      </c>
      <c r="T9" s="13">
        <v>38982</v>
      </c>
      <c r="U9" s="28" t="s">
        <v>223</v>
      </c>
      <c r="V9" s="28">
        <v>14</v>
      </c>
      <c r="W9" s="28">
        <v>14</v>
      </c>
      <c r="X9" s="28" t="s">
        <v>8</v>
      </c>
      <c r="Y9" s="13">
        <v>39011</v>
      </c>
      <c r="Z9" s="11">
        <v>21</v>
      </c>
      <c r="AA9" s="11">
        <v>10</v>
      </c>
      <c r="AB9" s="11">
        <v>2006</v>
      </c>
      <c r="AC9" s="13" t="s">
        <v>2695</v>
      </c>
      <c r="AD9" s="28" t="s">
        <v>29</v>
      </c>
      <c r="AE9" s="29" t="s">
        <v>588</v>
      </c>
      <c r="AF9" s="11" t="s">
        <v>588</v>
      </c>
      <c r="AG9" s="11" t="s">
        <v>588</v>
      </c>
      <c r="AH9" s="11" t="s">
        <v>588</v>
      </c>
      <c r="AI9" s="13" t="s">
        <v>588</v>
      </c>
      <c r="AJ9" s="28" t="s">
        <v>588</v>
      </c>
      <c r="AK9" s="29" t="s">
        <v>588</v>
      </c>
      <c r="AL9" s="29" t="s">
        <v>588</v>
      </c>
      <c r="AM9" s="29" t="s">
        <v>588</v>
      </c>
      <c r="AN9" s="13">
        <v>39014</v>
      </c>
      <c r="AO9" s="29" t="s">
        <v>29</v>
      </c>
      <c r="AP9" s="28" t="s">
        <v>195</v>
      </c>
      <c r="AQ9" s="28">
        <v>3</v>
      </c>
      <c r="AR9" s="28">
        <v>3</v>
      </c>
      <c r="AS9" s="13">
        <v>39014</v>
      </c>
      <c r="AT9" s="13">
        <v>39016</v>
      </c>
      <c r="AU9" s="29" t="s">
        <v>29</v>
      </c>
      <c r="AV9" s="28" t="s">
        <v>41</v>
      </c>
      <c r="AW9" s="29" t="s">
        <v>41</v>
      </c>
      <c r="AX9" s="28" t="s">
        <v>20</v>
      </c>
      <c r="AY9" s="13">
        <v>39014</v>
      </c>
      <c r="AZ9" s="13">
        <v>39016</v>
      </c>
      <c r="BA9" s="29" t="s">
        <v>29</v>
      </c>
      <c r="BB9" s="28" t="s">
        <v>41</v>
      </c>
      <c r="BC9" s="29" t="s">
        <v>41</v>
      </c>
      <c r="BD9" s="28" t="s">
        <v>20</v>
      </c>
      <c r="BE9" s="13">
        <v>39014</v>
      </c>
      <c r="BF9" s="13">
        <v>39016</v>
      </c>
      <c r="BG9" s="29" t="s">
        <v>29</v>
      </c>
      <c r="BH9" s="28" t="s">
        <v>41</v>
      </c>
      <c r="BI9" s="29" t="s">
        <v>41</v>
      </c>
      <c r="BJ9" s="28" t="s">
        <v>20</v>
      </c>
      <c r="BK9" s="28">
        <v>2</v>
      </c>
      <c r="BL9" s="28">
        <v>2</v>
      </c>
      <c r="BM9" s="29" t="s">
        <v>41</v>
      </c>
      <c r="BN9" s="28" t="s">
        <v>588</v>
      </c>
      <c r="BO9" s="29" t="s">
        <v>588</v>
      </c>
      <c r="BP9" s="29" t="s">
        <v>588</v>
      </c>
      <c r="BQ9" s="28" t="s">
        <v>41</v>
      </c>
      <c r="BR9" s="28" t="s">
        <v>42</v>
      </c>
      <c r="BS9" s="28" t="s">
        <v>41</v>
      </c>
      <c r="BT9" s="28" t="s">
        <v>42</v>
      </c>
      <c r="BU9" s="29" t="s">
        <v>588</v>
      </c>
      <c r="BV9" s="29" t="s">
        <v>588</v>
      </c>
    </row>
    <row r="10" spans="1:74" s="28" customFormat="1" x14ac:dyDescent="0.25">
      <c r="A10" s="28">
        <v>200607</v>
      </c>
      <c r="B10" s="11" t="s">
        <v>1906</v>
      </c>
      <c r="C10" s="11" t="s">
        <v>2667</v>
      </c>
      <c r="D10" s="28" t="s">
        <v>1844</v>
      </c>
      <c r="E10" s="28">
        <v>2</v>
      </c>
      <c r="F10" s="28" t="s">
        <v>2669</v>
      </c>
      <c r="G10" s="13">
        <v>39051</v>
      </c>
      <c r="H10" s="11">
        <v>30</v>
      </c>
      <c r="I10" s="11">
        <v>11</v>
      </c>
      <c r="J10" s="11">
        <v>2006</v>
      </c>
      <c r="K10" s="11" t="s">
        <v>2696</v>
      </c>
      <c r="L10" s="28" t="s">
        <v>17</v>
      </c>
      <c r="M10" s="33" t="s">
        <v>10</v>
      </c>
      <c r="N10" s="39">
        <v>-38.646949999999997</v>
      </c>
      <c r="O10" s="39">
        <v>145.70997</v>
      </c>
      <c r="P10" s="33" t="s">
        <v>588</v>
      </c>
      <c r="Q10" s="33" t="s">
        <v>588</v>
      </c>
      <c r="R10" s="28">
        <v>3</v>
      </c>
      <c r="S10" s="28">
        <v>3</v>
      </c>
      <c r="T10" s="28" t="s">
        <v>588</v>
      </c>
      <c r="U10" s="28" t="s">
        <v>588</v>
      </c>
      <c r="V10" s="28">
        <v>4</v>
      </c>
      <c r="W10" s="28">
        <v>4</v>
      </c>
      <c r="X10" s="28" t="s">
        <v>41</v>
      </c>
      <c r="Y10" s="13">
        <v>39055</v>
      </c>
      <c r="Z10" s="11">
        <v>4</v>
      </c>
      <c r="AA10" s="11">
        <v>12</v>
      </c>
      <c r="AB10" s="11">
        <v>2006</v>
      </c>
      <c r="AC10" s="13" t="s">
        <v>2697</v>
      </c>
      <c r="AD10" s="28" t="s">
        <v>7</v>
      </c>
      <c r="AE10" s="13">
        <v>39056</v>
      </c>
      <c r="AF10" s="11">
        <v>5</v>
      </c>
      <c r="AG10" s="11">
        <v>12</v>
      </c>
      <c r="AH10" s="11">
        <v>2006</v>
      </c>
      <c r="AI10" s="13" t="s">
        <v>2698</v>
      </c>
      <c r="AJ10" s="28" t="s">
        <v>7</v>
      </c>
      <c r="AK10" s="29" t="s">
        <v>41</v>
      </c>
      <c r="AL10" s="29" t="s">
        <v>41</v>
      </c>
      <c r="AM10" s="29" t="s">
        <v>20</v>
      </c>
      <c r="AN10" s="29" t="s">
        <v>588</v>
      </c>
      <c r="AO10" s="29" t="s">
        <v>588</v>
      </c>
      <c r="AP10" s="29" t="s">
        <v>588</v>
      </c>
      <c r="AQ10" s="28" t="s">
        <v>588</v>
      </c>
      <c r="AR10" s="28" t="s">
        <v>588</v>
      </c>
      <c r="AS10" s="29" t="s">
        <v>588</v>
      </c>
      <c r="AT10" s="29" t="s">
        <v>588</v>
      </c>
      <c r="AU10" s="29" t="s">
        <v>588</v>
      </c>
      <c r="AV10" s="29" t="s">
        <v>588</v>
      </c>
      <c r="AW10" s="29" t="s">
        <v>588</v>
      </c>
      <c r="AX10" s="29" t="s">
        <v>588</v>
      </c>
      <c r="AY10" s="29" t="s">
        <v>588</v>
      </c>
      <c r="AZ10" s="29" t="s">
        <v>588</v>
      </c>
      <c r="BA10" s="29" t="s">
        <v>588</v>
      </c>
      <c r="BB10" s="29" t="s">
        <v>588</v>
      </c>
      <c r="BC10" s="29" t="s">
        <v>588</v>
      </c>
      <c r="BD10" s="29" t="s">
        <v>588</v>
      </c>
      <c r="BE10" s="29" t="s">
        <v>588</v>
      </c>
      <c r="BF10" s="29" t="s">
        <v>588</v>
      </c>
      <c r="BG10" s="29" t="s">
        <v>588</v>
      </c>
      <c r="BH10" s="29" t="s">
        <v>588</v>
      </c>
      <c r="BI10" s="29" t="s">
        <v>588</v>
      </c>
      <c r="BJ10" s="29" t="s">
        <v>588</v>
      </c>
      <c r="BK10" s="28" t="s">
        <v>588</v>
      </c>
      <c r="BL10" s="28" t="s">
        <v>588</v>
      </c>
      <c r="BM10" s="29" t="s">
        <v>588</v>
      </c>
      <c r="BN10" s="28" t="s">
        <v>588</v>
      </c>
      <c r="BO10" s="29" t="s">
        <v>588</v>
      </c>
      <c r="BP10" s="29" t="s">
        <v>588</v>
      </c>
      <c r="BQ10" s="28" t="s">
        <v>41</v>
      </c>
      <c r="BR10" s="28" t="s">
        <v>42</v>
      </c>
      <c r="BS10" s="29" t="s">
        <v>588</v>
      </c>
      <c r="BT10" s="29" t="s">
        <v>588</v>
      </c>
      <c r="BU10" s="29" t="s">
        <v>588</v>
      </c>
      <c r="BV10" s="29" t="s">
        <v>588</v>
      </c>
    </row>
    <row r="11" spans="1:74" s="28" customFormat="1" x14ac:dyDescent="0.25">
      <c r="A11" s="28">
        <v>200607</v>
      </c>
      <c r="B11" s="11" t="s">
        <v>1906</v>
      </c>
      <c r="C11" s="11" t="s">
        <v>2667</v>
      </c>
      <c r="D11" s="28" t="s">
        <v>1844</v>
      </c>
      <c r="E11" s="28">
        <v>3</v>
      </c>
      <c r="F11" s="28" t="s">
        <v>2670</v>
      </c>
      <c r="G11" s="13">
        <v>39065</v>
      </c>
      <c r="H11" s="11">
        <v>14</v>
      </c>
      <c r="I11" s="11">
        <v>12</v>
      </c>
      <c r="J11" s="11">
        <v>2006</v>
      </c>
      <c r="K11" s="11" t="s">
        <v>2699</v>
      </c>
      <c r="L11" s="28" t="s">
        <v>7</v>
      </c>
      <c r="M11" s="28" t="s">
        <v>51</v>
      </c>
      <c r="N11" s="39">
        <v>-38.646999999999998</v>
      </c>
      <c r="O11" s="39">
        <v>145.70780999999999</v>
      </c>
      <c r="P11" s="33" t="s">
        <v>588</v>
      </c>
      <c r="Q11" s="33" t="s">
        <v>588</v>
      </c>
      <c r="R11" s="28">
        <v>3</v>
      </c>
      <c r="S11" s="28">
        <v>3</v>
      </c>
      <c r="T11" s="13">
        <v>39069</v>
      </c>
      <c r="U11" s="28" t="s">
        <v>223</v>
      </c>
      <c r="V11" s="28">
        <v>5</v>
      </c>
      <c r="W11" s="28">
        <v>5</v>
      </c>
      <c r="X11" s="28" t="s">
        <v>41</v>
      </c>
      <c r="Y11" s="13">
        <v>39069</v>
      </c>
      <c r="Z11" s="11">
        <v>18</v>
      </c>
      <c r="AA11" s="11">
        <v>12</v>
      </c>
      <c r="AB11" s="11">
        <v>2006</v>
      </c>
      <c r="AC11" s="13" t="s">
        <v>2679</v>
      </c>
      <c r="AD11" s="28" t="s">
        <v>7</v>
      </c>
      <c r="AE11" s="13">
        <v>39070</v>
      </c>
      <c r="AF11" s="11">
        <v>19</v>
      </c>
      <c r="AG11" s="11">
        <v>12</v>
      </c>
      <c r="AH11" s="11">
        <v>2006</v>
      </c>
      <c r="AI11" s="13" t="s">
        <v>2700</v>
      </c>
      <c r="AJ11" s="28" t="s">
        <v>7</v>
      </c>
      <c r="AK11" s="29" t="s">
        <v>41</v>
      </c>
      <c r="AL11" s="29" t="s">
        <v>41</v>
      </c>
      <c r="AM11" s="29" t="s">
        <v>20</v>
      </c>
      <c r="AN11" s="34" t="s">
        <v>588</v>
      </c>
      <c r="AO11" s="29" t="s">
        <v>588</v>
      </c>
      <c r="AP11" s="33" t="s">
        <v>588</v>
      </c>
      <c r="AQ11" s="28" t="s">
        <v>588</v>
      </c>
      <c r="AR11" s="28" t="s">
        <v>588</v>
      </c>
      <c r="AS11" s="34" t="s">
        <v>588</v>
      </c>
      <c r="AT11" s="29" t="s">
        <v>588</v>
      </c>
      <c r="AU11" s="29" t="s">
        <v>588</v>
      </c>
      <c r="AV11" s="29" t="s">
        <v>588</v>
      </c>
      <c r="AW11" s="29" t="s">
        <v>588</v>
      </c>
      <c r="AX11" s="29" t="s">
        <v>588</v>
      </c>
      <c r="AY11" s="29" t="s">
        <v>588</v>
      </c>
      <c r="AZ11" s="29" t="s">
        <v>588</v>
      </c>
      <c r="BA11" s="29" t="s">
        <v>588</v>
      </c>
      <c r="BB11" s="29" t="s">
        <v>588</v>
      </c>
      <c r="BC11" s="29" t="s">
        <v>588</v>
      </c>
      <c r="BD11" s="29" t="s">
        <v>588</v>
      </c>
      <c r="BE11" s="29" t="s">
        <v>588</v>
      </c>
      <c r="BF11" s="29" t="s">
        <v>588</v>
      </c>
      <c r="BG11" s="29" t="s">
        <v>588</v>
      </c>
      <c r="BH11" s="29" t="s">
        <v>588</v>
      </c>
      <c r="BI11" s="29" t="s">
        <v>588</v>
      </c>
      <c r="BJ11" s="29" t="s">
        <v>588</v>
      </c>
      <c r="BK11" s="28" t="s">
        <v>588</v>
      </c>
      <c r="BL11" s="28" t="s">
        <v>588</v>
      </c>
      <c r="BM11" s="29" t="s">
        <v>588</v>
      </c>
      <c r="BN11" s="28" t="s">
        <v>588</v>
      </c>
      <c r="BO11" s="29" t="s">
        <v>588</v>
      </c>
      <c r="BP11" s="29" t="s">
        <v>588</v>
      </c>
      <c r="BQ11" s="28" t="s">
        <v>41</v>
      </c>
      <c r="BR11" s="28" t="s">
        <v>42</v>
      </c>
      <c r="BS11" s="28" t="s">
        <v>588</v>
      </c>
      <c r="BT11" s="33" t="s">
        <v>588</v>
      </c>
      <c r="BU11" s="29" t="s">
        <v>588</v>
      </c>
      <c r="BV11" s="29" t="s">
        <v>588</v>
      </c>
    </row>
    <row r="12" spans="1:74" s="28" customFormat="1" x14ac:dyDescent="0.25">
      <c r="A12" s="28">
        <v>200607</v>
      </c>
      <c r="B12" s="11" t="s">
        <v>1906</v>
      </c>
      <c r="C12" s="11" t="s">
        <v>2667</v>
      </c>
      <c r="D12" s="28" t="s">
        <v>1844</v>
      </c>
      <c r="E12" s="28">
        <v>4</v>
      </c>
      <c r="F12" s="28" t="s">
        <v>2671</v>
      </c>
      <c r="G12" s="13">
        <v>39086</v>
      </c>
      <c r="H12" s="11">
        <v>4</v>
      </c>
      <c r="I12" s="11">
        <v>1</v>
      </c>
      <c r="J12" s="11">
        <v>2007</v>
      </c>
      <c r="K12" s="11" t="s">
        <v>2701</v>
      </c>
      <c r="L12" s="28" t="s">
        <v>12</v>
      </c>
      <c r="M12" s="28" t="s">
        <v>10</v>
      </c>
      <c r="N12" s="39">
        <v>-38.645910000000001</v>
      </c>
      <c r="O12" s="39">
        <v>145.71168</v>
      </c>
      <c r="P12" s="33" t="s">
        <v>588</v>
      </c>
      <c r="Q12" s="33" t="s">
        <v>588</v>
      </c>
      <c r="R12" s="28">
        <v>1</v>
      </c>
      <c r="S12" s="28">
        <v>3</v>
      </c>
      <c r="T12" s="29" t="s">
        <v>588</v>
      </c>
      <c r="U12" s="28" t="s">
        <v>588</v>
      </c>
      <c r="V12" s="28">
        <v>5</v>
      </c>
      <c r="W12" s="28">
        <v>5</v>
      </c>
      <c r="X12" s="28" t="s">
        <v>41</v>
      </c>
      <c r="Y12" s="13">
        <v>39089</v>
      </c>
      <c r="Z12" s="11">
        <v>7</v>
      </c>
      <c r="AA12" s="11">
        <v>1</v>
      </c>
      <c r="AB12" s="11">
        <v>2007</v>
      </c>
      <c r="AC12" s="13" t="s">
        <v>2702</v>
      </c>
      <c r="AD12" s="28" t="s">
        <v>12</v>
      </c>
      <c r="AE12" s="13">
        <v>39090</v>
      </c>
      <c r="AF12" s="11">
        <v>8</v>
      </c>
      <c r="AG12" s="11">
        <v>1</v>
      </c>
      <c r="AH12" s="11">
        <v>2007</v>
      </c>
      <c r="AI12" s="13" t="s">
        <v>2703</v>
      </c>
      <c r="AJ12" s="28" t="s">
        <v>12</v>
      </c>
      <c r="AK12" s="29" t="s">
        <v>41</v>
      </c>
      <c r="AL12" s="29" t="s">
        <v>41</v>
      </c>
      <c r="AM12" s="29" t="s">
        <v>20</v>
      </c>
      <c r="AN12" s="29" t="s">
        <v>588</v>
      </c>
      <c r="AO12" s="29" t="s">
        <v>588</v>
      </c>
      <c r="AP12" s="28" t="s">
        <v>588</v>
      </c>
      <c r="AQ12" s="28" t="s">
        <v>588</v>
      </c>
      <c r="AR12" s="28" t="s">
        <v>588</v>
      </c>
      <c r="AS12" s="29" t="s">
        <v>588</v>
      </c>
      <c r="AT12" s="29" t="s">
        <v>588</v>
      </c>
      <c r="AU12" s="29" t="s">
        <v>588</v>
      </c>
      <c r="AV12" s="29" t="s">
        <v>588</v>
      </c>
      <c r="AW12" s="29" t="s">
        <v>588</v>
      </c>
      <c r="AX12" s="29" t="s">
        <v>588</v>
      </c>
      <c r="AY12" s="29" t="s">
        <v>588</v>
      </c>
      <c r="AZ12" s="29" t="s">
        <v>588</v>
      </c>
      <c r="BA12" s="29" t="s">
        <v>588</v>
      </c>
      <c r="BB12" s="29" t="s">
        <v>588</v>
      </c>
      <c r="BC12" s="29" t="s">
        <v>588</v>
      </c>
      <c r="BD12" s="29" t="s">
        <v>588</v>
      </c>
      <c r="BE12" s="29" t="s">
        <v>588</v>
      </c>
      <c r="BF12" s="29" t="s">
        <v>588</v>
      </c>
      <c r="BG12" s="29" t="s">
        <v>588</v>
      </c>
      <c r="BH12" s="29" t="s">
        <v>588</v>
      </c>
      <c r="BI12" s="29" t="s">
        <v>588</v>
      </c>
      <c r="BJ12" s="29" t="s">
        <v>588</v>
      </c>
      <c r="BK12" s="28" t="s">
        <v>588</v>
      </c>
      <c r="BL12" s="28" t="s">
        <v>588</v>
      </c>
      <c r="BM12" s="29" t="s">
        <v>588</v>
      </c>
      <c r="BN12" s="28" t="s">
        <v>588</v>
      </c>
      <c r="BO12" s="29" t="s">
        <v>588</v>
      </c>
      <c r="BP12" s="29" t="s">
        <v>588</v>
      </c>
      <c r="BQ12" s="28" t="s">
        <v>8</v>
      </c>
      <c r="BR12" s="28" t="s">
        <v>2623</v>
      </c>
      <c r="BS12" s="29" t="s">
        <v>588</v>
      </c>
      <c r="BT12" s="28" t="s">
        <v>588</v>
      </c>
      <c r="BU12" s="29" t="s">
        <v>588</v>
      </c>
      <c r="BV12" s="29" t="s">
        <v>588</v>
      </c>
    </row>
    <row r="13" spans="1:74" s="28" customFormat="1" x14ac:dyDescent="0.25">
      <c r="A13" s="28">
        <v>200607</v>
      </c>
      <c r="B13" s="11" t="s">
        <v>553</v>
      </c>
      <c r="C13" s="28" t="s">
        <v>1844</v>
      </c>
      <c r="D13" s="28" t="s">
        <v>1844</v>
      </c>
      <c r="E13" s="28">
        <v>1</v>
      </c>
      <c r="F13" s="28" t="s">
        <v>2672</v>
      </c>
      <c r="G13" s="13">
        <v>39028</v>
      </c>
      <c r="H13" s="11">
        <v>7</v>
      </c>
      <c r="I13" s="11">
        <v>11</v>
      </c>
      <c r="J13" s="11">
        <v>2006</v>
      </c>
      <c r="K13" s="11" t="s">
        <v>2704</v>
      </c>
      <c r="L13" s="28" t="s">
        <v>17</v>
      </c>
      <c r="M13" s="28" t="s">
        <v>36</v>
      </c>
      <c r="N13" s="11">
        <v>-38.57611</v>
      </c>
      <c r="O13" s="39">
        <v>145.50555</v>
      </c>
      <c r="P13" s="33" t="s">
        <v>588</v>
      </c>
      <c r="Q13" s="33" t="s">
        <v>588</v>
      </c>
      <c r="R13" s="28">
        <v>2</v>
      </c>
      <c r="S13" s="28">
        <v>2</v>
      </c>
      <c r="T13" s="29">
        <v>39030</v>
      </c>
      <c r="U13" s="28" t="s">
        <v>223</v>
      </c>
      <c r="V13" s="28">
        <v>3</v>
      </c>
      <c r="W13" s="28">
        <v>3</v>
      </c>
      <c r="X13" s="28" t="s">
        <v>41</v>
      </c>
      <c r="Y13" s="13">
        <v>39032</v>
      </c>
      <c r="Z13" s="11">
        <v>11</v>
      </c>
      <c r="AA13" s="11">
        <v>11</v>
      </c>
      <c r="AB13" s="11">
        <v>2006</v>
      </c>
      <c r="AC13" s="13" t="s">
        <v>2705</v>
      </c>
      <c r="AD13" s="28" t="s">
        <v>17</v>
      </c>
      <c r="AE13" s="13">
        <v>39038</v>
      </c>
      <c r="AF13" s="11">
        <v>17</v>
      </c>
      <c r="AG13" s="11">
        <v>11</v>
      </c>
      <c r="AH13" s="11">
        <v>2006</v>
      </c>
      <c r="AI13" s="13" t="s">
        <v>2706</v>
      </c>
      <c r="AJ13" s="28" t="s">
        <v>17</v>
      </c>
      <c r="AK13" s="33" t="s">
        <v>48</v>
      </c>
      <c r="AL13" s="33" t="s">
        <v>8</v>
      </c>
      <c r="AM13" s="28" t="s">
        <v>2673</v>
      </c>
      <c r="AN13" s="29" t="s">
        <v>588</v>
      </c>
      <c r="AO13" s="29" t="s">
        <v>588</v>
      </c>
      <c r="AP13" s="29" t="s">
        <v>588</v>
      </c>
      <c r="AQ13" s="28" t="s">
        <v>588</v>
      </c>
      <c r="AR13" s="28" t="s">
        <v>588</v>
      </c>
      <c r="AS13" s="29" t="s">
        <v>588</v>
      </c>
      <c r="AT13" s="29" t="s">
        <v>588</v>
      </c>
      <c r="AU13" s="29" t="s">
        <v>588</v>
      </c>
      <c r="AV13" s="29" t="s">
        <v>588</v>
      </c>
      <c r="AW13" s="29" t="s">
        <v>588</v>
      </c>
      <c r="AX13" s="29" t="s">
        <v>588</v>
      </c>
      <c r="AY13" s="29" t="s">
        <v>588</v>
      </c>
      <c r="AZ13" s="29" t="s">
        <v>588</v>
      </c>
      <c r="BA13" s="29" t="s">
        <v>588</v>
      </c>
      <c r="BB13" s="29" t="s">
        <v>588</v>
      </c>
      <c r="BC13" s="29" t="s">
        <v>588</v>
      </c>
      <c r="BD13" s="29" t="s">
        <v>588</v>
      </c>
      <c r="BE13" s="29" t="s">
        <v>588</v>
      </c>
      <c r="BF13" s="29" t="s">
        <v>588</v>
      </c>
      <c r="BG13" s="29" t="s">
        <v>588</v>
      </c>
      <c r="BH13" s="29" t="s">
        <v>588</v>
      </c>
      <c r="BI13" s="29" t="s">
        <v>588</v>
      </c>
      <c r="BJ13" s="29" t="s">
        <v>588</v>
      </c>
      <c r="BK13" s="28" t="s">
        <v>588</v>
      </c>
      <c r="BL13" s="28" t="s">
        <v>588</v>
      </c>
      <c r="BM13" s="29" t="s">
        <v>588</v>
      </c>
      <c r="BN13" s="28" t="s">
        <v>588</v>
      </c>
      <c r="BO13" s="29" t="s">
        <v>588</v>
      </c>
      <c r="BP13" s="29" t="s">
        <v>588</v>
      </c>
      <c r="BQ13" s="28" t="s">
        <v>8</v>
      </c>
      <c r="BR13" s="28" t="s">
        <v>2637</v>
      </c>
      <c r="BS13" s="29" t="s">
        <v>588</v>
      </c>
      <c r="BT13" s="29" t="s">
        <v>588</v>
      </c>
      <c r="BU13" s="29" t="s">
        <v>588</v>
      </c>
      <c r="BV13" s="29" t="s">
        <v>588</v>
      </c>
    </row>
    <row r="14" spans="1:74" s="28" customFormat="1" x14ac:dyDescent="0.25">
      <c r="A14" s="28">
        <v>200607</v>
      </c>
      <c r="B14" s="11" t="s">
        <v>553</v>
      </c>
      <c r="C14" s="28" t="s">
        <v>1844</v>
      </c>
      <c r="D14" s="28" t="s">
        <v>1844</v>
      </c>
      <c r="E14" s="28">
        <v>2</v>
      </c>
      <c r="F14" s="28" t="s">
        <v>2674</v>
      </c>
      <c r="G14" s="13">
        <v>39079</v>
      </c>
      <c r="H14" s="11">
        <v>28</v>
      </c>
      <c r="I14" s="11">
        <v>12</v>
      </c>
      <c r="J14" s="11">
        <v>2006</v>
      </c>
      <c r="K14" s="11" t="s">
        <v>2707</v>
      </c>
      <c r="L14" s="28" t="s">
        <v>7</v>
      </c>
      <c r="M14" s="28" t="s">
        <v>36</v>
      </c>
      <c r="N14" s="11">
        <v>-38.57611</v>
      </c>
      <c r="O14" s="39">
        <v>145.50555</v>
      </c>
      <c r="P14" s="33" t="s">
        <v>588</v>
      </c>
      <c r="Q14" s="33" t="s">
        <v>588</v>
      </c>
      <c r="R14" s="28">
        <v>2</v>
      </c>
      <c r="S14" s="28">
        <v>3</v>
      </c>
      <c r="T14" s="29" t="s">
        <v>588</v>
      </c>
      <c r="U14" s="28" t="s">
        <v>588</v>
      </c>
      <c r="V14" s="28">
        <v>2</v>
      </c>
      <c r="W14" s="28">
        <v>2</v>
      </c>
      <c r="X14" s="28" t="s">
        <v>41</v>
      </c>
      <c r="Y14" s="13">
        <v>39079</v>
      </c>
      <c r="Z14" s="11">
        <v>28</v>
      </c>
      <c r="AA14" s="11">
        <v>12</v>
      </c>
      <c r="AB14" s="11">
        <v>2006</v>
      </c>
      <c r="AC14" s="13" t="s">
        <v>2707</v>
      </c>
      <c r="AD14" s="28" t="s">
        <v>7</v>
      </c>
      <c r="AE14" s="13">
        <v>39093</v>
      </c>
      <c r="AF14" s="11">
        <v>11</v>
      </c>
      <c r="AG14" s="11">
        <v>1</v>
      </c>
      <c r="AH14" s="11">
        <v>2007</v>
      </c>
      <c r="AI14" s="13" t="s">
        <v>2708</v>
      </c>
      <c r="AJ14" s="28" t="s">
        <v>12</v>
      </c>
      <c r="AK14" s="29" t="s">
        <v>41</v>
      </c>
      <c r="AL14" s="29" t="s">
        <v>41</v>
      </c>
      <c r="AM14" s="29" t="s">
        <v>20</v>
      </c>
      <c r="AN14" s="29" t="s">
        <v>588</v>
      </c>
      <c r="AO14" s="29" t="s">
        <v>588</v>
      </c>
      <c r="AP14" s="29" t="s">
        <v>588</v>
      </c>
      <c r="AQ14" s="28" t="s">
        <v>588</v>
      </c>
      <c r="AR14" s="28" t="s">
        <v>588</v>
      </c>
      <c r="AS14" s="29" t="s">
        <v>588</v>
      </c>
      <c r="AT14" s="29" t="s">
        <v>588</v>
      </c>
      <c r="AU14" s="29" t="s">
        <v>588</v>
      </c>
      <c r="AV14" s="29" t="s">
        <v>588</v>
      </c>
      <c r="AW14" s="29" t="s">
        <v>588</v>
      </c>
      <c r="AX14" s="29" t="s">
        <v>588</v>
      </c>
      <c r="AY14" s="29" t="s">
        <v>588</v>
      </c>
      <c r="AZ14" s="29" t="s">
        <v>588</v>
      </c>
      <c r="BA14" s="29" t="s">
        <v>588</v>
      </c>
      <c r="BB14" s="29" t="s">
        <v>588</v>
      </c>
      <c r="BC14" s="29" t="s">
        <v>588</v>
      </c>
      <c r="BD14" s="29" t="s">
        <v>588</v>
      </c>
      <c r="BE14" s="29" t="s">
        <v>588</v>
      </c>
      <c r="BF14" s="29" t="s">
        <v>588</v>
      </c>
      <c r="BG14" s="29" t="s">
        <v>588</v>
      </c>
      <c r="BH14" s="29" t="s">
        <v>588</v>
      </c>
      <c r="BI14" s="29" t="s">
        <v>588</v>
      </c>
      <c r="BJ14" s="29" t="s">
        <v>588</v>
      </c>
      <c r="BK14" s="28" t="s">
        <v>588</v>
      </c>
      <c r="BL14" s="28" t="s">
        <v>588</v>
      </c>
      <c r="BM14" s="29" t="s">
        <v>588</v>
      </c>
      <c r="BN14" s="28" t="s">
        <v>588</v>
      </c>
      <c r="BO14" s="29" t="s">
        <v>588</v>
      </c>
      <c r="BP14" s="29" t="s">
        <v>588</v>
      </c>
      <c r="BQ14" s="28" t="s">
        <v>41</v>
      </c>
      <c r="BR14" s="28" t="s">
        <v>42</v>
      </c>
      <c r="BS14" s="29" t="s">
        <v>588</v>
      </c>
      <c r="BT14" s="29" t="s">
        <v>588</v>
      </c>
      <c r="BU14" s="29" t="s">
        <v>588</v>
      </c>
      <c r="BV14" s="29" t="s">
        <v>588</v>
      </c>
    </row>
    <row r="15" spans="1:74" s="28" customFormat="1" x14ac:dyDescent="0.25">
      <c r="A15" s="28">
        <v>200607</v>
      </c>
      <c r="B15" s="11" t="s">
        <v>552</v>
      </c>
      <c r="C15" s="28" t="s">
        <v>1844</v>
      </c>
      <c r="D15" s="28" t="s">
        <v>1844</v>
      </c>
      <c r="E15" s="28">
        <v>1</v>
      </c>
      <c r="F15" s="28" t="s">
        <v>2675</v>
      </c>
      <c r="G15" s="13">
        <v>38991</v>
      </c>
      <c r="H15" s="11">
        <v>1</v>
      </c>
      <c r="I15" s="11">
        <v>10</v>
      </c>
      <c r="J15" s="11">
        <v>2006</v>
      </c>
      <c r="K15" s="11" t="s">
        <v>2709</v>
      </c>
      <c r="L15" s="28" t="s">
        <v>29</v>
      </c>
      <c r="M15" s="28" t="s">
        <v>36</v>
      </c>
      <c r="N15" s="39">
        <v>-38.580269999999999</v>
      </c>
      <c r="O15" s="39">
        <v>145.50944000000001</v>
      </c>
      <c r="P15" s="33" t="s">
        <v>588</v>
      </c>
      <c r="Q15" s="33" t="s">
        <v>588</v>
      </c>
      <c r="R15" s="28">
        <v>1</v>
      </c>
      <c r="S15" s="28">
        <v>3</v>
      </c>
      <c r="T15" s="29" t="s">
        <v>588</v>
      </c>
      <c r="U15" s="28" t="s">
        <v>588</v>
      </c>
      <c r="V15" s="28">
        <v>3</v>
      </c>
      <c r="W15" s="28">
        <v>3</v>
      </c>
      <c r="X15" s="28" t="s">
        <v>41</v>
      </c>
      <c r="Y15" s="13">
        <v>39002</v>
      </c>
      <c r="Z15" s="11">
        <v>12</v>
      </c>
      <c r="AA15" s="11">
        <v>10</v>
      </c>
      <c r="AB15" s="11">
        <v>2006</v>
      </c>
      <c r="AC15" s="13" t="s">
        <v>2710</v>
      </c>
      <c r="AD15" s="28" t="s">
        <v>29</v>
      </c>
      <c r="AE15" s="13">
        <v>39013</v>
      </c>
      <c r="AF15" s="11">
        <v>23</v>
      </c>
      <c r="AG15" s="11">
        <v>10</v>
      </c>
      <c r="AH15" s="11">
        <v>2006</v>
      </c>
      <c r="AI15" s="13" t="s">
        <v>2711</v>
      </c>
      <c r="AJ15" s="28" t="s">
        <v>29</v>
      </c>
      <c r="AK15" s="29" t="s">
        <v>41</v>
      </c>
      <c r="AL15" s="33" t="s">
        <v>8</v>
      </c>
      <c r="AM15" s="33" t="s">
        <v>88</v>
      </c>
      <c r="AN15" s="29" t="s">
        <v>588</v>
      </c>
      <c r="AO15" s="29" t="s">
        <v>588</v>
      </c>
      <c r="AP15" s="28" t="s">
        <v>588</v>
      </c>
      <c r="AQ15" s="28" t="s">
        <v>588</v>
      </c>
      <c r="AR15" s="28" t="s">
        <v>588</v>
      </c>
      <c r="AS15" s="29" t="s">
        <v>588</v>
      </c>
      <c r="AT15" s="29" t="s">
        <v>588</v>
      </c>
      <c r="AU15" s="29" t="s">
        <v>588</v>
      </c>
      <c r="AV15" s="29" t="s">
        <v>588</v>
      </c>
      <c r="AW15" s="29" t="s">
        <v>588</v>
      </c>
      <c r="AX15" s="29" t="s">
        <v>588</v>
      </c>
      <c r="AY15" s="29" t="s">
        <v>588</v>
      </c>
      <c r="AZ15" s="29" t="s">
        <v>588</v>
      </c>
      <c r="BA15" s="29" t="s">
        <v>588</v>
      </c>
      <c r="BB15" s="29" t="s">
        <v>588</v>
      </c>
      <c r="BC15" s="29" t="s">
        <v>588</v>
      </c>
      <c r="BD15" s="29" t="s">
        <v>588</v>
      </c>
      <c r="BE15" s="29" t="s">
        <v>588</v>
      </c>
      <c r="BF15" s="29" t="s">
        <v>588</v>
      </c>
      <c r="BG15" s="29" t="s">
        <v>588</v>
      </c>
      <c r="BH15" s="29" t="s">
        <v>588</v>
      </c>
      <c r="BI15" s="29" t="s">
        <v>588</v>
      </c>
      <c r="BJ15" s="29" t="s">
        <v>588</v>
      </c>
      <c r="BK15" s="28" t="s">
        <v>588</v>
      </c>
      <c r="BL15" s="28" t="s">
        <v>588</v>
      </c>
      <c r="BM15" s="29" t="s">
        <v>588</v>
      </c>
      <c r="BN15" s="28" t="s">
        <v>588</v>
      </c>
      <c r="BO15" s="29" t="s">
        <v>588</v>
      </c>
      <c r="BP15" s="29" t="s">
        <v>588</v>
      </c>
      <c r="BQ15" s="28" t="s">
        <v>41</v>
      </c>
      <c r="BR15" s="28" t="s">
        <v>42</v>
      </c>
      <c r="BS15" s="28" t="s">
        <v>588</v>
      </c>
      <c r="BT15" s="28" t="s">
        <v>588</v>
      </c>
      <c r="BU15" s="29" t="s">
        <v>588</v>
      </c>
      <c r="BV15" s="29" t="s">
        <v>588</v>
      </c>
    </row>
    <row r="16" spans="1:74" s="28" customFormat="1" x14ac:dyDescent="0.25">
      <c r="A16" s="28">
        <v>200607</v>
      </c>
      <c r="B16" s="11" t="s">
        <v>320</v>
      </c>
      <c r="C16" s="28" t="s">
        <v>2676</v>
      </c>
      <c r="D16" s="28" t="s">
        <v>1844</v>
      </c>
      <c r="E16" s="28">
        <v>1</v>
      </c>
      <c r="F16" s="28" t="s">
        <v>2677</v>
      </c>
      <c r="G16" s="13">
        <v>39088</v>
      </c>
      <c r="H16" s="11">
        <v>6</v>
      </c>
      <c r="I16" s="11">
        <v>1</v>
      </c>
      <c r="J16" s="11">
        <v>2007</v>
      </c>
      <c r="K16" s="11" t="s">
        <v>2712</v>
      </c>
      <c r="L16" s="28" t="s">
        <v>12</v>
      </c>
      <c r="M16" s="28" t="s">
        <v>51</v>
      </c>
      <c r="N16" s="39" t="s">
        <v>588</v>
      </c>
      <c r="O16" s="39" t="s">
        <v>588</v>
      </c>
      <c r="P16" s="33" t="s">
        <v>588</v>
      </c>
      <c r="Q16" s="33" t="s">
        <v>588</v>
      </c>
      <c r="R16" s="28">
        <v>2</v>
      </c>
      <c r="S16" s="28">
        <v>3</v>
      </c>
      <c r="T16" s="29" t="s">
        <v>588</v>
      </c>
      <c r="U16" s="28" t="s">
        <v>588</v>
      </c>
      <c r="V16" s="28">
        <v>3</v>
      </c>
      <c r="W16" s="28">
        <v>3</v>
      </c>
      <c r="X16" s="28" t="s">
        <v>41</v>
      </c>
      <c r="Y16" s="13">
        <v>39093</v>
      </c>
      <c r="Z16" s="11">
        <v>11</v>
      </c>
      <c r="AA16" s="11">
        <v>1</v>
      </c>
      <c r="AB16" s="11">
        <v>2007</v>
      </c>
      <c r="AC16" s="13" t="s">
        <v>2708</v>
      </c>
      <c r="AD16" s="28" t="s">
        <v>12</v>
      </c>
      <c r="AE16" s="13">
        <v>39095</v>
      </c>
      <c r="AF16" s="11">
        <v>13</v>
      </c>
      <c r="AG16" s="11">
        <v>1</v>
      </c>
      <c r="AH16" s="11">
        <v>2007</v>
      </c>
      <c r="AI16" s="13" t="s">
        <v>2713</v>
      </c>
      <c r="AJ16" s="28" t="s">
        <v>12</v>
      </c>
      <c r="AK16" s="29" t="s">
        <v>41</v>
      </c>
      <c r="AL16" s="33" t="s">
        <v>8</v>
      </c>
      <c r="AM16" s="33" t="s">
        <v>32</v>
      </c>
      <c r="AN16" s="29" t="s">
        <v>588</v>
      </c>
      <c r="AO16" s="29" t="s">
        <v>588</v>
      </c>
      <c r="AP16" s="28" t="s">
        <v>588</v>
      </c>
      <c r="AQ16" s="28" t="s">
        <v>588</v>
      </c>
      <c r="AR16" s="28" t="s">
        <v>588</v>
      </c>
      <c r="AS16" s="29" t="s">
        <v>588</v>
      </c>
      <c r="AT16" s="29" t="s">
        <v>588</v>
      </c>
      <c r="AU16" s="29" t="s">
        <v>588</v>
      </c>
      <c r="AV16" s="29" t="s">
        <v>588</v>
      </c>
      <c r="AW16" s="29" t="s">
        <v>588</v>
      </c>
      <c r="AX16" s="29" t="s">
        <v>588</v>
      </c>
      <c r="AY16" s="29" t="s">
        <v>588</v>
      </c>
      <c r="AZ16" s="29" t="s">
        <v>588</v>
      </c>
      <c r="BA16" s="29" t="s">
        <v>588</v>
      </c>
      <c r="BB16" s="29" t="s">
        <v>588</v>
      </c>
      <c r="BC16" s="29" t="s">
        <v>588</v>
      </c>
      <c r="BD16" s="29" t="s">
        <v>588</v>
      </c>
      <c r="BE16" s="29" t="s">
        <v>588</v>
      </c>
      <c r="BF16" s="29" t="s">
        <v>588</v>
      </c>
      <c r="BG16" s="29" t="s">
        <v>588</v>
      </c>
      <c r="BH16" s="29" t="s">
        <v>588</v>
      </c>
      <c r="BI16" s="29" t="s">
        <v>588</v>
      </c>
      <c r="BJ16" s="29" t="s">
        <v>588</v>
      </c>
      <c r="BK16" s="28" t="s">
        <v>588</v>
      </c>
      <c r="BL16" s="28" t="s">
        <v>588</v>
      </c>
      <c r="BM16" s="29" t="s">
        <v>588</v>
      </c>
      <c r="BN16" s="28" t="s">
        <v>588</v>
      </c>
      <c r="BO16" s="29" t="s">
        <v>588</v>
      </c>
      <c r="BP16" s="29" t="s">
        <v>588</v>
      </c>
      <c r="BQ16" s="28" t="s">
        <v>41</v>
      </c>
      <c r="BR16" s="28" t="s">
        <v>42</v>
      </c>
      <c r="BS16" s="29" t="s">
        <v>588</v>
      </c>
      <c r="BT16" s="28" t="s">
        <v>588</v>
      </c>
      <c r="BU16" s="29" t="s">
        <v>588</v>
      </c>
      <c r="BV16" s="29" t="s">
        <v>588</v>
      </c>
    </row>
    <row r="17" spans="1:74" s="28" customFormat="1" x14ac:dyDescent="0.25">
      <c r="A17" s="28">
        <v>200607</v>
      </c>
      <c r="B17" s="11" t="s">
        <v>320</v>
      </c>
      <c r="C17" s="28" t="s">
        <v>2676</v>
      </c>
      <c r="D17" s="28" t="s">
        <v>1844</v>
      </c>
      <c r="E17" s="28">
        <v>2</v>
      </c>
      <c r="F17" s="28" t="s">
        <v>2678</v>
      </c>
      <c r="G17" s="53">
        <v>39102</v>
      </c>
      <c r="H17" s="11">
        <v>20</v>
      </c>
      <c r="I17" s="11">
        <v>1</v>
      </c>
      <c r="J17" s="11">
        <v>2007</v>
      </c>
      <c r="K17" s="11" t="s">
        <v>2714</v>
      </c>
      <c r="L17" s="28" t="s">
        <v>12</v>
      </c>
      <c r="M17" s="28" t="s">
        <v>10</v>
      </c>
      <c r="N17" s="39">
        <v>-38.569719999999997</v>
      </c>
      <c r="O17" s="39">
        <v>145.49943999999999</v>
      </c>
      <c r="P17" s="33" t="s">
        <v>588</v>
      </c>
      <c r="Q17" s="33" t="s">
        <v>588</v>
      </c>
      <c r="R17" s="28">
        <v>2</v>
      </c>
      <c r="S17" s="28">
        <v>3</v>
      </c>
      <c r="T17" s="29" t="s">
        <v>588</v>
      </c>
      <c r="U17" s="28" t="s">
        <v>588</v>
      </c>
      <c r="V17" s="28">
        <v>3</v>
      </c>
      <c r="W17" s="28">
        <v>2</v>
      </c>
      <c r="X17" s="28" t="s">
        <v>41</v>
      </c>
      <c r="Y17" s="53">
        <v>39102</v>
      </c>
      <c r="Z17" s="11">
        <v>20</v>
      </c>
      <c r="AA17" s="11">
        <v>1</v>
      </c>
      <c r="AB17" s="11">
        <v>2007</v>
      </c>
      <c r="AC17" s="13" t="s">
        <v>2714</v>
      </c>
      <c r="AD17" s="28" t="s">
        <v>12</v>
      </c>
      <c r="AE17" s="53">
        <v>39108</v>
      </c>
      <c r="AF17" s="11">
        <v>26</v>
      </c>
      <c r="AG17" s="11">
        <v>1</v>
      </c>
      <c r="AH17" s="11">
        <v>2007</v>
      </c>
      <c r="AI17" s="13" t="s">
        <v>2715</v>
      </c>
      <c r="AJ17" s="28" t="s">
        <v>12</v>
      </c>
      <c r="AK17" s="29" t="s">
        <v>11</v>
      </c>
      <c r="AL17" s="33" t="s">
        <v>8</v>
      </c>
      <c r="AM17" s="28" t="s">
        <v>588</v>
      </c>
      <c r="AN17" s="34" t="s">
        <v>588</v>
      </c>
      <c r="AO17" s="29" t="s">
        <v>588</v>
      </c>
      <c r="AP17" s="33" t="s">
        <v>588</v>
      </c>
      <c r="AQ17" s="28" t="s">
        <v>588</v>
      </c>
      <c r="AR17" s="28" t="s">
        <v>588</v>
      </c>
      <c r="AS17" s="34" t="s">
        <v>588</v>
      </c>
      <c r="AT17" s="34" t="s">
        <v>588</v>
      </c>
      <c r="AU17" s="29" t="s">
        <v>588</v>
      </c>
      <c r="AV17" s="29" t="s">
        <v>588</v>
      </c>
      <c r="AW17" s="29" t="s">
        <v>588</v>
      </c>
      <c r="AX17" s="29" t="s">
        <v>588</v>
      </c>
      <c r="AY17" s="34" t="s">
        <v>588</v>
      </c>
      <c r="AZ17" s="34" t="s">
        <v>588</v>
      </c>
      <c r="BA17" s="29" t="s">
        <v>588</v>
      </c>
      <c r="BB17" s="29" t="s">
        <v>588</v>
      </c>
      <c r="BC17" s="29" t="s">
        <v>588</v>
      </c>
      <c r="BD17" s="29" t="s">
        <v>588</v>
      </c>
      <c r="BE17" s="34" t="s">
        <v>588</v>
      </c>
      <c r="BF17" s="34" t="s">
        <v>588</v>
      </c>
      <c r="BG17" s="29" t="s">
        <v>588</v>
      </c>
      <c r="BH17" s="29" t="s">
        <v>588</v>
      </c>
      <c r="BI17" s="29" t="s">
        <v>588</v>
      </c>
      <c r="BJ17" s="33" t="s">
        <v>588</v>
      </c>
      <c r="BK17" s="28" t="s">
        <v>588</v>
      </c>
      <c r="BL17" s="28" t="s">
        <v>588</v>
      </c>
      <c r="BM17" s="29" t="s">
        <v>588</v>
      </c>
      <c r="BN17" s="28" t="s">
        <v>588</v>
      </c>
      <c r="BO17" s="29" t="s">
        <v>588</v>
      </c>
      <c r="BP17" s="29" t="s">
        <v>588</v>
      </c>
      <c r="BQ17" s="28" t="s">
        <v>41</v>
      </c>
      <c r="BR17" s="28" t="s">
        <v>42</v>
      </c>
      <c r="BS17" s="28" t="s">
        <v>588</v>
      </c>
      <c r="BT17" s="33" t="s">
        <v>588</v>
      </c>
      <c r="BU17" s="29" t="s">
        <v>588</v>
      </c>
      <c r="BV17" s="29" t="s">
        <v>588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F6C1DF0B1789F47AF665E6A07C3BEBE" ma:contentTypeVersion="19" ma:contentTypeDescription="Create a new document." ma:contentTypeScope="" ma:versionID="769a4578c0e56c2bfa9d6f129ec07cda">
  <xsd:schema xmlns:xsd="http://www.w3.org/2001/XMLSchema" xmlns:xs="http://www.w3.org/2001/XMLSchema" xmlns:p="http://schemas.microsoft.com/office/2006/metadata/properties" xmlns:ns2="7593dfb0-a7c7-4730-ba00-4ece7c24b945" xmlns:ns3="f3869b55-138b-41ba-9897-0d8b66f8467d" targetNamespace="http://schemas.microsoft.com/office/2006/metadata/properties" ma:root="true" ma:fieldsID="0ef515d5fd79932ad91f283d55f3ce02" ns2:_="" ns3:_="">
    <xsd:import namespace="7593dfb0-a7c7-4730-ba00-4ece7c24b945"/>
    <xsd:import namespace="f3869b55-138b-41ba-9897-0d8b66f84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3dfb0-a7c7-4730-ba00-4ece7c24b9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4e0ee8-0475-4d6c-9323-bc30f826b1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869b55-138b-41ba-9897-0d8b66f8467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89acfa6-2cb7-49cc-bfd9-8a4cdb53729a}" ma:internalName="TaxCatchAll" ma:showField="CatchAllData" ma:web="f3869b55-138b-41ba-9897-0d8b66f84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3869b55-138b-41ba-9897-0d8b66f8467d" xsi:nil="true"/>
    <lcf76f155ced4ddcb4097134ff3c332f xmlns="7593dfb0-a7c7-4730-ba00-4ece7c24b945">
      <Terms xmlns="http://schemas.microsoft.com/office/infopath/2007/PartnerControls"/>
    </lcf76f155ced4ddcb4097134ff3c332f>
    <SharedWithUsers xmlns="f3869b55-138b-41ba-9897-0d8b66f8467d">
      <UserInfo>
        <DisplayName/>
        <AccountId xsi:nil="true"/>
        <AccountType/>
      </UserInfo>
    </SharedWithUsers>
    <MediaLengthInSeconds xmlns="7593dfb0-a7c7-4730-ba00-4ece7c24b945" xsi:nil="true"/>
  </documentManagement>
</p:properties>
</file>

<file path=customXml/itemProps1.xml><?xml version="1.0" encoding="utf-8"?>
<ds:datastoreItem xmlns:ds="http://schemas.openxmlformats.org/officeDocument/2006/customXml" ds:itemID="{2C3021C8-CD01-42FC-8601-562A2B8FB298}">
  <ds:schemaRefs>
    <ds:schemaRef ds:uri="http://schemas.microsoft.com/sharepoint/v3/contenttype/forms"/>
  </ds:schemaRefs>
</ds:datastoreItem>
</file>

<file path=customXml/itemProps2.xml><?xml version="1.0" encoding="utf-8"?>
<ds:datastoreItem xmlns:ds="http://schemas.openxmlformats.org/officeDocument/2006/customXml" ds:itemID="{351E7A53-9F6B-41DD-8472-D93EA7D97C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3dfb0-a7c7-4730-ba00-4ece7c24b945"/>
    <ds:schemaRef ds:uri="f3869b55-138b-41ba-9897-0d8b66f84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D83B09-0906-40AF-BCE8-B0F66F1AE47A}">
  <ds:schemaRefs>
    <ds:schemaRef ds:uri="http://schemas.microsoft.com/office/2006/documentManagement/types"/>
    <ds:schemaRef ds:uri="7593dfb0-a7c7-4730-ba00-4ece7c24b945"/>
    <ds:schemaRef ds:uri="http://purl.org/dc/dcmitype/"/>
    <ds:schemaRef ds:uri="http://purl.org/dc/elements/1.1/"/>
    <ds:schemaRef ds:uri="http://purl.org/dc/terms/"/>
    <ds:schemaRef ds:uri="http://www.w3.org/XML/1998/namespace"/>
    <ds:schemaRef ds:uri="http://schemas.openxmlformats.org/package/2006/metadata/core-properties"/>
    <ds:schemaRef ds:uri="http://schemas.microsoft.com/office/infopath/2007/PartnerControls"/>
    <ds:schemaRef ds:uri="f3869b55-138b-41ba-9897-0d8b66f8467d"/>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BC 2024_25</vt:lpstr>
      <vt:lpstr>BC 2023_24</vt:lpstr>
      <vt:lpstr>BC 2022_23</vt:lpstr>
      <vt:lpstr>BC 2021_22</vt:lpstr>
      <vt:lpstr>BC 2020_21</vt:lpstr>
      <vt:lpstr>BC 2019_20</vt:lpstr>
      <vt:lpstr>BC 2018_19</vt:lpstr>
      <vt:lpstr>BC 2017_18</vt:lpstr>
      <vt:lpstr>BC 2016_17</vt:lpstr>
      <vt:lpstr>BC 2015_16</vt:lpstr>
      <vt:lpstr>BC 2014_15</vt:lpstr>
      <vt:lpstr>BC 2013_14</vt:lpstr>
      <vt:lpstr>BC 2012_13</vt:lpstr>
      <vt:lpstr>BC 2011_12</vt:lpstr>
      <vt:lpstr>BC 2010_11</vt:lpstr>
      <vt:lpstr>BC 2009_10</vt:lpstr>
      <vt:lpstr>BC 2008_09</vt:lpstr>
      <vt:lpstr>BC 2007_08</vt:lpstr>
      <vt:lpstr>BC 2006_07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Kasun Ekanayake</dc:creator>
  <cp:keywords/>
  <dc:description/>
  <cp:lastModifiedBy>Jasmin Rooks</cp:lastModifiedBy>
  <cp:revision/>
  <dcterms:created xsi:type="dcterms:W3CDTF">2024-06-07T01:31:19Z</dcterms:created>
  <dcterms:modified xsi:type="dcterms:W3CDTF">2025-10-18T23:26:01Z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0x010100FF6C1DF0B1789F47AF665E6A07C3BEBE</vt:lpwstr>
  </property>
  <property fmtid="{D5CDD505-2E9C-101B-9397-08002B2CF9AE}" pid="3" name="Order">
    <vt:r8>93031400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